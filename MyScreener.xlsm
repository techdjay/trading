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y\Desktop\Trading\"/>
    </mc:Choice>
  </mc:AlternateContent>
  <xr:revisionPtr revIDLastSave="0" documentId="13_ncr:1_{BF1C046B-1A0D-4AFD-9B8D-5B61673BA371}" xr6:coauthVersionLast="46" xr6:coauthVersionMax="46" xr10:uidLastSave="{00000000-0000-0000-0000-000000000000}"/>
  <bookViews>
    <workbookView xWindow="-120" yWindow="-120" windowWidth="20730" windowHeight="11160" activeTab="6" xr2:uid="{00000000-000D-0000-FFFF-FFFF00000000}"/>
  </bookViews>
  <sheets>
    <sheet name="STOCKLIST" sheetId="7" r:id="rId1"/>
    <sheet name="OPTION CHAIN" sheetId="3" r:id="rId2"/>
    <sheet name="OC_DB" sheetId="4" r:id="rId3"/>
    <sheet name="Cookes" sheetId="5" r:id="rId4"/>
    <sheet name="Delivery" sheetId="14" r:id="rId5"/>
    <sheet name="NSE Traded " sheetId="16" r:id="rId6"/>
    <sheet name="HeatMap" sheetId="17" r:id="rId7"/>
  </sheets>
  <definedNames>
    <definedName name="ExternalData_1" localSheetId="4" hidden="1">Delivery!$A$1:$I$197</definedName>
    <definedName name="ExternalData_1" localSheetId="6" hidden="1">HeatMap!$A$1:$G$29</definedName>
    <definedName name="ExternalData_1" localSheetId="5" hidden="1">'NSE Traded '!$A$1:$K$1515</definedName>
    <definedName name="ExternalData_1" localSheetId="2" hidden="1">OC_DB!$C$5:$Q$91</definedName>
    <definedName name="ExternalData_2" localSheetId="0" hidden="1">STOCKLIST!$A$1:$I$53</definedName>
    <definedName name="symbol">Table8[symbol]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7" l="1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L492" i="16"/>
  <c r="L22" i="16"/>
  <c r="L284" i="16"/>
  <c r="L818" i="16"/>
  <c r="L384" i="16"/>
  <c r="L541" i="16"/>
  <c r="L928" i="16"/>
  <c r="L213" i="16"/>
  <c r="L132" i="16"/>
  <c r="L914" i="16"/>
  <c r="L1418" i="16"/>
  <c r="L677" i="16"/>
  <c r="L338" i="16"/>
  <c r="L237" i="16"/>
  <c r="L1187" i="16"/>
  <c r="L534" i="16"/>
  <c r="L1215" i="16"/>
  <c r="L1285" i="16"/>
  <c r="L890" i="16"/>
  <c r="L1021" i="16"/>
  <c r="L15" i="16"/>
  <c r="L121" i="16"/>
  <c r="L1402" i="16"/>
  <c r="L1276" i="16"/>
  <c r="L1199" i="16"/>
  <c r="L1191" i="16"/>
  <c r="L351" i="16"/>
  <c r="L1378" i="16"/>
  <c r="L1503" i="16"/>
  <c r="L373" i="16"/>
  <c r="L630" i="16"/>
  <c r="L17" i="16"/>
  <c r="L730" i="16"/>
  <c r="L668" i="16"/>
  <c r="L1441" i="16"/>
  <c r="L571" i="16"/>
  <c r="L402" i="16"/>
  <c r="L988" i="16"/>
  <c r="L422" i="16"/>
  <c r="L313" i="16"/>
  <c r="L372" i="16"/>
  <c r="L127" i="16"/>
  <c r="L1487" i="16"/>
  <c r="L448" i="16"/>
  <c r="L1084" i="16"/>
  <c r="L824" i="16"/>
  <c r="L45" i="16"/>
  <c r="L1510" i="16"/>
  <c r="L1289" i="16"/>
  <c r="L1115" i="16"/>
  <c r="L696" i="16"/>
  <c r="L799" i="16"/>
  <c r="L1336" i="16"/>
  <c r="L823" i="16"/>
  <c r="L720" i="16"/>
  <c r="L1499" i="16"/>
  <c r="L249" i="16"/>
  <c r="L1387" i="16"/>
  <c r="L221" i="16"/>
  <c r="L215" i="16"/>
  <c r="L1160" i="16"/>
  <c r="L618" i="16"/>
  <c r="L1060" i="16"/>
  <c r="L1296" i="16"/>
  <c r="L781" i="16"/>
  <c r="L41" i="16"/>
  <c r="L1081" i="16"/>
  <c r="L1262" i="16"/>
  <c r="L780" i="16"/>
  <c r="L467" i="16"/>
  <c r="L144" i="16"/>
  <c r="L1000" i="16"/>
  <c r="L821" i="16"/>
  <c r="L365" i="16"/>
  <c r="L716" i="16"/>
  <c r="L233" i="16"/>
  <c r="L1052" i="16"/>
  <c r="L399" i="16"/>
  <c r="L850" i="16"/>
  <c r="L874" i="16"/>
  <c r="L611" i="16"/>
  <c r="L1392" i="16"/>
  <c r="L375" i="16"/>
  <c r="L147" i="16"/>
  <c r="L1128" i="16"/>
  <c r="L206" i="16"/>
  <c r="L918" i="16"/>
  <c r="L452" i="16"/>
  <c r="L1449" i="16"/>
  <c r="L157" i="16"/>
  <c r="L1174" i="16"/>
  <c r="L603" i="16"/>
  <c r="L1071" i="16"/>
  <c r="L13" i="16"/>
  <c r="L709" i="16"/>
  <c r="L1427" i="16"/>
  <c r="L1272" i="16"/>
  <c r="L1166" i="16"/>
  <c r="L229" i="16"/>
  <c r="L560" i="16"/>
  <c r="L926" i="16"/>
  <c r="L602" i="16"/>
  <c r="L934" i="16"/>
  <c r="L257" i="16"/>
  <c r="L430" i="16"/>
  <c r="L1184" i="16"/>
  <c r="L309" i="16"/>
  <c r="L1274" i="16"/>
  <c r="L1315" i="16"/>
  <c r="L958" i="16"/>
  <c r="L1142" i="16"/>
  <c r="L108" i="16"/>
  <c r="L1371" i="16"/>
  <c r="L1301" i="16"/>
  <c r="L1005" i="16"/>
  <c r="L1185" i="16"/>
  <c r="L421" i="16"/>
  <c r="L600" i="16"/>
  <c r="L1280" i="16"/>
  <c r="L1509" i="16"/>
  <c r="L424" i="16"/>
  <c r="L871" i="16"/>
  <c r="L1058" i="16"/>
  <c r="L872" i="16"/>
  <c r="L1157" i="16"/>
  <c r="L1098" i="16"/>
  <c r="L1245" i="16"/>
  <c r="L1485" i="16"/>
  <c r="L1417" i="16"/>
  <c r="L1249" i="16"/>
  <c r="L363" i="16"/>
  <c r="L1341" i="16"/>
  <c r="L1311" i="16"/>
  <c r="L1233" i="16"/>
  <c r="L1357" i="16"/>
  <c r="L835" i="16"/>
  <c r="L868" i="16"/>
  <c r="L20" i="16"/>
  <c r="L52" i="16"/>
  <c r="L179" i="16"/>
  <c r="L156" i="16"/>
  <c r="L268" i="16"/>
  <c r="L115" i="16"/>
  <c r="L879" i="16"/>
  <c r="L244" i="16"/>
  <c r="L336" i="16"/>
  <c r="L1152" i="16"/>
  <c r="L1131" i="16"/>
  <c r="L653" i="16"/>
  <c r="L1493" i="16"/>
  <c r="L258" i="16"/>
  <c r="L1391" i="16"/>
  <c r="L607" i="16"/>
  <c r="L703" i="16"/>
  <c r="L604" i="16"/>
  <c r="L1079" i="16"/>
  <c r="L966" i="16"/>
  <c r="L273" i="16"/>
  <c r="L1425" i="16"/>
  <c r="L1282" i="16"/>
  <c r="L1314" i="16"/>
  <c r="L1221" i="16"/>
  <c r="L1118" i="16"/>
  <c r="L255" i="16"/>
  <c r="L1292" i="16"/>
  <c r="L864" i="16"/>
  <c r="L1119" i="16"/>
  <c r="L101" i="16"/>
  <c r="L1466" i="16"/>
  <c r="L1209" i="16"/>
  <c r="L93" i="16"/>
  <c r="L1491" i="16"/>
  <c r="L186" i="16"/>
  <c r="L941" i="16"/>
  <c r="L1507" i="16"/>
  <c r="L1027" i="16"/>
  <c r="L318" i="16"/>
  <c r="L1455" i="16"/>
  <c r="L200" i="16"/>
  <c r="L1409" i="16"/>
  <c r="L1372" i="16"/>
  <c r="L1347" i="16"/>
  <c r="L991" i="16"/>
  <c r="L1462" i="16"/>
  <c r="L71" i="16"/>
  <c r="L1461" i="16"/>
  <c r="L1003" i="16"/>
  <c r="L654" i="16"/>
  <c r="L432" i="16"/>
  <c r="L694" i="16"/>
  <c r="L1515" i="16"/>
  <c r="L514" i="16"/>
  <c r="L1247" i="16"/>
  <c r="L529" i="16"/>
  <c r="L916" i="16"/>
  <c r="L1290" i="16"/>
  <c r="L1477" i="16"/>
  <c r="L196" i="16"/>
  <c r="L1334" i="16"/>
  <c r="L1149" i="16"/>
  <c r="L1381" i="16"/>
  <c r="L274" i="16"/>
  <c r="L159" i="16"/>
  <c r="L231" i="16"/>
  <c r="L404" i="16"/>
  <c r="L18" i="16"/>
  <c r="L907" i="16"/>
  <c r="L53" i="16"/>
  <c r="L1033" i="16"/>
  <c r="L388" i="16"/>
  <c r="L743" i="16"/>
  <c r="L1020" i="16"/>
  <c r="L1498" i="16"/>
  <c r="L845" i="16"/>
  <c r="L793" i="16"/>
  <c r="L867" i="16"/>
  <c r="L386" i="16"/>
  <c r="L1192" i="16"/>
  <c r="L1217" i="16"/>
  <c r="L252" i="16"/>
  <c r="L640" i="16"/>
  <c r="L1222" i="16"/>
  <c r="L312" i="16"/>
  <c r="L91" i="16"/>
  <c r="L99" i="16"/>
  <c r="L1101" i="16"/>
  <c r="L1059" i="16"/>
  <c r="L129" i="16"/>
  <c r="L1379" i="16"/>
  <c r="L775" i="16"/>
  <c r="L1242" i="16"/>
  <c r="L1008" i="16"/>
  <c r="L408" i="16"/>
  <c r="L214" i="16"/>
  <c r="L897" i="16"/>
  <c r="L1256" i="16"/>
  <c r="L475" i="16"/>
  <c r="L296" i="16"/>
  <c r="L416" i="16"/>
  <c r="L522" i="16"/>
  <c r="L887" i="16"/>
  <c r="L413" i="16"/>
  <c r="L904" i="16"/>
  <c r="L974" i="16"/>
  <c r="L81" i="16"/>
  <c r="L277" i="16"/>
  <c r="L254" i="16"/>
  <c r="L1127" i="16"/>
  <c r="L1258" i="16"/>
  <c r="L100" i="16"/>
  <c r="L205" i="16"/>
  <c r="L1193" i="16"/>
  <c r="L739" i="16"/>
  <c r="L977" i="16"/>
  <c r="L807" i="16"/>
  <c r="L1396" i="16"/>
  <c r="L826" i="16"/>
  <c r="L1474" i="16"/>
  <c r="L235" i="16"/>
  <c r="L1254" i="16"/>
  <c r="L137" i="16"/>
  <c r="L967" i="16"/>
  <c r="L1105" i="16"/>
  <c r="L21" i="16"/>
  <c r="L960" i="16"/>
  <c r="L1044" i="16"/>
  <c r="L1286" i="16"/>
  <c r="L116" i="16"/>
  <c r="L899" i="16"/>
  <c r="L333" i="16"/>
  <c r="L536" i="16"/>
  <c r="L1124" i="16"/>
  <c r="L760" i="16"/>
  <c r="L30" i="16"/>
  <c r="L1458" i="16"/>
  <c r="L1234" i="16"/>
  <c r="L482" i="16"/>
  <c r="L844" i="16"/>
  <c r="L838" i="16"/>
  <c r="L936" i="16"/>
  <c r="L599" i="16"/>
  <c r="L521" i="16"/>
  <c r="L935" i="16"/>
  <c r="L805" i="16"/>
  <c r="L1069" i="16"/>
  <c r="L927" i="16"/>
  <c r="L105" i="16"/>
  <c r="L131" i="16"/>
  <c r="L253" i="16"/>
  <c r="L557" i="16"/>
  <c r="L1442" i="16"/>
  <c r="L685" i="16"/>
  <c r="L1393" i="16"/>
  <c r="L19" i="16"/>
  <c r="L1212" i="16"/>
  <c r="L67" i="16"/>
  <c r="L1428" i="16"/>
  <c r="L785" i="16"/>
  <c r="L581" i="16"/>
  <c r="L349" i="16"/>
  <c r="L656" i="16"/>
  <c r="L1340" i="16"/>
  <c r="L585" i="16"/>
  <c r="L1135" i="16"/>
  <c r="L1470" i="16"/>
  <c r="L875" i="16"/>
  <c r="L1389" i="16"/>
  <c r="L672" i="16"/>
  <c r="L563" i="16"/>
  <c r="L829" i="16"/>
  <c r="L539" i="16"/>
  <c r="L787" i="16"/>
  <c r="L352" i="16"/>
  <c r="L702" i="16"/>
  <c r="L1063" i="16"/>
  <c r="L998" i="16"/>
  <c r="L1339" i="16"/>
  <c r="L1307" i="16"/>
  <c r="L1046" i="16"/>
  <c r="L178" i="16"/>
  <c r="L506" i="16"/>
  <c r="L817" i="16"/>
  <c r="L1167" i="16"/>
  <c r="L735" i="16"/>
  <c r="L1227" i="16"/>
  <c r="L418" i="16"/>
  <c r="L646" i="16"/>
  <c r="L591" i="16"/>
  <c r="L348" i="16"/>
  <c r="L1243" i="16"/>
  <c r="L695" i="16"/>
  <c r="L715" i="16"/>
  <c r="L917" i="16"/>
  <c r="L468" i="16"/>
  <c r="L1488" i="16"/>
  <c r="L1419" i="16"/>
  <c r="L1116" i="16"/>
  <c r="L125" i="16"/>
  <c r="L598" i="16"/>
  <c r="L861" i="16"/>
  <c r="L1001" i="16"/>
  <c r="L141" i="16"/>
  <c r="L455" i="16"/>
  <c r="L370" i="16"/>
  <c r="L738" i="16"/>
  <c r="L104" i="16"/>
  <c r="L1297" i="16"/>
  <c r="L1024" i="16"/>
  <c r="L1365" i="16"/>
  <c r="L461" i="16"/>
  <c r="L986" i="16"/>
  <c r="L1050" i="16"/>
  <c r="L1237" i="16"/>
  <c r="L242" i="16"/>
  <c r="L1017" i="16"/>
  <c r="L136" i="16"/>
  <c r="L2" i="16"/>
  <c r="L65" i="16"/>
  <c r="L27" i="16"/>
  <c r="L31" i="16"/>
  <c r="L38" i="16"/>
  <c r="L551" i="16"/>
  <c r="L765" i="16"/>
  <c r="L1006" i="16"/>
  <c r="L971" i="16"/>
  <c r="L1377" i="16"/>
  <c r="L742" i="16"/>
  <c r="L1265" i="16"/>
  <c r="L1252" i="16"/>
  <c r="L911" i="16"/>
  <c r="L207" i="16"/>
  <c r="L460" i="16"/>
  <c r="L1096" i="16"/>
  <c r="L1366" i="16"/>
  <c r="L984" i="16"/>
  <c r="L230" i="16"/>
  <c r="L982" i="16"/>
  <c r="L800" i="16"/>
  <c r="L77" i="16"/>
  <c r="L204" i="16"/>
  <c r="L592" i="16"/>
  <c r="L605" i="16"/>
  <c r="L465" i="16"/>
  <c r="L323" i="16"/>
  <c r="L320" i="16"/>
  <c r="L1013" i="16"/>
  <c r="L1330" i="16"/>
  <c r="L191" i="16"/>
  <c r="L479" i="16"/>
  <c r="L1240" i="16"/>
  <c r="L921" i="16"/>
  <c r="L1269" i="16"/>
  <c r="L913" i="16"/>
  <c r="L942" i="16"/>
  <c r="L1481" i="16"/>
  <c r="L980" i="16"/>
  <c r="L1364" i="16"/>
  <c r="L476" i="16"/>
  <c r="L1331" i="16"/>
  <c r="L510" i="16"/>
  <c r="L853" i="16"/>
  <c r="L1214" i="16"/>
  <c r="L283" i="16"/>
  <c r="L731" i="16"/>
  <c r="L1468" i="16"/>
  <c r="L1298" i="16"/>
  <c r="L806" i="16"/>
  <c r="L443" i="16"/>
  <c r="L691" i="16"/>
  <c r="L791" i="16"/>
  <c r="L474" i="16"/>
  <c r="L282" i="16"/>
  <c r="L368" i="16"/>
  <c r="L84" i="16"/>
  <c r="L1321" i="16"/>
  <c r="L1435" i="16"/>
  <c r="L652" i="16"/>
  <c r="L409" i="16"/>
  <c r="L727" i="16"/>
  <c r="L1376" i="16"/>
  <c r="L1198" i="16"/>
  <c r="L1207" i="16"/>
  <c r="L1082" i="16"/>
  <c r="L171" i="16"/>
  <c r="L712" i="16"/>
  <c r="L525" i="16"/>
  <c r="L453" i="16"/>
  <c r="L590" i="16"/>
  <c r="L648" i="16"/>
  <c r="L403" i="16"/>
  <c r="L671" i="16"/>
  <c r="L97" i="16"/>
  <c r="L594" i="16"/>
  <c r="L1064" i="16"/>
  <c r="L752" i="16"/>
  <c r="L1220" i="16"/>
  <c r="L815" i="16"/>
  <c r="L537" i="16"/>
  <c r="L139" i="16"/>
  <c r="L1350" i="16"/>
  <c r="L957" i="16"/>
  <c r="L662" i="16"/>
  <c r="L854" i="16"/>
  <c r="L1469" i="16"/>
  <c r="L896" i="16"/>
  <c r="L1051" i="16"/>
  <c r="L1412" i="16"/>
  <c r="L1459" i="16"/>
  <c r="L531" i="16"/>
  <c r="L1241" i="16"/>
  <c r="L792" i="16"/>
  <c r="L1173" i="16"/>
  <c r="L321" i="16"/>
  <c r="L1022" i="16"/>
  <c r="L1415" i="16"/>
  <c r="L70" i="16"/>
  <c r="L68" i="16"/>
  <c r="L639" i="16"/>
  <c r="L1158" i="16"/>
  <c r="L1300" i="16"/>
  <c r="L595" i="16"/>
  <c r="L1467" i="16"/>
  <c r="L442" i="16"/>
  <c r="L357" i="16"/>
  <c r="L895" i="16"/>
  <c r="L360" i="16"/>
  <c r="L1045" i="16"/>
  <c r="L1479" i="16"/>
  <c r="L1361" i="16"/>
  <c r="L929" i="16"/>
  <c r="L1094" i="16"/>
  <c r="L458" i="16"/>
  <c r="L783" i="16"/>
  <c r="L92" i="16"/>
  <c r="L414" i="16"/>
  <c r="L3" i="16"/>
  <c r="L768" i="16"/>
  <c r="L80" i="16"/>
  <c r="L700" i="16"/>
  <c r="L415" i="16"/>
  <c r="L1213" i="16"/>
  <c r="L629" i="16"/>
  <c r="L87" i="16"/>
  <c r="L1423" i="16"/>
  <c r="L822" i="16"/>
  <c r="L1136" i="16"/>
  <c r="L517" i="16"/>
  <c r="L993" i="16"/>
  <c r="L1411" i="16"/>
  <c r="L50" i="16"/>
  <c r="L1139" i="16"/>
  <c r="L637" i="16"/>
  <c r="L314" i="16"/>
  <c r="L470" i="16"/>
  <c r="L436" i="16"/>
  <c r="L109" i="16"/>
  <c r="L1264" i="16"/>
  <c r="L657" i="16"/>
  <c r="L865" i="16"/>
  <c r="L1092" i="16"/>
  <c r="L210" i="16"/>
  <c r="L1042" i="16"/>
  <c r="L631" i="16"/>
  <c r="L1121" i="16"/>
  <c r="L659" i="16"/>
  <c r="L1504" i="16"/>
  <c r="L707" i="16"/>
  <c r="L454" i="16"/>
  <c r="L1275" i="16"/>
  <c r="L1203" i="16"/>
  <c r="L1202" i="16"/>
  <c r="L1125" i="16"/>
  <c r="L870" i="16"/>
  <c r="L1186" i="16"/>
  <c r="L57" i="16"/>
  <c r="L1406" i="16"/>
  <c r="L4" i="16"/>
  <c r="L343" i="16"/>
  <c r="L840" i="16"/>
  <c r="L471" i="16"/>
  <c r="L561" i="16"/>
  <c r="L394" i="16"/>
  <c r="L682" i="16"/>
  <c r="L747" i="16"/>
  <c r="L374" i="16"/>
  <c r="L419" i="16"/>
  <c r="L174" i="16"/>
  <c r="L462" i="16"/>
  <c r="L380" i="16"/>
  <c r="L673" i="16"/>
  <c r="L271" i="16"/>
  <c r="L1154" i="16"/>
  <c r="L488" i="16"/>
  <c r="L176" i="16"/>
  <c r="L750" i="16"/>
  <c r="L764" i="16"/>
  <c r="L947" i="16"/>
  <c r="L480" i="16"/>
  <c r="L427" i="16"/>
  <c r="L56" i="16"/>
  <c r="L1072" i="16"/>
  <c r="L507" i="16"/>
  <c r="L337" i="16"/>
  <c r="L1268" i="16"/>
  <c r="L256" i="16"/>
  <c r="L1176" i="16"/>
  <c r="L1026" i="16"/>
  <c r="L1107" i="16"/>
  <c r="L745" i="16"/>
  <c r="L933" i="16"/>
  <c r="L609" i="16"/>
  <c r="L1030" i="16"/>
  <c r="L582" i="16"/>
  <c r="L354" i="16"/>
  <c r="L102" i="16"/>
  <c r="L486" i="16"/>
  <c r="L524" i="16"/>
  <c r="L128" i="16"/>
  <c r="L342" i="16"/>
  <c r="L513" i="16"/>
  <c r="L1358" i="16"/>
  <c r="L85" i="16"/>
  <c r="L1253" i="16"/>
  <c r="L1352" i="16"/>
  <c r="L377" i="16"/>
  <c r="L754" i="16"/>
  <c r="L189" i="16"/>
  <c r="L1067" i="16"/>
  <c r="L1235" i="16"/>
  <c r="L1506" i="16"/>
  <c r="L163" i="16"/>
  <c r="L400" i="16"/>
  <c r="L294" i="16"/>
  <c r="L371" i="16"/>
  <c r="L583" i="16"/>
  <c r="L606" i="16"/>
  <c r="L47" i="16"/>
  <c r="L1407" i="16"/>
  <c r="L498" i="16"/>
  <c r="L54" i="16"/>
  <c r="L160" i="16"/>
  <c r="L58" i="16"/>
  <c r="L1040" i="16"/>
  <c r="L161" i="16"/>
  <c r="L48" i="16"/>
  <c r="L439" i="16"/>
  <c r="L226" i="16"/>
  <c r="L110" i="16"/>
  <c r="L771" i="16"/>
  <c r="L1443" i="16"/>
  <c r="L643" i="16"/>
  <c r="L181" i="16"/>
  <c r="L250" i="16"/>
  <c r="L683" i="16"/>
  <c r="L1351" i="16"/>
  <c r="L33" i="16"/>
  <c r="L1430" i="16"/>
  <c r="L858" i="16"/>
  <c r="L1113" i="16"/>
  <c r="L88" i="16"/>
  <c r="L619" i="16"/>
  <c r="L898" i="16"/>
  <c r="L832" i="16"/>
  <c r="L624" i="16"/>
  <c r="L328" i="16"/>
  <c r="L1112" i="16"/>
  <c r="L1309" i="16"/>
  <c r="L779" i="16"/>
  <c r="L248" i="16"/>
  <c r="L552" i="16"/>
  <c r="L389" i="16"/>
  <c r="L225" i="16"/>
  <c r="L540" i="16"/>
  <c r="L533" i="16"/>
  <c r="L956" i="16"/>
  <c r="L1404" i="16"/>
  <c r="L1394" i="16"/>
  <c r="L638" i="16"/>
  <c r="L1206" i="16"/>
  <c r="L1155" i="16"/>
  <c r="L1447" i="16"/>
  <c r="L855" i="16"/>
  <c r="L152" i="16"/>
  <c r="L509" i="16"/>
  <c r="L1114" i="16"/>
  <c r="L863" i="16"/>
  <c r="L217" i="16"/>
  <c r="L1483" i="16"/>
  <c r="L802" i="16"/>
  <c r="L293" i="16"/>
  <c r="L1009" i="16"/>
  <c r="L1171" i="16"/>
  <c r="L429" i="16"/>
  <c r="L912" i="16"/>
  <c r="L62" i="16"/>
  <c r="L450" i="16"/>
  <c r="L1111" i="16"/>
  <c r="L617" i="16"/>
  <c r="L562" i="16"/>
  <c r="L848" i="16"/>
  <c r="L449" i="16"/>
  <c r="L883" i="16"/>
  <c r="L930" i="16"/>
  <c r="L1386" i="16"/>
  <c r="L1273" i="16"/>
  <c r="L1095" i="16"/>
  <c r="L1007" i="16"/>
  <c r="L778" i="16"/>
  <c r="L1188" i="16"/>
  <c r="L810" i="16"/>
  <c r="L1445" i="16"/>
  <c r="L808" i="16"/>
  <c r="L185" i="16"/>
  <c r="L332" i="16"/>
  <c r="L1230" i="16"/>
  <c r="L1183" i="16"/>
  <c r="L1513" i="16"/>
  <c r="L756" i="16"/>
  <c r="L1362" i="16"/>
  <c r="L143" i="16"/>
  <c r="L796" i="16"/>
  <c r="L490" i="16"/>
  <c r="L112" i="16"/>
  <c r="L973" i="16"/>
  <c r="L713" i="16"/>
  <c r="L1106" i="16"/>
  <c r="L797" i="16"/>
  <c r="L72" i="16"/>
  <c r="L1343" i="16"/>
  <c r="L364" i="16"/>
  <c r="L299" i="16"/>
  <c r="L1012" i="16"/>
  <c r="L1140" i="16"/>
  <c r="L1195" i="16"/>
  <c r="L786" i="16"/>
  <c r="L1494" i="16"/>
  <c r="L111" i="16"/>
  <c r="L481" i="16"/>
  <c r="L134" i="16"/>
  <c r="L1332" i="16"/>
  <c r="L1476" i="16"/>
  <c r="L1453" i="16"/>
  <c r="L545" i="16"/>
  <c r="L1486" i="16"/>
  <c r="L642" i="16"/>
  <c r="L718" i="16"/>
  <c r="L1304" i="16"/>
  <c r="L1102" i="16"/>
  <c r="L1429" i="16"/>
  <c r="L1440" i="16"/>
  <c r="L1164" i="16"/>
  <c r="L222" i="16"/>
  <c r="L1145" i="16"/>
  <c r="L1053" i="16"/>
  <c r="L138" i="16"/>
  <c r="L759" i="16"/>
  <c r="L520" i="16"/>
  <c r="L788" i="16"/>
  <c r="L1036" i="16"/>
  <c r="L809" i="16"/>
  <c r="L766" i="16"/>
  <c r="L1456" i="16"/>
  <c r="L1196" i="16"/>
  <c r="L1492" i="16"/>
  <c r="L725" i="16"/>
  <c r="L729" i="16"/>
  <c r="L828" i="16"/>
  <c r="L340" i="16"/>
  <c r="L397" i="16"/>
  <c r="L345" i="16"/>
  <c r="L1041" i="16"/>
  <c r="L1130" i="16"/>
  <c r="L1132" i="16"/>
  <c r="L478" i="16"/>
  <c r="L597" i="16"/>
  <c r="L577" i="16"/>
  <c r="L162" i="16"/>
  <c r="L945" i="16"/>
  <c r="L457" i="16"/>
  <c r="L433" i="16"/>
  <c r="L884" i="16"/>
  <c r="L554" i="16"/>
  <c r="L42" i="16"/>
  <c r="L390" i="16"/>
  <c r="L272" i="16"/>
  <c r="L1170" i="16"/>
  <c r="L140" i="16"/>
  <c r="L975" i="16"/>
  <c r="L417" i="16"/>
  <c r="L317" i="16"/>
  <c r="L1039" i="16"/>
  <c r="L1034" i="16"/>
  <c r="L1508" i="16"/>
  <c r="L1150" i="16"/>
  <c r="L530" i="16"/>
  <c r="L706" i="16"/>
  <c r="L675" i="16"/>
  <c r="L32" i="16"/>
  <c r="L334" i="16"/>
  <c r="L158" i="16"/>
  <c r="L1182" i="16"/>
  <c r="L203" i="16"/>
  <c r="L1410" i="16"/>
  <c r="L1200" i="16"/>
  <c r="L801" i="16"/>
  <c r="L763" i="16"/>
  <c r="L469" i="16"/>
  <c r="L575" i="16"/>
  <c r="L245" i="16"/>
  <c r="L946" i="16"/>
  <c r="L1259" i="16"/>
  <c r="L303" i="16"/>
  <c r="L1318" i="16"/>
  <c r="L379" i="16"/>
  <c r="L1512" i="16"/>
  <c r="L261" i="16"/>
  <c r="L227" i="16"/>
  <c r="L275" i="16"/>
  <c r="L64" i="16"/>
  <c r="L201" i="16"/>
  <c r="L846" i="16"/>
  <c r="L841" i="16"/>
  <c r="L736" i="16"/>
  <c r="L819" i="16"/>
  <c r="L1097" i="16"/>
  <c r="L264" i="16"/>
  <c r="L1035" i="16"/>
  <c r="L678" i="16"/>
  <c r="L83" i="16"/>
  <c r="L1464" i="16"/>
  <c r="L666" i="16"/>
  <c r="L1478" i="16"/>
  <c r="L1368" i="16"/>
  <c r="L1100" i="16"/>
  <c r="L938" i="16"/>
  <c r="L117" i="16"/>
  <c r="L1436" i="16"/>
  <c r="L1465" i="16"/>
  <c r="L1038" i="16"/>
  <c r="L1250" i="16"/>
  <c r="L751" i="16"/>
  <c r="L1109" i="16"/>
  <c r="L676" i="16"/>
  <c r="L1448" i="16"/>
  <c r="L512" i="16"/>
  <c r="L1162" i="16"/>
  <c r="L1450" i="16"/>
  <c r="L1344" i="16"/>
  <c r="L1353" i="16"/>
  <c r="L35" i="16"/>
  <c r="L655" i="16"/>
  <c r="L976" i="16"/>
  <c r="L497" i="16"/>
  <c r="L1083" i="16"/>
  <c r="L319" i="16"/>
  <c r="L484" i="16"/>
  <c r="L1122" i="16"/>
  <c r="L60" i="16"/>
  <c r="L76" i="16"/>
  <c r="L1089" i="16"/>
  <c r="L649" i="16"/>
  <c r="L247" i="16"/>
  <c r="L613" i="16"/>
  <c r="L1473" i="16"/>
  <c r="L1497" i="16"/>
  <c r="L306" i="16"/>
  <c r="L440" i="16"/>
  <c r="L1031" i="16"/>
  <c r="L1180" i="16"/>
  <c r="L1355" i="16"/>
  <c r="L232" i="16"/>
  <c r="L387" i="16"/>
  <c r="L772" i="16"/>
  <c r="L1179" i="16"/>
  <c r="L435" i="16"/>
  <c r="L761" i="16"/>
  <c r="L485" i="16"/>
  <c r="L574" i="16"/>
  <c r="L25" i="16"/>
  <c r="L106" i="16"/>
  <c r="L23" i="16"/>
  <c r="L964" i="16"/>
  <c r="L564" i="16"/>
  <c r="L584" i="16"/>
  <c r="L687" i="16"/>
  <c r="L704" i="16"/>
  <c r="L894" i="16"/>
  <c r="L98" i="16"/>
  <c r="L1408" i="16"/>
  <c r="L931" i="16"/>
  <c r="L789" i="16"/>
  <c r="L968" i="16"/>
  <c r="L1028" i="16"/>
  <c r="L149" i="16"/>
  <c r="L124" i="16"/>
  <c r="L445" i="16"/>
  <c r="L331" i="16"/>
  <c r="L538" i="16"/>
  <c r="L406" i="16"/>
  <c r="L1446" i="16"/>
  <c r="L944" i="16"/>
  <c r="L550" i="16"/>
  <c r="L924" i="16"/>
  <c r="L1029" i="16"/>
  <c r="L502" i="16"/>
  <c r="L301" i="16"/>
  <c r="L518" i="16"/>
  <c r="L290" i="16"/>
  <c r="L548" i="16"/>
  <c r="L1310" i="16"/>
  <c r="L827" i="16"/>
  <c r="L923" i="16"/>
  <c r="L758" i="16"/>
  <c r="L1066" i="16"/>
  <c r="L1004" i="16"/>
  <c r="L847" i="16"/>
  <c r="L834" i="16"/>
  <c r="L145" i="16"/>
  <c r="L625" i="16"/>
  <c r="L882" i="16"/>
  <c r="L614" i="16"/>
  <c r="L906" i="16"/>
  <c r="L90" i="16"/>
  <c r="L708" i="16"/>
  <c r="L304" i="16"/>
  <c r="L1502" i="16"/>
  <c r="L172" i="16"/>
  <c r="L5" i="16"/>
  <c r="L1228" i="16"/>
  <c r="L526" i="16"/>
  <c r="L748" i="16"/>
  <c r="L1189" i="16"/>
  <c r="L1335" i="16"/>
  <c r="L89" i="16"/>
  <c r="L1165" i="16"/>
  <c r="L876" i="16"/>
  <c r="L965" i="16"/>
  <c r="L1181" i="16"/>
  <c r="L627" i="16"/>
  <c r="L11" i="16"/>
  <c r="L1501" i="16"/>
  <c r="L1172" i="16"/>
  <c r="L187" i="16"/>
  <c r="L483" i="16"/>
  <c r="L1251" i="16"/>
  <c r="L1484" i="16"/>
  <c r="L669" i="16"/>
  <c r="L182" i="16"/>
  <c r="L1146" i="16"/>
  <c r="L732" i="16"/>
  <c r="L851" i="16"/>
  <c r="L438" i="16"/>
  <c r="L717" i="16"/>
  <c r="L46" i="16"/>
  <c r="L901" i="16"/>
  <c r="L983" i="16"/>
  <c r="L544" i="16"/>
  <c r="L852" i="16"/>
  <c r="L1356" i="16"/>
  <c r="L211" i="16"/>
  <c r="L1471" i="16"/>
  <c r="L1287" i="16"/>
  <c r="L1398" i="16"/>
  <c r="L1293" i="16"/>
  <c r="L183" i="16"/>
  <c r="L1399" i="16"/>
  <c r="L1291" i="16"/>
  <c r="L411" i="16"/>
  <c r="L1306" i="16"/>
  <c r="L150" i="16"/>
  <c r="L663" i="16"/>
  <c r="L1489" i="16"/>
  <c r="L1431" i="16"/>
  <c r="L1328" i="16"/>
  <c r="L664" i="16"/>
  <c r="L344" i="16"/>
  <c r="L472" i="16"/>
  <c r="L1248" i="16"/>
  <c r="L1223" i="16"/>
  <c r="L1426" i="16"/>
  <c r="L762" i="16"/>
  <c r="L1338" i="16"/>
  <c r="L300" i="16"/>
  <c r="L1438" i="16"/>
  <c r="L1475" i="16"/>
  <c r="L616" i="16"/>
  <c r="L1048" i="16"/>
  <c r="L644" i="16"/>
  <c r="L1354" i="16"/>
  <c r="L1061" i="16"/>
  <c r="L741" i="16"/>
  <c r="L724" i="16"/>
  <c r="L463" i="16"/>
  <c r="L24" i="16"/>
  <c r="L142" i="16"/>
  <c r="L311" i="16"/>
  <c r="L431" i="16"/>
  <c r="L383" i="16"/>
  <c r="L495" i="16"/>
  <c r="L1049" i="16"/>
  <c r="L473" i="16"/>
  <c r="L681" i="16"/>
  <c r="L1134" i="16"/>
  <c r="L26" i="16"/>
  <c r="L302" i="16"/>
  <c r="L118" i="16"/>
  <c r="L6" i="16"/>
  <c r="L701" i="16"/>
  <c r="L34" i="16"/>
  <c r="L493" i="16"/>
  <c r="L28" i="16"/>
  <c r="L59" i="16"/>
  <c r="L55" i="16"/>
  <c r="L12" i="16"/>
  <c r="L737" i="16"/>
  <c r="L658" i="16"/>
  <c r="L1148" i="16"/>
  <c r="L74" i="16"/>
  <c r="L1169" i="16"/>
  <c r="L749" i="16"/>
  <c r="L1068" i="16"/>
  <c r="L698" i="16"/>
  <c r="L680" i="16"/>
  <c r="L113" i="16"/>
  <c r="L1320" i="16"/>
  <c r="L324" i="16"/>
  <c r="L1239" i="16"/>
  <c r="L719" i="16"/>
  <c r="L236" i="16"/>
  <c r="L202" i="16"/>
  <c r="L667" i="16"/>
  <c r="L959" i="16"/>
  <c r="L1210" i="16"/>
  <c r="L1345" i="16"/>
  <c r="L1224" i="16"/>
  <c r="L135" i="16"/>
  <c r="L880" i="16"/>
  <c r="L972" i="16"/>
  <c r="L1178" i="16"/>
  <c r="L623" i="16"/>
  <c r="L266" i="16"/>
  <c r="L842" i="16"/>
  <c r="L1011" i="16"/>
  <c r="L262" i="16"/>
  <c r="L588" i="16"/>
  <c r="L307" i="16"/>
  <c r="L1383" i="16"/>
  <c r="L579" i="16"/>
  <c r="L1086" i="16"/>
  <c r="L908" i="16"/>
  <c r="L710" i="16"/>
  <c r="L285" i="16"/>
  <c r="L269" i="16"/>
  <c r="L1090" i="16"/>
  <c r="L628" i="16"/>
  <c r="L133" i="16"/>
  <c r="L1388" i="16"/>
  <c r="L665" i="16"/>
  <c r="L407" i="16"/>
  <c r="L836" i="16"/>
  <c r="L398" i="16"/>
  <c r="L508" i="16"/>
  <c r="L1023" i="16"/>
  <c r="L734" i="16"/>
  <c r="L405" i="16"/>
  <c r="L992" i="16"/>
  <c r="L757" i="16"/>
  <c r="L711" i="16"/>
  <c r="L511" i="16"/>
  <c r="L1054" i="16"/>
  <c r="L770" i="16"/>
  <c r="L184" i="16"/>
  <c r="L1401" i="16"/>
  <c r="L164" i="16"/>
  <c r="L769" i="16"/>
  <c r="L949" i="16"/>
  <c r="L601" i="16"/>
  <c r="L661" i="16"/>
  <c r="L892" i="16"/>
  <c r="L305" i="16"/>
  <c r="L573" i="16"/>
  <c r="L1348" i="16"/>
  <c r="L705" i="16"/>
  <c r="L122" i="16"/>
  <c r="L1514" i="16"/>
  <c r="L813" i="16"/>
  <c r="L859" i="16"/>
  <c r="L199" i="16"/>
  <c r="L1299" i="16"/>
  <c r="L1161" i="16"/>
  <c r="L51" i="16"/>
  <c r="L251" i="16"/>
  <c r="L391" i="16"/>
  <c r="L154" i="16"/>
  <c r="L794" i="16"/>
  <c r="L693" i="16"/>
  <c r="L1129" i="16"/>
  <c r="L246" i="16"/>
  <c r="L1288" i="16"/>
  <c r="L1395" i="16"/>
  <c r="L1505" i="16"/>
  <c r="L477" i="16"/>
  <c r="L1279" i="16"/>
  <c r="L1104" i="16"/>
  <c r="L353" i="16"/>
  <c r="L837" i="16"/>
  <c r="L1263" i="16"/>
  <c r="L425" i="16"/>
  <c r="L166" i="16"/>
  <c r="L1073" i="16"/>
  <c r="L767" i="16"/>
  <c r="L651" i="16"/>
  <c r="L496" i="16"/>
  <c r="L1065" i="16"/>
  <c r="L1326" i="16"/>
  <c r="L1261" i="16"/>
  <c r="L359" i="16"/>
  <c r="L1305" i="16"/>
  <c r="L994" i="16"/>
  <c r="L527" i="16"/>
  <c r="L543" i="16"/>
  <c r="L329" i="16"/>
  <c r="L297" i="16"/>
  <c r="L234" i="16"/>
  <c r="L378" i="16"/>
  <c r="L326" i="16"/>
  <c r="L315" i="16"/>
  <c r="L7" i="16"/>
  <c r="L423" i="16"/>
  <c r="L270" i="16"/>
  <c r="L1190" i="16"/>
  <c r="L951" i="16"/>
  <c r="L362" i="16"/>
  <c r="L981" i="16"/>
  <c r="L420" i="16"/>
  <c r="L888" i="16"/>
  <c r="L426" i="16"/>
  <c r="L615" i="16"/>
  <c r="L243" i="16"/>
  <c r="L1238" i="16"/>
  <c r="L61" i="16"/>
  <c r="L188" i="16"/>
  <c r="L280" i="16"/>
  <c r="L1156" i="16"/>
  <c r="L1405" i="16"/>
  <c r="L1308" i="16"/>
  <c r="L310" i="16"/>
  <c r="L195" i="16"/>
  <c r="L146" i="16"/>
  <c r="L686" i="16"/>
  <c r="L8" i="16"/>
  <c r="L1208" i="16"/>
  <c r="L169" i="16"/>
  <c r="L396" i="16"/>
  <c r="L1303" i="16"/>
  <c r="L501" i="16"/>
  <c r="L621" i="16"/>
  <c r="L963" i="16"/>
  <c r="L699" i="16"/>
  <c r="L1337" i="16"/>
  <c r="L969" i="16"/>
  <c r="L950" i="16"/>
  <c r="L1367" i="16"/>
  <c r="L1144" i="16"/>
  <c r="L1168" i="16"/>
  <c r="L1141" i="16"/>
  <c r="L877" i="16"/>
  <c r="L1374" i="16"/>
  <c r="L1333" i="16"/>
  <c r="L1197" i="16"/>
  <c r="L1375" i="16"/>
  <c r="L216" i="16"/>
  <c r="L1283" i="16"/>
  <c r="L955" i="16"/>
  <c r="L395" i="16"/>
  <c r="L1110" i="16"/>
  <c r="L580" i="16"/>
  <c r="L900" i="16"/>
  <c r="L223" i="16"/>
  <c r="L922" i="16"/>
  <c r="L355" i="16"/>
  <c r="L119" i="16"/>
  <c r="L1460" i="16"/>
  <c r="L650" i="16"/>
  <c r="L962" i="16"/>
  <c r="L1043" i="16"/>
  <c r="L782" i="16"/>
  <c r="L265" i="16"/>
  <c r="L632" i="16"/>
  <c r="L1153" i="16"/>
  <c r="L218" i="16"/>
  <c r="L1076" i="16"/>
  <c r="L726" i="16"/>
  <c r="L1091" i="16"/>
  <c r="L1432" i="16"/>
  <c r="L1018" i="16"/>
  <c r="L1232" i="16"/>
  <c r="L1226" i="16"/>
  <c r="L1270" i="16"/>
  <c r="L1385" i="16"/>
  <c r="L565" i="16"/>
  <c r="L82" i="16"/>
  <c r="L519" i="16"/>
  <c r="L1349" i="16"/>
  <c r="L804" i="16"/>
  <c r="L358" i="16"/>
  <c r="L777" i="16"/>
  <c r="L322" i="16"/>
  <c r="L94" i="16"/>
  <c r="L670" i="16"/>
  <c r="L505" i="16"/>
  <c r="L755" i="16"/>
  <c r="L14" i="16"/>
  <c r="L660" i="16"/>
  <c r="L645" i="16"/>
  <c r="L1074" i="16"/>
  <c r="L1216" i="16"/>
  <c r="L1454" i="16"/>
  <c r="L641" i="16"/>
  <c r="L1133" i="16"/>
  <c r="L689" i="16"/>
  <c r="L78" i="16"/>
  <c r="L276" i="16"/>
  <c r="L849" i="16"/>
  <c r="L316" i="16"/>
  <c r="L295" i="16"/>
  <c r="L1056" i="16"/>
  <c r="L1500" i="16"/>
  <c r="L714" i="16"/>
  <c r="L1324" i="16"/>
  <c r="L1322" i="16"/>
  <c r="L224" i="16"/>
  <c r="L589" i="16"/>
  <c r="L587" i="16"/>
  <c r="L173" i="16"/>
  <c r="L40" i="16"/>
  <c r="L96" i="16"/>
  <c r="L49" i="16"/>
  <c r="L392" i="16"/>
  <c r="L881" i="16"/>
  <c r="L1302" i="16"/>
  <c r="L795" i="16"/>
  <c r="L567" i="16"/>
  <c r="L1511" i="16"/>
  <c r="L688" i="16"/>
  <c r="L722" i="16"/>
  <c r="L866" i="16"/>
  <c r="L1281" i="16"/>
  <c r="L208" i="16"/>
  <c r="L43" i="16"/>
  <c r="L1099" i="16"/>
  <c r="L1088" i="16"/>
  <c r="L555" i="16"/>
  <c r="L63" i="16"/>
  <c r="L177" i="16"/>
  <c r="L212" i="16"/>
  <c r="L259" i="16"/>
  <c r="L37" i="16"/>
  <c r="L165" i="16"/>
  <c r="L1117" i="16"/>
  <c r="L44" i="16"/>
  <c r="L238" i="16"/>
  <c r="L193" i="16"/>
  <c r="L1373" i="16"/>
  <c r="L1205" i="16"/>
  <c r="L1244" i="16"/>
  <c r="L1414" i="16"/>
  <c r="L697" i="16"/>
  <c r="L989" i="16"/>
  <c r="L679" i="16"/>
  <c r="L596" i="16"/>
  <c r="L1010" i="16"/>
  <c r="L622" i="16"/>
  <c r="L1151" i="16"/>
  <c r="L1257" i="16"/>
  <c r="L586" i="16"/>
  <c r="L1236" i="16"/>
  <c r="L198" i="16"/>
  <c r="L1070" i="16"/>
  <c r="L1360" i="16"/>
  <c r="L925" i="16"/>
  <c r="L298" i="16"/>
  <c r="L123" i="16"/>
  <c r="L1080" i="16"/>
  <c r="L1047" i="16"/>
  <c r="L528" i="16"/>
  <c r="L746" i="16"/>
  <c r="L36" i="16"/>
  <c r="L728" i="16"/>
  <c r="L219" i="16"/>
  <c r="L1457" i="16"/>
  <c r="L369" i="16"/>
  <c r="L339" i="16"/>
  <c r="L1463" i="16"/>
  <c r="L281" i="16"/>
  <c r="L79" i="16"/>
  <c r="L350" i="16"/>
  <c r="L410" i="16"/>
  <c r="L647" i="16"/>
  <c r="L9" i="16"/>
  <c r="L593" i="16"/>
  <c r="L401" i="16"/>
  <c r="L286" i="16"/>
  <c r="L381" i="16"/>
  <c r="L1126" i="16"/>
  <c r="L376" i="16"/>
  <c r="L1317" i="16"/>
  <c r="L441" i="16"/>
  <c r="L197" i="16"/>
  <c r="L155" i="16"/>
  <c r="L393" i="16"/>
  <c r="L790" i="16"/>
  <c r="L816" i="16"/>
  <c r="L999" i="16"/>
  <c r="L889" i="16"/>
  <c r="L869" i="16"/>
  <c r="L361" i="16"/>
  <c r="L1439" i="16"/>
  <c r="L1327" i="16"/>
  <c r="L444" i="16"/>
  <c r="L1177" i="16"/>
  <c r="L456" i="16"/>
  <c r="L73" i="16"/>
  <c r="L721" i="16"/>
  <c r="L175" i="16"/>
  <c r="L1294" i="16"/>
  <c r="L568" i="16"/>
  <c r="L990" i="16"/>
  <c r="L831" i="16"/>
  <c r="L1277" i="16"/>
  <c r="L1062" i="16"/>
  <c r="L209" i="16"/>
  <c r="L366" i="16"/>
  <c r="L1451" i="16"/>
  <c r="L459" i="16"/>
  <c r="L1267" i="16"/>
  <c r="L1390" i="16"/>
  <c r="L978" i="16"/>
  <c r="L1397" i="16"/>
  <c r="L753" i="16"/>
  <c r="L1325" i="16"/>
  <c r="L1075" i="16"/>
  <c r="L347" i="16"/>
  <c r="L954" i="16"/>
  <c r="L428" i="16"/>
  <c r="L919" i="16"/>
  <c r="L961" i="16"/>
  <c r="L1163" i="16"/>
  <c r="L437" i="16"/>
  <c r="L1416" i="16"/>
  <c r="L1014" i="16"/>
  <c r="L1143" i="16"/>
  <c r="L910" i="16"/>
  <c r="L803" i="16"/>
  <c r="L289" i="16"/>
  <c r="L1211" i="16"/>
  <c r="L516" i="16"/>
  <c r="L798" i="16"/>
  <c r="L382" i="16"/>
  <c r="L1204" i="16"/>
  <c r="L979" i="16"/>
  <c r="L1490" i="16"/>
  <c r="L830" i="16"/>
  <c r="L953" i="16"/>
  <c r="L1312" i="16"/>
  <c r="L241" i="16"/>
  <c r="L120" i="16"/>
  <c r="L240" i="16"/>
  <c r="L814" i="16"/>
  <c r="L1077" i="16"/>
  <c r="L774" i="16"/>
  <c r="L608" i="16"/>
  <c r="L66" i="16"/>
  <c r="L1329" i="16"/>
  <c r="L1137" i="16"/>
  <c r="L69" i="16"/>
  <c r="L744" i="16"/>
  <c r="L843" i="16"/>
  <c r="L1342" i="16"/>
  <c r="L633" i="16"/>
  <c r="L1032" i="16"/>
  <c r="L1380" i="16"/>
  <c r="L996" i="16"/>
  <c r="L553" i="16"/>
  <c r="L620" i="16"/>
  <c r="L1231" i="16"/>
  <c r="L1452" i="16"/>
  <c r="L16" i="16"/>
  <c r="L690" i="16"/>
  <c r="L1295" i="16"/>
  <c r="L1495" i="16"/>
  <c r="L1316" i="16"/>
  <c r="L1413" i="16"/>
  <c r="L1434" i="16"/>
  <c r="L1437" i="16"/>
  <c r="L1382" i="16"/>
  <c r="L885" i="16"/>
  <c r="L1266" i="16"/>
  <c r="L504" i="16"/>
  <c r="L1384" i="16"/>
  <c r="L1424" i="16"/>
  <c r="L692" i="16"/>
  <c r="L1255" i="16"/>
  <c r="L556" i="16"/>
  <c r="L192" i="16"/>
  <c r="L932" i="16"/>
  <c r="L1103" i="16"/>
  <c r="L784" i="16"/>
  <c r="L367" i="16"/>
  <c r="L1319" i="16"/>
  <c r="L153" i="16"/>
  <c r="L39" i="16"/>
  <c r="L634" i="16"/>
  <c r="L1403" i="16"/>
  <c r="L1323" i="16"/>
  <c r="L412" i="16"/>
  <c r="L447" i="16"/>
  <c r="L578" i="16"/>
  <c r="L1175" i="16"/>
  <c r="L148" i="16"/>
  <c r="L635" i="16"/>
  <c r="L987" i="16"/>
  <c r="L569" i="16"/>
  <c r="L610" i="16"/>
  <c r="L167" i="16"/>
  <c r="L335" i="16"/>
  <c r="L114" i="16"/>
  <c r="L451" i="16"/>
  <c r="L180" i="16"/>
  <c r="L341" i="16"/>
  <c r="L1219" i="16"/>
  <c r="L1002" i="16"/>
  <c r="L857" i="16"/>
  <c r="L1055" i="16"/>
  <c r="L491" i="16"/>
  <c r="L939" i="16"/>
  <c r="L576" i="16"/>
  <c r="L464" i="16"/>
  <c r="L1037" i="16"/>
  <c r="L903" i="16"/>
  <c r="L1400" i="16"/>
  <c r="L1284" i="16"/>
  <c r="L287" i="16"/>
  <c r="L346" i="16"/>
  <c r="L1271" i="16"/>
  <c r="L1480" i="16"/>
  <c r="L194" i="16"/>
  <c r="L1087" i="16"/>
  <c r="L500" i="16"/>
  <c r="L288" i="16"/>
  <c r="L1108" i="16"/>
  <c r="L1016" i="16"/>
  <c r="L833" i="16"/>
  <c r="L291" i="16"/>
  <c r="L893" i="16"/>
  <c r="L948" i="16"/>
  <c r="L878" i="16"/>
  <c r="L1078" i="16"/>
  <c r="L260" i="16"/>
  <c r="L733" i="16"/>
  <c r="L1138" i="16"/>
  <c r="L1482" i="16"/>
  <c r="L547" i="16"/>
  <c r="L1159" i="16"/>
  <c r="L1260" i="16"/>
  <c r="L535" i="16"/>
  <c r="L937" i="16"/>
  <c r="L325" i="16"/>
  <c r="L902" i="16"/>
  <c r="L1225" i="16"/>
  <c r="L1085" i="16"/>
  <c r="L684" i="16"/>
  <c r="L856" i="16"/>
  <c r="L75" i="16"/>
  <c r="L515" i="16"/>
  <c r="L1444" i="16"/>
  <c r="L825" i="16"/>
  <c r="L920" i="16"/>
  <c r="L446" i="16"/>
  <c r="L723" i="16"/>
  <c r="L891" i="16"/>
  <c r="L674" i="16"/>
  <c r="L1093" i="16"/>
  <c r="L970" i="16"/>
  <c r="L434" i="16"/>
  <c r="L356" i="16"/>
  <c r="L811" i="16"/>
  <c r="L220" i="16"/>
  <c r="L86" i="16"/>
  <c r="L29" i="16"/>
  <c r="L103" i="16"/>
  <c r="L776" i="16"/>
  <c r="L873" i="16"/>
  <c r="L308" i="16"/>
  <c r="L1025" i="16"/>
  <c r="L1229" i="16"/>
  <c r="L915" i="16"/>
  <c r="L1420" i="16"/>
  <c r="L997" i="16"/>
  <c r="L494" i="16"/>
  <c r="L570" i="16"/>
  <c r="L860" i="16"/>
  <c r="L1369" i="16"/>
  <c r="L940" i="16"/>
  <c r="L985" i="16"/>
  <c r="L1194" i="16"/>
  <c r="L862" i="16"/>
  <c r="L1278" i="16"/>
  <c r="L1123" i="16"/>
  <c r="L532" i="16"/>
  <c r="L1346" i="16"/>
  <c r="L107" i="16"/>
  <c r="L170" i="16"/>
  <c r="L279" i="16"/>
  <c r="L503" i="16"/>
  <c r="L542" i="16"/>
  <c r="L95" i="16"/>
  <c r="L839" i="16"/>
  <c r="L636" i="16"/>
  <c r="L1363" i="16"/>
  <c r="L327" i="16"/>
  <c r="L523" i="16"/>
  <c r="L151" i="16"/>
  <c r="L572" i="16"/>
  <c r="L330" i="16"/>
  <c r="L1422" i="16"/>
  <c r="L168" i="16"/>
  <c r="L499" i="16"/>
  <c r="L558" i="16"/>
  <c r="L487" i="16"/>
  <c r="L820" i="16"/>
  <c r="L1015" i="16"/>
  <c r="L1370" i="16"/>
  <c r="L1019" i="16"/>
  <c r="L773" i="16"/>
  <c r="L1496" i="16"/>
  <c r="L995" i="16"/>
  <c r="L385" i="16"/>
  <c r="L886" i="16"/>
  <c r="L566" i="16"/>
  <c r="L1218" i="16"/>
  <c r="L612" i="16"/>
  <c r="L1421" i="16"/>
  <c r="L1120" i="16"/>
  <c r="L740" i="16"/>
  <c r="L626" i="16"/>
  <c r="L943" i="16"/>
  <c r="L278" i="16"/>
  <c r="L559" i="16"/>
  <c r="L263" i="16"/>
  <c r="L466" i="16"/>
  <c r="L239" i="16"/>
  <c r="L1201" i="16"/>
  <c r="L546" i="16"/>
  <c r="L1147" i="16"/>
  <c r="L812" i="16"/>
  <c r="L1246" i="16"/>
  <c r="L190" i="16"/>
  <c r="L10" i="16"/>
  <c r="L1057" i="16"/>
  <c r="L489" i="16"/>
  <c r="L130" i="16"/>
  <c r="L909" i="16"/>
  <c r="L952" i="16"/>
  <c r="L549" i="16"/>
  <c r="L267" i="16"/>
  <c r="L1472" i="16"/>
  <c r="L1433" i="16"/>
  <c r="L1313" i="16"/>
  <c r="L228" i="16"/>
  <c r="L905" i="16"/>
  <c r="L1359" i="16"/>
  <c r="L292" i="16"/>
  <c r="L126" i="16"/>
  <c r="J2" i="7" l="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D2" i="4"/>
  <c r="C2" i="4"/>
  <c r="F4" i="3" l="1"/>
  <c r="B1" i="3"/>
  <c r="E4" i="3" l="1"/>
  <c r="I2" i="4" l="1"/>
  <c r="E2" i="4" l="1"/>
  <c r="G2" i="4" l="1"/>
  <c r="F2" i="4" s="1"/>
  <c r="F3" i="4" s="1"/>
  <c r="D4" i="3" s="1"/>
  <c r="I7" i="3"/>
  <c r="I24" i="3" l="1"/>
  <c r="I25" i="3" l="1"/>
  <c r="I26" i="3" s="1"/>
  <c r="C26" i="3" s="1"/>
  <c r="C24" i="3"/>
  <c r="M24" i="3"/>
  <c r="F24" i="3"/>
  <c r="N24" i="3"/>
  <c r="H24" i="3"/>
  <c r="J24" i="3"/>
  <c r="O24" i="3"/>
  <c r="D24" i="3"/>
  <c r="K24" i="3"/>
  <c r="E24" i="3"/>
  <c r="L24" i="3"/>
  <c r="G24" i="3"/>
  <c r="I23" i="3"/>
  <c r="K23" i="3" s="1"/>
  <c r="I27" i="3" l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O23" i="3"/>
  <c r="D23" i="3"/>
  <c r="H23" i="3"/>
  <c r="N23" i="3"/>
  <c r="C23" i="3"/>
  <c r="M23" i="3"/>
  <c r="J23" i="3"/>
  <c r="E23" i="3"/>
  <c r="L23" i="3"/>
  <c r="F23" i="3"/>
  <c r="G23" i="3"/>
  <c r="K25" i="3"/>
  <c r="O25" i="3"/>
  <c r="D25" i="3"/>
  <c r="H25" i="3"/>
  <c r="M25" i="3"/>
  <c r="G25" i="3"/>
  <c r="L25" i="3"/>
  <c r="N25" i="3"/>
  <c r="C25" i="3"/>
  <c r="J25" i="3"/>
  <c r="E25" i="3"/>
  <c r="F25" i="3"/>
  <c r="P24" i="3"/>
  <c r="B24" i="3"/>
  <c r="I22" i="3"/>
  <c r="K22" i="3" l="1"/>
  <c r="I21" i="3"/>
  <c r="I20" i="3" s="1"/>
  <c r="I19" i="3" s="1"/>
  <c r="I18" i="3" s="1"/>
  <c r="M26" i="3"/>
  <c r="F26" i="3"/>
  <c r="L26" i="3"/>
  <c r="G26" i="3"/>
  <c r="N26" i="3"/>
  <c r="H26" i="3"/>
  <c r="J26" i="3"/>
  <c r="O26" i="3"/>
  <c r="D26" i="3"/>
  <c r="K26" i="3"/>
  <c r="E26" i="3"/>
  <c r="M22" i="3"/>
  <c r="F22" i="3"/>
  <c r="J22" i="3"/>
  <c r="O22" i="3"/>
  <c r="D22" i="3"/>
  <c r="E22" i="3"/>
  <c r="L22" i="3"/>
  <c r="G22" i="3"/>
  <c r="N22" i="3"/>
  <c r="C22" i="3"/>
  <c r="H22" i="3"/>
  <c r="P25" i="3"/>
  <c r="P23" i="3"/>
  <c r="B23" i="3"/>
  <c r="B25" i="3"/>
  <c r="C19" i="3" l="1"/>
  <c r="G19" i="3"/>
  <c r="K20" i="3"/>
  <c r="E19" i="3"/>
  <c r="K19" i="3"/>
  <c r="K21" i="3"/>
  <c r="J19" i="3"/>
  <c r="F19" i="3"/>
  <c r="N19" i="3"/>
  <c r="L19" i="3"/>
  <c r="M19" i="3"/>
  <c r="D19" i="3"/>
  <c r="O19" i="3"/>
  <c r="H19" i="3"/>
  <c r="I17" i="3"/>
  <c r="F18" i="3"/>
  <c r="N18" i="3"/>
  <c r="O18" i="3"/>
  <c r="L18" i="3"/>
  <c r="C18" i="3"/>
  <c r="D18" i="3"/>
  <c r="M18" i="3"/>
  <c r="K18" i="3"/>
  <c r="J18" i="3"/>
  <c r="G18" i="3"/>
  <c r="H18" i="3"/>
  <c r="E18" i="3"/>
  <c r="O21" i="3"/>
  <c r="D21" i="3"/>
  <c r="H21" i="3"/>
  <c r="J21" i="3"/>
  <c r="E21" i="3"/>
  <c r="N21" i="3"/>
  <c r="L21" i="3"/>
  <c r="F21" i="3"/>
  <c r="M21" i="3"/>
  <c r="G21" i="3"/>
  <c r="C21" i="3"/>
  <c r="M20" i="3"/>
  <c r="F20" i="3"/>
  <c r="E20" i="3"/>
  <c r="J20" i="3"/>
  <c r="L20" i="3"/>
  <c r="G20" i="3"/>
  <c r="N20" i="3"/>
  <c r="C20" i="3"/>
  <c r="H20" i="3"/>
  <c r="O20" i="3"/>
  <c r="D20" i="3"/>
  <c r="M32" i="3"/>
  <c r="F32" i="3"/>
  <c r="N32" i="3"/>
  <c r="C32" i="3"/>
  <c r="H32" i="3"/>
  <c r="J32" i="3"/>
  <c r="O32" i="3"/>
  <c r="D32" i="3"/>
  <c r="K32" i="3"/>
  <c r="E32" i="3"/>
  <c r="L32" i="3"/>
  <c r="G32" i="3"/>
  <c r="K27" i="3"/>
  <c r="O27" i="3"/>
  <c r="D27" i="3"/>
  <c r="H27" i="3"/>
  <c r="L27" i="3"/>
  <c r="F27" i="3"/>
  <c r="J27" i="3"/>
  <c r="M27" i="3"/>
  <c r="G27" i="3"/>
  <c r="N27" i="3"/>
  <c r="C27" i="3"/>
  <c r="E27" i="3"/>
  <c r="P22" i="3"/>
  <c r="P26" i="3"/>
  <c r="B22" i="3"/>
  <c r="B26" i="3"/>
  <c r="B21" i="3" l="1"/>
  <c r="P19" i="3"/>
  <c r="B19" i="3"/>
  <c r="B18" i="3"/>
  <c r="P18" i="3"/>
  <c r="I16" i="3"/>
  <c r="O17" i="3"/>
  <c r="G17" i="3"/>
  <c r="E17" i="3"/>
  <c r="D17" i="3"/>
  <c r="N17" i="3"/>
  <c r="L17" i="3"/>
  <c r="K17" i="3"/>
  <c r="M17" i="3"/>
  <c r="J17" i="3"/>
  <c r="H17" i="3"/>
  <c r="C17" i="3"/>
  <c r="F17" i="3"/>
  <c r="M28" i="3"/>
  <c r="F28" i="3"/>
  <c r="K28" i="3"/>
  <c r="E28" i="3"/>
  <c r="O28" i="3"/>
  <c r="L28" i="3"/>
  <c r="G28" i="3"/>
  <c r="N28" i="3"/>
  <c r="C28" i="3"/>
  <c r="H28" i="3"/>
  <c r="J28" i="3"/>
  <c r="D28" i="3"/>
  <c r="K33" i="3"/>
  <c r="O33" i="3"/>
  <c r="D33" i="3"/>
  <c r="H33" i="3"/>
  <c r="M33" i="3"/>
  <c r="G33" i="3"/>
  <c r="L33" i="3"/>
  <c r="N33" i="3"/>
  <c r="C33" i="3"/>
  <c r="J33" i="3"/>
  <c r="E33" i="3"/>
  <c r="F33" i="3"/>
  <c r="P32" i="3"/>
  <c r="P27" i="3"/>
  <c r="P21" i="3"/>
  <c r="P20" i="3"/>
  <c r="B20" i="3"/>
  <c r="B27" i="3"/>
  <c r="B32" i="3"/>
  <c r="P17" i="3" l="1"/>
  <c r="B17" i="3"/>
  <c r="I15" i="3"/>
  <c r="C16" i="3"/>
  <c r="J16" i="3"/>
  <c r="E16" i="3"/>
  <c r="K16" i="3"/>
  <c r="M16" i="3"/>
  <c r="H16" i="3"/>
  <c r="O16" i="3"/>
  <c r="N16" i="3"/>
  <c r="G16" i="3"/>
  <c r="F16" i="3"/>
  <c r="L16" i="3"/>
  <c r="D16" i="3"/>
  <c r="M34" i="3"/>
  <c r="F34" i="3"/>
  <c r="L34" i="3"/>
  <c r="G34" i="3"/>
  <c r="N34" i="3"/>
  <c r="C34" i="3"/>
  <c r="H34" i="3"/>
  <c r="J34" i="3"/>
  <c r="O34" i="3"/>
  <c r="D34" i="3"/>
  <c r="K34" i="3"/>
  <c r="E34" i="3"/>
  <c r="K29" i="3"/>
  <c r="O29" i="3"/>
  <c r="D29" i="3"/>
  <c r="H29" i="3"/>
  <c r="J29" i="3"/>
  <c r="E29" i="3"/>
  <c r="L29" i="3"/>
  <c r="F29" i="3"/>
  <c r="M29" i="3"/>
  <c r="G29" i="3"/>
  <c r="N29" i="3"/>
  <c r="C29" i="3"/>
  <c r="P33" i="3"/>
  <c r="P28" i="3"/>
  <c r="B28" i="3"/>
  <c r="B33" i="3"/>
  <c r="B16" i="3" l="1"/>
  <c r="P16" i="3"/>
  <c r="I14" i="3"/>
  <c r="N15" i="3"/>
  <c r="H15" i="3"/>
  <c r="E15" i="3"/>
  <c r="K15" i="3"/>
  <c r="M15" i="3"/>
  <c r="G15" i="3"/>
  <c r="D15" i="3"/>
  <c r="O15" i="3"/>
  <c r="C15" i="3"/>
  <c r="F15" i="3"/>
  <c r="J15" i="3"/>
  <c r="L15" i="3"/>
  <c r="P34" i="3"/>
  <c r="K35" i="3"/>
  <c r="O35" i="3"/>
  <c r="D35" i="3"/>
  <c r="H35" i="3"/>
  <c r="L35" i="3"/>
  <c r="F35" i="3"/>
  <c r="J35" i="3"/>
  <c r="M35" i="3"/>
  <c r="G35" i="3"/>
  <c r="N35" i="3"/>
  <c r="C35" i="3"/>
  <c r="E35" i="3"/>
  <c r="M30" i="3"/>
  <c r="F30" i="3"/>
  <c r="J30" i="3"/>
  <c r="O30" i="3"/>
  <c r="D30" i="3"/>
  <c r="N30" i="3"/>
  <c r="K30" i="3"/>
  <c r="E30" i="3"/>
  <c r="L30" i="3"/>
  <c r="G30" i="3"/>
  <c r="C30" i="3"/>
  <c r="H30" i="3"/>
  <c r="P29" i="3"/>
  <c r="B29" i="3"/>
  <c r="B34" i="3"/>
  <c r="B15" i="3" l="1"/>
  <c r="P15" i="3"/>
  <c r="I13" i="3"/>
  <c r="F14" i="3"/>
  <c r="C14" i="3"/>
  <c r="G14" i="3"/>
  <c r="J14" i="3"/>
  <c r="N14" i="3"/>
  <c r="H14" i="3"/>
  <c r="L14" i="3"/>
  <c r="K14" i="3"/>
  <c r="E14" i="3"/>
  <c r="M14" i="3"/>
  <c r="D14" i="3"/>
  <c r="O14" i="3"/>
  <c r="M36" i="3"/>
  <c r="F36" i="3"/>
  <c r="K36" i="3"/>
  <c r="E36" i="3"/>
  <c r="O36" i="3"/>
  <c r="L36" i="3"/>
  <c r="G36" i="3"/>
  <c r="N36" i="3"/>
  <c r="C36" i="3"/>
  <c r="H36" i="3"/>
  <c r="J36" i="3"/>
  <c r="D36" i="3"/>
  <c r="K31" i="3"/>
  <c r="O31" i="3"/>
  <c r="D31" i="3"/>
  <c r="H31" i="3"/>
  <c r="N31" i="3"/>
  <c r="C31" i="3"/>
  <c r="M31" i="3"/>
  <c r="J31" i="3"/>
  <c r="E31" i="3"/>
  <c r="L31" i="3"/>
  <c r="F31" i="3"/>
  <c r="G31" i="3"/>
  <c r="P30" i="3"/>
  <c r="P35" i="3"/>
  <c r="B30" i="3"/>
  <c r="B35" i="3"/>
  <c r="P14" i="3" l="1"/>
  <c r="B14" i="3"/>
  <c r="I12" i="3"/>
  <c r="N13" i="3"/>
  <c r="H13" i="3"/>
  <c r="F13" i="3"/>
  <c r="K13" i="3"/>
  <c r="L13" i="3"/>
  <c r="G13" i="3"/>
  <c r="O13" i="3"/>
  <c r="E13" i="3"/>
  <c r="M13" i="3"/>
  <c r="J13" i="3"/>
  <c r="D13" i="3"/>
  <c r="C13" i="3"/>
  <c r="K37" i="3"/>
  <c r="O37" i="3"/>
  <c r="D37" i="3"/>
  <c r="J37" i="3"/>
  <c r="E37" i="3"/>
  <c r="L37" i="3"/>
  <c r="F37" i="3"/>
  <c r="N37" i="3"/>
  <c r="M37" i="3"/>
  <c r="G37" i="3"/>
  <c r="C37" i="3"/>
  <c r="H37" i="3"/>
  <c r="P31" i="3"/>
  <c r="P36" i="3"/>
  <c r="B31" i="3"/>
  <c r="B36" i="3"/>
  <c r="B13" i="3" l="1"/>
  <c r="P13" i="3"/>
  <c r="F12" i="3"/>
  <c r="K12" i="3"/>
  <c r="H12" i="3"/>
  <c r="I11" i="3"/>
  <c r="L12" i="3"/>
  <c r="N12" i="3"/>
  <c r="O12" i="3"/>
  <c r="J12" i="3"/>
  <c r="G12" i="3"/>
  <c r="D12" i="3"/>
  <c r="M12" i="3"/>
  <c r="E12" i="3"/>
  <c r="C12" i="3"/>
  <c r="M38" i="3"/>
  <c r="J38" i="3"/>
  <c r="O38" i="3"/>
  <c r="C38" i="3"/>
  <c r="G38" i="3"/>
  <c r="K38" i="3"/>
  <c r="D38" i="3"/>
  <c r="H38" i="3"/>
  <c r="L38" i="3"/>
  <c r="E38" i="3"/>
  <c r="N38" i="3"/>
  <c r="F38" i="3"/>
  <c r="P37" i="3"/>
  <c r="B37" i="3"/>
  <c r="P12" i="3" l="1"/>
  <c r="B12" i="3"/>
  <c r="O11" i="3"/>
  <c r="M11" i="3"/>
  <c r="C11" i="3"/>
  <c r="I10" i="3"/>
  <c r="J11" i="3"/>
  <c r="D11" i="3"/>
  <c r="F11" i="3"/>
  <c r="N11" i="3"/>
  <c r="H11" i="3"/>
  <c r="E11" i="3"/>
  <c r="K11" i="3"/>
  <c r="L11" i="3"/>
  <c r="G11" i="3"/>
  <c r="K39" i="3"/>
  <c r="O39" i="3"/>
  <c r="N39" i="3"/>
  <c r="E39" i="3"/>
  <c r="M39" i="3"/>
  <c r="J39" i="3"/>
  <c r="F39" i="3"/>
  <c r="L39" i="3"/>
  <c r="C39" i="3"/>
  <c r="G39" i="3"/>
  <c r="D39" i="3"/>
  <c r="H39" i="3"/>
  <c r="P38" i="3"/>
  <c r="B38" i="3"/>
  <c r="B11" i="3" l="1"/>
  <c r="P11" i="3"/>
  <c r="D10" i="3"/>
  <c r="D40" i="3" s="1"/>
  <c r="C10" i="3"/>
  <c r="C40" i="3" s="1"/>
  <c r="E10" i="3"/>
  <c r="E40" i="3" s="1"/>
  <c r="K10" i="3"/>
  <c r="J10" i="3"/>
  <c r="F10" i="3"/>
  <c r="H10" i="3"/>
  <c r="G10" i="3"/>
  <c r="M10" i="3"/>
  <c r="M40" i="3" s="1"/>
  <c r="L10" i="3"/>
  <c r="O10" i="3"/>
  <c r="O40" i="3" s="1"/>
  <c r="N10" i="3"/>
  <c r="N40" i="3" s="1"/>
  <c r="P39" i="3"/>
  <c r="B39" i="3"/>
  <c r="O5" i="3" l="1"/>
  <c r="L5" i="3"/>
  <c r="J5" i="3"/>
  <c r="H5" i="3"/>
  <c r="P10" i="3"/>
  <c r="B1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ECE03C-427C-4F5D-92FF-DDF8138FB63B}" keepAlive="1" name="Query - Cookes" description="Connection to the 'Cookes' query in the workbook." type="5" refreshedVersion="0">
    <dbPr connection="Provider=Microsoft.Mashup.OleDb.1;Data Source=$Workbook$;Location=Cookes;Extended Properties=&quot;&quot;" command="SELECT * FROM [Cookes]"/>
  </connection>
  <connection id="2" xr16:uid="{89E94953-5263-4C9D-8BCC-84B61B2A002F}" keepAlive="1" name="Query - Delivery_all" description="Connection to the 'Delivery_all' query in the workbook." type="5" refreshedVersion="6" background="1" saveData="1">
    <dbPr connection="Provider=Microsoft.Mashup.OleDb.1;Data Source=$Workbook$;Location=Delivery_all;Extended Properties=&quot;&quot;" command="SELECT * FROM [Delivery_all]"/>
  </connection>
  <connection id="3" xr16:uid="{9C68E1DD-E545-40CE-88B7-82806B8EB335}" keepAlive="1" name="Query - Expirydate" description="Connection to the 'Expirydate' query in the workbook." type="5" refreshedVersion="0" background="1">
    <dbPr connection="Provider=Microsoft.Mashup.OleDb.1;Data Source=$Workbook$;Location=Expirydate;Extended Properties=&quot;&quot;" command="SELECT * FROM [Expirydate]"/>
  </connection>
  <connection id="4" xr16:uid="{EFBD4FE5-213A-4832-8102-F11FB0711C50}" keepAlive="1" interval="5" name="Query - Indices" description="Connection to the 'Indices' query in the workbook." type="5" refreshedVersion="6" background="1" saveData="1">
    <dbPr connection="Provider=Microsoft.Mashup.OleDb.1;Data Source=$Workbook$;Location=Indices;Extended Properties=&quot;&quot;" command="SELECT * FROM [Indices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7A61E2BF-9920-4A24-B5DA-08A5DE4BBA73}" keepAlive="1" name="Query - Instrument" description="Connection to the 'Instrument' query in the workbook." type="5" refreshedVersion="0">
    <dbPr connection="Provider=Microsoft.Mashup.OleDb.1;Data Source=$Workbook$;Location=Instrument;Extended Properties=&quot;&quot;" command="SELECT * FROM [Instrument]"/>
  </connection>
  <connection id="6" xr16:uid="{2D61C0AC-DFEF-4482-9298-018C542CECE7}" keepAlive="1" name="Query - NIFTY_200" description="Connection to the 'NIFTY_200' query in the workbook." type="5" refreshedVersion="0" background="1">
    <dbPr connection="Provider=Microsoft.Mashup.OleDb.1;Data Source=$Workbook$;Location=NIFTY_200;Extended Properties=&quot;&quot;" command="SELECT * FROM [NIFTY_200]"/>
  </connection>
  <connection id="7" xr16:uid="{617266B0-C6D9-49ED-A02A-E23E8BBEFBBB}" keepAlive="1" name="Query - NIFTY_MID" description="Connection to the 'NIFTY_MID' query in the workbook." type="5" refreshedVersion="0" background="1">
    <dbPr connection="Provider=Microsoft.Mashup.OleDb.1;Data Source=$Workbook$;Location=NIFTY_MID;Extended Properties=&quot;&quot;" command="SELECT * FROM [NIFTY_MID]"/>
  </connection>
  <connection id="8" xr16:uid="{0795FB09-A288-4402-80F6-ED6AA72F1900}" keepAlive="1" name="Query - NIFTY_MID50" description="Connection to the 'NIFTY_MID50' query in the workbook." type="5" refreshedVersion="0" background="1">
    <dbPr connection="Provider=Microsoft.Mashup.OleDb.1;Data Source=$Workbook$;Location=NIFTY_MID50;Extended Properties=&quot;&quot;" command="SELECT * FROM [NIFTY_MID50]"/>
  </connection>
  <connection id="9" xr16:uid="{3CB41678-7B4D-4350-9838-DA04ED8E57A1}" keepAlive="1" name="Query - NIFTY50" description="Connection to the 'NIFTY50' query in the workbook." type="5" refreshedVersion="0" background="1">
    <dbPr connection="Provider=Microsoft.Mashup.OleDb.1;Data Source=$Workbook$;Location=NIFTY50;Extended Properties=&quot;&quot;" command="SELECT * FROM [NIFTY50]"/>
  </connection>
  <connection id="10" xr16:uid="{5345F30C-549F-4D5C-B4D6-800D4E6B3648}" keepAlive="1" name="Query - NIFTY50_Delivery" description="Connection to the 'NIFTY50_Delivery' query in the workbook." type="5" refreshedVersion="6" background="1" saveData="1">
    <dbPr connection="Provider=Microsoft.Mashup.OleDb.1;Data Source=$Workbook$;Location=NIFTY50_Delivery;Extended Properties=&quot;&quot;" command="SELECT * FROM [NIFTY50_Delivery]"/>
  </connection>
  <connection id="11" xr16:uid="{0917B374-EB3A-4125-852A-10CACA799E84}" keepAlive="1" name="Query - NIFTYBANK" description="Connection to the 'NIFTYBANK' query in the workbook." type="5" refreshedVersion="0" background="1">
    <dbPr connection="Provider=Microsoft.Mashup.OleDb.1;Data Source=$Workbook$;Location=NIFTYBANK;Extended Properties=&quot;&quot;" command="SELECT * FROM [NIFTYBANK]"/>
  </connection>
  <connection id="12" xr16:uid="{5F351F86-C227-4A71-9064-2FC570FDBB1E}" keepAlive="1" name="Query - NIFTYNEXT50" description="Connection to the 'NIFTYNEXT50' query in the workbook." type="5" refreshedVersion="0" background="1">
    <dbPr connection="Provider=Microsoft.Mashup.OleDb.1;Data Source=$Workbook$;Location=NIFTYNEXT50;Extended Properties=&quot;&quot;" command="SELECT * FROM [NIFTYNEXT50]"/>
  </connection>
  <connection id="13" xr16:uid="{00000000-0015-0000-FFFF-FFFF02000000}" keepAlive="1" name="Query - NIFTYOIDATA" description="Connection to the 'NIFTYOIDATA' query in the workbook." type="5" refreshedVersion="6" saveData="1">
    <dbPr connection="Provider=Microsoft.Mashup.OleDb.1;Data Source=$Workbook$;Location=NIFTYOIDATA;Extended Properties=&quot;&quot;" command="SELECT * FROM [NIFTYOIDATA]"/>
  </connection>
  <connection id="14" xr16:uid="{1264E786-C36C-4DC2-B097-26DEB07F66FA}" keepAlive="1" name="Query - NSE_BhavCopy" description="Connection to the 'NSE_BhavCopy' query in the workbook." type="5" refreshedVersion="6" background="1" saveData="1">
    <dbPr connection="Provider=Microsoft.Mashup.OleDb.1;Data Source=$Workbook$;Location=NSE_BhavCopy;Extended Properties=&quot;&quot;" command="SELECT * FROM [NSE_BhavCopy]"/>
  </connection>
  <connection id="15" xr16:uid="{00000000-0015-0000-FFFF-FFFF03000000}" keepAlive="1" name="Query - OI_BANKNIFTY" description="Connection to the 'OI_BANKNIFTY' query in the workbook." type="5" refreshedVersion="6" background="1" saveData="1">
    <dbPr connection="Provider=Microsoft.Mashup.OleDb.1;Data Source=$Workbook$;Location=OI_BANKNIFTY;Extended Properties=&quot;&quot;" command="SELECT * FROM [OI_BANKNIFTY]"/>
  </connection>
  <connection id="16" xr16:uid="{8666ED04-F1CA-4DF8-A9F3-951FB4A5BE45}" keepAlive="1" name="Query - ResultCal" description="Connection to the 'ResultCal' query in the workbook." type="5" refreshedVersion="6" background="1" saveData="1">
    <dbPr connection="Provider=Microsoft.Mashup.OleDb.1;Data Source=$Workbook$;Location=ResultCal;Extended Properties=&quot;&quot;" command="SELECT * FROM [ResultCal]"/>
  </connection>
  <connection id="17" xr16:uid="{8D79016B-B6A5-48A7-A69B-E63C1AC32E49}" keepAlive="1" name="Query - STOCKS" description="Connection to the 'STOCKS' query in the workbook." type="5" refreshedVersion="6" background="1" saveData="1">
    <dbPr connection="Provider=Microsoft.Mashup.OleDb.1;Data Source=$Workbook$;Location=STOCKS;Extended Properties=&quot;&quot;" command="SELECT * FROM [STOCKS]"/>
  </connection>
  <connection id="18" xr16:uid="{46E30325-DCAC-4B7E-823E-2C6D1B682297}" keepAlive="1" name="Query - symbol" description="Connection to the 'symbol' query in the workbook." type="5" refreshedVersion="0" background="1">
    <dbPr connection="Provider=Microsoft.Mashup.OleDb.1;Data Source=$Workbook$;Location=symbol;Extended Properties=&quot;&quot;" command="SELECT * FROM [symbol]"/>
  </connection>
  <connection id="19" xr16:uid="{D1C1052B-E804-4904-9C6B-1BC8CD150960}" keepAlive="1" name="Query - today" description="Connection to the 'today' query in the workbook." type="5" refreshedVersion="0" background="1">
    <dbPr connection="Provider=Microsoft.Mashup.OleDb.1;Data Source=$Workbook$;Location=today;Extended Properties=&quot;&quot;" command="SELECT * FROM [today]"/>
  </connection>
  <connection id="20" xr16:uid="{86155526-6C75-4189-8352-951761D0488F}" keepAlive="1" name="Query - todayplus7" description="Connection to the 'todayplus7' query in the workbook." type="5" refreshedVersion="0" background="1">
    <dbPr connection="Provider=Microsoft.Mashup.OleDb.1;Data Source=$Workbook$;Location=todayplus7;Extended Properties=&quot;&quot;" command="SELECT * FROM [todayplus7]"/>
  </connection>
</connections>
</file>

<file path=xl/sharedStrings.xml><?xml version="1.0" encoding="utf-8"?>
<sst xmlns="http://schemas.openxmlformats.org/spreadsheetml/2006/main" count="3966" uniqueCount="1808">
  <si>
    <t>SYMBOL</t>
  </si>
  <si>
    <t>OPEN</t>
  </si>
  <si>
    <t>DayHigh</t>
  </si>
  <si>
    <t>DayLow</t>
  </si>
  <si>
    <t>LastPrice</t>
  </si>
  <si>
    <t>PreviousClose</t>
  </si>
  <si>
    <t>Change</t>
  </si>
  <si>
    <t>%Change</t>
  </si>
  <si>
    <t>Volume</t>
  </si>
  <si>
    <t>NIFTY 50</t>
  </si>
  <si>
    <t>TATASTEEL</t>
  </si>
  <si>
    <t>JSWSTEEL</t>
  </si>
  <si>
    <t>COALINDIA</t>
  </si>
  <si>
    <t>HINDALCO</t>
  </si>
  <si>
    <t>POWERGRID</t>
  </si>
  <si>
    <t>TCS</t>
  </si>
  <si>
    <t>RELIANCE</t>
  </si>
  <si>
    <t>INFY</t>
  </si>
  <si>
    <t>TATAMOTORS</t>
  </si>
  <si>
    <t>HCLTECH</t>
  </si>
  <si>
    <t>EICHERMOT</t>
  </si>
  <si>
    <t>TATACONSUM</t>
  </si>
  <si>
    <t>SUNPHARMA</t>
  </si>
  <si>
    <t>TECHM</t>
  </si>
  <si>
    <t>BAJFINANCE</t>
  </si>
  <si>
    <t>HDFCBANK</t>
  </si>
  <si>
    <t>M&amp;M</t>
  </si>
  <si>
    <t>MARUTI</t>
  </si>
  <si>
    <t>ASIANPAINT</t>
  </si>
  <si>
    <t>WIPRO</t>
  </si>
  <si>
    <t>NTPC</t>
  </si>
  <si>
    <t>BPCL</t>
  </si>
  <si>
    <t>HDFC</t>
  </si>
  <si>
    <t>GRASIM</t>
  </si>
  <si>
    <t>NESTLEIND</t>
  </si>
  <si>
    <t>BAJAJ-AUTO</t>
  </si>
  <si>
    <t>HEROMOTOCO</t>
  </si>
  <si>
    <t>ONGC</t>
  </si>
  <si>
    <t>KOTAKBANK</t>
  </si>
  <si>
    <t>HINDUNILVR</t>
  </si>
  <si>
    <t>TITAN</t>
  </si>
  <si>
    <t>UPL</t>
  </si>
  <si>
    <t>SHREECEM</t>
  </si>
  <si>
    <t>ADANIPORTS</t>
  </si>
  <si>
    <t>IOC</t>
  </si>
  <si>
    <t>ITC</t>
  </si>
  <si>
    <t>ICICIBANK</t>
  </si>
  <si>
    <t>BRITANNIA</t>
  </si>
  <si>
    <t>SBIN</t>
  </si>
  <si>
    <t>ULTRACEMCO</t>
  </si>
  <si>
    <t>BHARTIARTL</t>
  </si>
  <si>
    <t>CIPLA</t>
  </si>
  <si>
    <t>SBILIFE</t>
  </si>
  <si>
    <t>HDFCLIFE</t>
  </si>
  <si>
    <t>BAJAJFINSV</t>
  </si>
  <si>
    <t>LT</t>
  </si>
  <si>
    <t>INDUSINDBK</t>
  </si>
  <si>
    <t>DIVISLAB</t>
  </si>
  <si>
    <t>AXISBANK</t>
  </si>
  <si>
    <t>Column1.strikePrice</t>
  </si>
  <si>
    <t>Column1.expiryDate</t>
  </si>
  <si>
    <t>EXPIRY</t>
  </si>
  <si>
    <t>TYPE</t>
  </si>
  <si>
    <t>LOT SIZE</t>
  </si>
  <si>
    <t>STRIKE DIFF</t>
  </si>
  <si>
    <t>OI-PCR</t>
  </si>
  <si>
    <t>VOL-PCR</t>
  </si>
  <si>
    <t>INTRADAY</t>
  </si>
  <si>
    <t>WEEKLY</t>
  </si>
  <si>
    <t>SPOT PRICE</t>
  </si>
  <si>
    <t>CALL SIDE</t>
  </si>
  <si>
    <t>INTERPRETATION</t>
  </si>
  <si>
    <t>OI</t>
  </si>
  <si>
    <t>VOLUME</t>
  </si>
  <si>
    <t>IV</t>
  </si>
  <si>
    <t>LTP</t>
  </si>
  <si>
    <t>STRKE PRICE</t>
  </si>
  <si>
    <t>PUT SIDE</t>
  </si>
  <si>
    <t>PCHG</t>
  </si>
  <si>
    <t>COI</t>
  </si>
  <si>
    <t>IO</t>
  </si>
  <si>
    <t>TOTAL</t>
  </si>
  <si>
    <t>NIFTY BANK</t>
  </si>
  <si>
    <t>symbol</t>
  </si>
  <si>
    <t>Instrument</t>
  </si>
  <si>
    <t>STOCKSYMBOL</t>
  </si>
  <si>
    <t>BE6DEA9544651353645D7E4A96712C4F~qLW8bv7FrbYwqjPZCHl/7aYCmhiiAUDvjUXwheMjexgIxvtnBdm4AexMJIXwrQzNCZ+RJpz8I1jsxpvy5kj8OXWGFXp4bU0M2XDrDEOJ0tR4PkhRRmm9ii27zCOYEMZqLu+FtJNHfDk2QfTNtlpnW2TqbSbLzsTR/g+wjZj6o+g=</t>
  </si>
  <si>
    <t>Cookes</t>
  </si>
  <si>
    <t>Column1.CE.openInterest</t>
  </si>
  <si>
    <t>Column1.CE.changeinOpenInterest</t>
  </si>
  <si>
    <t>Column1.CE.totalTradedVolume</t>
  </si>
  <si>
    <t>Column1.CE.impliedVolatility</t>
  </si>
  <si>
    <t>Column1.CE.lastPrice</t>
  </si>
  <si>
    <t>Column1.CE.change</t>
  </si>
  <si>
    <t>Column1.PE.openInterest</t>
  </si>
  <si>
    <t>Column1.PE.changeinOpenInterest</t>
  </si>
  <si>
    <t>Column1.PE.totalTradedVolume</t>
  </si>
  <si>
    <t>Column1.PE.impliedVolatility</t>
  </si>
  <si>
    <t>Column1.PE.lastPrice</t>
  </si>
  <si>
    <t>Column1.PE.change</t>
  </si>
  <si>
    <t>Column1.PE.underlyingValue</t>
  </si>
  <si>
    <t>Expirydate</t>
  </si>
  <si>
    <t>nsit=94644D51BD646E3C40235276B97265C3~NL9O2wRPhCciqPMxAT74vMkGy4ZI7gHHa0TR++T8EJrrQcLqxFxWcwrtCY+wVlA1PLVePTuyTBYSlZCK3LHdSYg317XKUbuOxhnDpHrYF/6uQyTCbS5s0dWD0eHkhGQzLyxCGOEa9yDyc/0O9TEzZJiZCL24y19aJv59qGXPRaE=; nseappid=94644D51BD646E3C40235276B97265C3~NL9O2wRPhCciqPMxAT74vMkGy4ZI7gHHa0TR++T8EJrrQcLqxFxWcwrtCY+wVlA1PLVePTuyTBYSlZCK3LHdSYg317XKUbuOxhnDpHrYF/6uQyTCbS5s0dWD0eHkhGQzLyxCGOEa9yDyc/0O9TEzZJiZCL24y19aJv59qGXPRaE=;</t>
  </si>
  <si>
    <t>nsit=F36C6F953D637A2BF6FC2A447FAD85C0~6S+pBpR7ZV3OaPbmB/5Nfiqed6pLCMClGVHcuGJJs8bxnKHRr8vhrAideLVPtPDy9ypMPwxZt40muMe1ZdFa3SihY5qA4Iz4E9LmqAxts5/dZt/Hp4sIQQJYhqP+0MxB1x45LaAYd/VeUS8BPPYop5IA4sZJ7gYYG53n/fzmcOs=; Domain=.nseindia.com; nseappid=F36C6F953D637A2BF6FC2A447FAD85C0~6S+pBpR7ZV3OaPbmB/5Nfiqed6pLCMClGVHcuGJJs8bxnKHRr8vhrAideLVPtPDy9ypMPwxZt40muMe1ZdFa3SihY5qA4Iz4E9LmqAxts5/dZt/Hp4sIQQJYhqP+0MxB1x45LaAYd/VeUS8BPPYop5IA4sZJ7gYYG53n/fzmcOs=; Domain=.nseindia.com;</t>
  </si>
  <si>
    <t>nsit=eyJhbGciOiJIUzI1NiIsInR5cCI6IkpXVCJ9.eyJpc3MiOiJhcGkubnNlIiwiYXVkIjoiYXBpLm5zZSIsImlhdCI6MTU5ODc0OTI4OCwiZXhwIjoxNjMwMjg1Mjg4fQ.eYt-YVahTxVYH_Cox51dZydYhp2_xedPbiU6X-DIo6U; nseappid=eyJhbGciOiJIUzI1NiIsInR5cCI6IkpXVCJ9.eyJpc3MiOiJhcGkubnNlIiwiYXVkIjoiYXBpLm5zZSIsImlhdCI6MTU5ODc0OTI4OCwiZXhwIjoxNjMwMjg1Mjg4fQ.eYt-YVahTxVYH_Cox51dZydYhp2_xedPbiU6X-DIo6U;</t>
  </si>
  <si>
    <t>nsit=NWSk2MeExEcbzRJAxgQ0aHu4; AKA_A2=A; ak_bmsc=6FBB54BB9F26941E0697C69C620C80EB312C88AF25570000FAC6256091467613~plIXiQjqdJvRmGEo95rHxA4ieYEV2G67m7CZSkQKGqrgN5GWTGvEQwQu5CqUoUuM8oVXNzGJuo02dikPQGR7dYLCehcjcf/o56Y5BD7UGAmxAaaIl9wiY9BpGg6M9jc/8JJZ0sqeVdSiMNQm2vvb+i9h2qc6zNG/zPpxXMqxCD+71daU2ijAGeV+7aKSFcwO73rFB+Cg0A3aNtMsFL0Jo955VXPuAS8BQzbR8knWztEzOu6dTY7STW+W6VTiWJf7Rj; nseappid=eyJhbGciOiJIUzI1NiIsInR5cCI6IkpXVCJ9.eyJpc3MiOiJhcGkubnNlIiwiYXVkIjoiYXBpLm5zZSIsImlhdCI6MTYxMzA4ODUxOCwiZXhwIjoxNjEzMDkyMTE4fQ._RxVY9edCVRwr715KEjKYg_QgRGBU1eNrals80dBFJs; bm_sv=879E06B8213EA11DA760850F2496A845~NL9O2wRPhCciqPMxAT74vMCQaTZrZw32J7FEWqszlY5DwxcBOB3W9tg7kRdmq8sRvxZRws5cS5qUkYJ/9f+EJ1JcfDG2WNUMd397NDfloSiZ8VG/676exlor2UUHpdOSkIT67KWCgeW+2LCmb3n6/Inmkux1jC6mvRKxu3kityc=;</t>
  </si>
  <si>
    <t>nsit=NWSk2MeExEcbzRJAxgQ0aHu4; AKA_A2=A; ak_bmsc=6FBB54BB9F26941E0697C69C620C80EB312C88AF25570000FAC6256091467613~plIXiQjqdJvRmGEo95rHxA4ieYEV2G67m7CZSkQKGqrgN5GWTGvEQwQu5CqUoUuM8oVXNzGJuo02dikPQGR7dYLCehcjcf/o56Y5BD7UGAmxAaaIl9wiY9BpGg6M9jc/8JJZ0sqeVdSiMNQm2vvb+i9h2qc6zNG/zPpxXMqxCD+71daU2ijAGeV+7aKSFcwO73rFB+Cg0A3aNtMsFL0Jo955VXPuAS8BQzbR8knWztEzOu6dTY7STW+W6VTiWJf7Rj; nseappid=eyJhbGciOiJIUzI1NiIsInR5cCI6IkpXVCJ9.eyJpc3MiOiJhcGkubnNlIiwiYXVkIjoiYXBpLm5zZSIsImlhdCI6MTYxMzA4OTc1NCwiZXhwIjoxNjEzMDkzMzU0fQ._3t36Q8f07-qXGJfMOKHzhn-pCXN18y9KrnikmvhCbE; _gat_UA-143761337-1=1; RT="z=1&amp;dm=nseindia.com&amp;si=db2a65e9-5065-4742-9338-73e5ec23843c&amp;ss=kl1j8vva&amp;sl=4&amp;tt=4ge&amp;bcn=%2F%2F684d0d37.akstat.io%2F&amp;ld=qrz9&amp;nu=981908192ff4ad70f9748834d9646786&amp;cl=r91x"</t>
  </si>
  <si>
    <t xml:space="preserve">nsit=1CAFD9FC011517857641935C8D035BC0~E1d2bW0qHOkjxJaJsMRePCC4xlCKK0x57DMp9u+v+oXOlDwGo0j1w2fFXen8iNfMD0jFPZXcNa8mHqNxSI8BFoK8/6HfUQ+o/5lhGNw+6Acd9W+hKdmtnE4BhfToGligQAY/y8hmFNEcgleo88+2ubYiy5ZTB6ThNL/AM8kafJxZrQu5JIA8XEccaWpgW50Z8Oc3VWABaK7Zm1YXbLaNXE7+h1Qjt51y2KoKSnRWNGKfK6COpb/srQcBL6eirADB0sQXXRiO7QXSFBb5LdKBTA==; nseappid=eyJhbGciOiJIUzI1NiIsInR5cCI6IkpXVCJ9.eyJpc3MiOiJhcGkubnNlIiwiYXVkIjoiYXBpLm5zZSIsImlhdCI6MTYxMjk2ODY3MywiZXhwIjoxNjEyOTcyMjczfQ.yeUaBf8mkkwCcUHMC36plZAQKXPw5L16G1lDqqQ-Fbw; nseappid=1CAFD9FC011517857641935C8D035BC0~E1d2bW0qHOkjxJaJsMRePCC4xlCKK0x57DMp9u+v+oXOlDwGo0j1w2fFXen8iNfMD0jFPZXcNa8mHqNxSI8BFoK8/6HfUQ+o/5lhGNw+6Acd9W+hKdmtnE4BhfToGligQAY/y8hmFNEcgleo88+2ubYiy5ZTB6ThNL/AM8kafJxZrQu5JIA8XEccaWpgW50Z8Oc3VWABaK7Zm1YXbLaNXE7+h1Qjt51y2KoKSnRWNGKfK6COpb/srQcBL6eirADB0sQXXRiO7QXSFBb5LdKBTA==; </t>
  </si>
  <si>
    <t>nsit=NWSk2MeExEcbzRJAxgQ0aHu4; AKA_A2=A; ak_bmsc=6FBB54BB9F26941E0697C69C620C80EB312C88AF25570000FAC6256091467613~plIXiQjqdJvRmGEo95rHxA4ieYEV2G67m7CZSkQKGqrgN5GWTGvEQwQu5CqUoUuM8oVXNzGJuo02dikPQGR7dYLCehcjcf/o56Y5BD7UGAmxAaaIl9wiY9BpGg6M9jc/8JJZ0sqeVdSiMNQm2vvb+i9h2qc6zNG/zPpxXMqxCD+71daU2ijAGeV+7aKSFcwO73rFB+Cg0A3aNtMsFL0Jo955VXPuAS8BQzbR8knWztEzOu6dTY7STW+W6VTiWJf7Rj; nseappid=eyJhbGciOiJIUzI1NiIsInR5cCI6IkpXVCJ9.eyJpc3MiOiJhcGkubnNlIiwiYXVkIjoiYXBpLm5zZSIsImlhdCI6MTYxMzA4OTc1NCwiZXhwIjoxNjEzMDkzMzU0fQ._3t36Q8f07-qXGJfMOKHzhn-pCXN18y9KrnikmvhCbE; _gat_UA-143761337-1=1; RT="z=1&amp;dm=nseindia.com&amp;si=db2a65e9-5065-4742-9338-73e5ec23843c&amp;ss=kl1j8vva&amp;sl=4&amp;tt=4ge&amp;bcn=//684d0d37.akstat.io/&amp;ld=qrz9&amp;nu=981908192ff4ad70f9748834d9646786&amp;cl=r91x";</t>
  </si>
  <si>
    <t>DRREDDY</t>
  </si>
  <si>
    <t>OHL</t>
  </si>
  <si>
    <t>DIFFERENCE</t>
  </si>
  <si>
    <t>Trend</t>
  </si>
  <si>
    <t>55F588AAFE79A99DFCE4CD15C3E429D8~ItWsmeZTBfyKmUaUD6lpAGltPWPTlcNwZ3DkQwctaQ86tX1gYl5hcKclUId4MLykc9R0GQx9nlAr8bmCKkre8/oDjEGV0kKU8wK9RVg4hTOA+Rt1e68rqVT9BC6Y8uwFdMfxMDmPCNQ0msUeodI2nb2+vNzkGF87Z3AOIuw1aUE=</t>
  </si>
  <si>
    <t>nseappid=eyJhbGciOiJIUzI1NiIsInR5cCI6IkpXVCJ9.eyJpc3MiOiJhcGkubnNlIiwiYXVkIjoiYXBpLm5zZSIsImlhdCI6MTYyNDk0NTMyOCwiZXhwIjoxNjI0OTQ4OTI4fQ.X3hUSlcxHqp_eVnGrUQ-uX79FYzB6Z2ohB1HC7KFk_w</t>
  </si>
  <si>
    <t xml:space="preserve">                                                                               OPTION CHAIN ANALYSIS</t>
  </si>
  <si>
    <t>Company Name</t>
  </si>
  <si>
    <t>Last Price</t>
  </si>
  <si>
    <t>5-Day Avg Del %</t>
  </si>
  <si>
    <t>Delivery Volumes</t>
  </si>
  <si>
    <t>5-Day Avg Deliverable</t>
  </si>
  <si>
    <t>Traded Volumes</t>
  </si>
  <si>
    <t>Adani Ports</t>
  </si>
  <si>
    <t>Asian Paints</t>
  </si>
  <si>
    <t>Axis Bank</t>
  </si>
  <si>
    <t>Bajaj Auto</t>
  </si>
  <si>
    <t>Bajaj Finance</t>
  </si>
  <si>
    <t>Bajaj Finserv</t>
  </si>
  <si>
    <t>Bharti Airtel</t>
  </si>
  <si>
    <t>Britannia</t>
  </si>
  <si>
    <t>Cipla</t>
  </si>
  <si>
    <t>Coal India</t>
  </si>
  <si>
    <t>Divis Labs</t>
  </si>
  <si>
    <t>Dr Reddys Labs</t>
  </si>
  <si>
    <t>Eicher Motors</t>
  </si>
  <si>
    <t>Grasim</t>
  </si>
  <si>
    <t>HCL Tech</t>
  </si>
  <si>
    <t>HDFC Bank</t>
  </si>
  <si>
    <t>HDFC Life</t>
  </si>
  <si>
    <t>HUL</t>
  </si>
  <si>
    <t>Hero Motocorp</t>
  </si>
  <si>
    <t>Hindalco</t>
  </si>
  <si>
    <t>ICICI Bank</t>
  </si>
  <si>
    <t>IndusInd Bank</t>
  </si>
  <si>
    <t>Infosys</t>
  </si>
  <si>
    <t>JSW Steel</t>
  </si>
  <si>
    <t>Kotak Mahindra</t>
  </si>
  <si>
    <t>Larsen</t>
  </si>
  <si>
    <t>Maruti Suzuki</t>
  </si>
  <si>
    <t>Nestle</t>
  </si>
  <si>
    <t>Power Grid Corp</t>
  </si>
  <si>
    <t>Reliance</t>
  </si>
  <si>
    <t>SBI</t>
  </si>
  <si>
    <t>SBI Life Insura</t>
  </si>
  <si>
    <t>Shree Cements</t>
  </si>
  <si>
    <t>Sun Pharma</t>
  </si>
  <si>
    <t>TATA Cons. Prod</t>
  </si>
  <si>
    <t>Tata Motors</t>
  </si>
  <si>
    <t>Tata Steel</t>
  </si>
  <si>
    <t>Tech Mahindra</t>
  </si>
  <si>
    <t>Titan Company</t>
  </si>
  <si>
    <t>UltraTechCement</t>
  </si>
  <si>
    <t>Wipro</t>
  </si>
  <si>
    <t>Change %</t>
  </si>
  <si>
    <t>Delivery %</t>
  </si>
  <si>
    <t>PNB</t>
  </si>
  <si>
    <t>GAIL</t>
  </si>
  <si>
    <t>NMDC</t>
  </si>
  <si>
    <t>DLF</t>
  </si>
  <si>
    <t>Bandhan Bank</t>
  </si>
  <si>
    <t>Ambuja Cements</t>
  </si>
  <si>
    <t>Vedanta</t>
  </si>
  <si>
    <t>HPCL</t>
  </si>
  <si>
    <t>Marico</t>
  </si>
  <si>
    <t>Petronet LNG</t>
  </si>
  <si>
    <t>SBI Card</t>
  </si>
  <si>
    <t>Biocon</t>
  </si>
  <si>
    <t>Cadila Health</t>
  </si>
  <si>
    <t>Dabur India</t>
  </si>
  <si>
    <t>IGL</t>
  </si>
  <si>
    <t>Havells India</t>
  </si>
  <si>
    <t>ICICI Prudentia</t>
  </si>
  <si>
    <t>Siemens</t>
  </si>
  <si>
    <t>INDUS TOWERS</t>
  </si>
  <si>
    <t>Lupin</t>
  </si>
  <si>
    <t>United Spirits</t>
  </si>
  <si>
    <t>L&amp;T Infotech</t>
  </si>
  <si>
    <t>Aurobindo Pharm</t>
  </si>
  <si>
    <t>ACC</t>
  </si>
  <si>
    <t>Adani Enterpris</t>
  </si>
  <si>
    <t>Colgate</t>
  </si>
  <si>
    <t>United Brewerie</t>
  </si>
  <si>
    <t>HDFC AMC</t>
  </si>
  <si>
    <t>Alkem Lab</t>
  </si>
  <si>
    <t>Godrej Consumer</t>
  </si>
  <si>
    <t>Muthoot Finance</t>
  </si>
  <si>
    <t>Apollo Hospital</t>
  </si>
  <si>
    <t>Interglobe Avi</t>
  </si>
  <si>
    <t>Jubilant Food</t>
  </si>
  <si>
    <t>Berger Paints</t>
  </si>
  <si>
    <t>Pidilite Ind</t>
  </si>
  <si>
    <t>Piramal Enter</t>
  </si>
  <si>
    <t>Gland</t>
  </si>
  <si>
    <t>Avenue Supermar</t>
  </si>
  <si>
    <t>ICICI Lombard</t>
  </si>
  <si>
    <t>Info Edge</t>
  </si>
  <si>
    <t>Torrent Pharma</t>
  </si>
  <si>
    <t>Bosch</t>
  </si>
  <si>
    <t>Bajaj Holdings</t>
  </si>
  <si>
    <t>Abbott India</t>
  </si>
  <si>
    <t>MRF</t>
  </si>
  <si>
    <t>P and G</t>
  </si>
  <si>
    <t>AB Capital</t>
  </si>
  <si>
    <t>AU Small Financ</t>
  </si>
  <si>
    <t>Aarti Ind</t>
  </si>
  <si>
    <t>Aditya Birla F</t>
  </si>
  <si>
    <t>Ajanta Pharma</t>
  </si>
  <si>
    <t>Amara Raja Batt</t>
  </si>
  <si>
    <t>Apollo Tyres</t>
  </si>
  <si>
    <t>Ashok Leyland</t>
  </si>
  <si>
    <t>BHEL</t>
  </si>
  <si>
    <t>Balkrishna Ind</t>
  </si>
  <si>
    <t>Bank of India</t>
  </si>
  <si>
    <t>Bata India</t>
  </si>
  <si>
    <t>Bharat Elec</t>
  </si>
  <si>
    <t>Bharat Forge</t>
  </si>
  <si>
    <t>Bombay Burmah</t>
  </si>
  <si>
    <t>CESC</t>
  </si>
  <si>
    <t>CG Consumer</t>
  </si>
  <si>
    <t>COFORGE LTD.</t>
  </si>
  <si>
    <t>Canara Bank</t>
  </si>
  <si>
    <t>Castrol</t>
  </si>
  <si>
    <t>Chola Invest.</t>
  </si>
  <si>
    <t>City Union Bank</t>
  </si>
  <si>
    <t>Coromandel Int</t>
  </si>
  <si>
    <t>Cummins</t>
  </si>
  <si>
    <t>Dalmia Bharat</t>
  </si>
  <si>
    <t>Dhani Services</t>
  </si>
  <si>
    <t>Dr Lal PathLab</t>
  </si>
  <si>
    <t>Edelweiss</t>
  </si>
  <si>
    <t>Emami</t>
  </si>
  <si>
    <t>Endurance Techn</t>
  </si>
  <si>
    <t>Escorts</t>
  </si>
  <si>
    <t>Exide Ind</t>
  </si>
  <si>
    <t>Federal Bank</t>
  </si>
  <si>
    <t>Fortis Health</t>
  </si>
  <si>
    <t>Future Retail</t>
  </si>
  <si>
    <t>GMR Infra</t>
  </si>
  <si>
    <t>Glenmark</t>
  </si>
  <si>
    <t>Godrej Agrovet</t>
  </si>
  <si>
    <t>Godrej Ind</t>
  </si>
  <si>
    <t>Godrej Prop</t>
  </si>
  <si>
    <t>Guj State Petro</t>
  </si>
  <si>
    <t>Gujarat Gas</t>
  </si>
  <si>
    <t>HUDCO</t>
  </si>
  <si>
    <t>IDFC First Bank</t>
  </si>
  <si>
    <t>IRCTC</t>
  </si>
  <si>
    <t>Indiabulls Hsg</t>
  </si>
  <si>
    <t>Indian Hotels</t>
  </si>
  <si>
    <t>Ipca Labs</t>
  </si>
  <si>
    <t>Jindal Steel</t>
  </si>
  <si>
    <t>Jubilant Pharmo</t>
  </si>
  <si>
    <t>L&amp;T Finance</t>
  </si>
  <si>
    <t>L&amp;T Technology</t>
  </si>
  <si>
    <t>LIC Housing Fin</t>
  </si>
  <si>
    <t>M&amp;M Financial</t>
  </si>
  <si>
    <t>MRPL</t>
  </si>
  <si>
    <t>Mahanagar Gas</t>
  </si>
  <si>
    <t>Manappuram Fin</t>
  </si>
  <si>
    <t>Max Financial</t>
  </si>
  <si>
    <t>Mindtree</t>
  </si>
  <si>
    <t>MphasiS</t>
  </si>
  <si>
    <t>NALCO</t>
  </si>
  <si>
    <t>Natco Pharma</t>
  </si>
  <si>
    <t>Nippon</t>
  </si>
  <si>
    <t>Oberoi Realty</t>
  </si>
  <si>
    <t>Oil India</t>
  </si>
  <si>
    <t>PI Industries</t>
  </si>
  <si>
    <t>Pfizer</t>
  </si>
  <si>
    <t>Polycab</t>
  </si>
  <si>
    <t>Prestige Estate</t>
  </si>
  <si>
    <t>Quess Corp</t>
  </si>
  <si>
    <t>RBL Bank</t>
  </si>
  <si>
    <t>REC</t>
  </si>
  <si>
    <t>Rajesh Exports</t>
  </si>
  <si>
    <t>Ramco Cements</t>
  </si>
  <si>
    <t>SAIL</t>
  </si>
  <si>
    <t>SRF</t>
  </si>
  <si>
    <t>Sun TV Network</t>
  </si>
  <si>
    <t>Syngene Intl</t>
  </si>
  <si>
    <t>TVS Motor</t>
  </si>
  <si>
    <t>Tata Power</t>
  </si>
  <si>
    <t>Torrent Power</t>
  </si>
  <si>
    <t>Trent</t>
  </si>
  <si>
    <t>Union Bank</t>
  </si>
  <si>
    <t>V-Guard Ind</t>
  </si>
  <si>
    <t>Varun Beverages</t>
  </si>
  <si>
    <t>Voltas</t>
  </si>
  <si>
    <t>Whirlpool</t>
  </si>
  <si>
    <t>Tata Chemicals</t>
  </si>
  <si>
    <t>Bank of Baroda</t>
  </si>
  <si>
    <t>Container Corp</t>
  </si>
  <si>
    <t>General Insuran</t>
  </si>
  <si>
    <t>Hind Zinc</t>
  </si>
  <si>
    <t>IDBI Bank</t>
  </si>
  <si>
    <t>NHPC</t>
  </si>
  <si>
    <t>Oracle Fin Serv</t>
  </si>
  <si>
    <t>Page Industries</t>
  </si>
  <si>
    <t>Power Finance</t>
  </si>
  <si>
    <t>Shriram Trans</t>
  </si>
  <si>
    <t>Zee Entertain</t>
  </si>
  <si>
    <t xml:space="preserve"> SERIES</t>
  </si>
  <si>
    <t xml:space="preserve"> DATE1</t>
  </si>
  <si>
    <t xml:space="preserve"> PREV_CLOSE</t>
  </si>
  <si>
    <t xml:space="preserve"> OPEN_PRICE</t>
  </si>
  <si>
    <t xml:space="preserve"> HIGH_PRICE</t>
  </si>
  <si>
    <t xml:space="preserve"> CLOSE_PRICE</t>
  </si>
  <si>
    <t xml:space="preserve"> AVG_PRICE</t>
  </si>
  <si>
    <t xml:space="preserve"> TTL_TRD_QNTY</t>
  </si>
  <si>
    <t xml:space="preserve"> DELIV_QTY</t>
  </si>
  <si>
    <t xml:space="preserve"> DELIV_PER</t>
  </si>
  <si>
    <t xml:space="preserve"> EQ</t>
  </si>
  <si>
    <t>20MICRONS</t>
  </si>
  <si>
    <t>21STCENMGM</t>
  </si>
  <si>
    <t>3MINDIA</t>
  </si>
  <si>
    <t>5PAISA</t>
  </si>
  <si>
    <t>AAKASH</t>
  </si>
  <si>
    <t>AARTIDRUGS</t>
  </si>
  <si>
    <t>AARTIIND</t>
  </si>
  <si>
    <t>AARTISURF</t>
  </si>
  <si>
    <t>AARVI</t>
  </si>
  <si>
    <t>AAVAS</t>
  </si>
  <si>
    <t>ABB</t>
  </si>
  <si>
    <t>ABBOTINDIA</t>
  </si>
  <si>
    <t>ABCAPITAL</t>
  </si>
  <si>
    <t>ABFRL</t>
  </si>
  <si>
    <t>ABSLBANETF</t>
  </si>
  <si>
    <t>ABSLNN50ET</t>
  </si>
  <si>
    <t>ACCELYA</t>
  </si>
  <si>
    <t>ACCURACY</t>
  </si>
  <si>
    <t>ACE</t>
  </si>
  <si>
    <t>ACRYSIL</t>
  </si>
  <si>
    <t>ADANIENT</t>
  </si>
  <si>
    <t>ADFFOODS</t>
  </si>
  <si>
    <t>ADORWELD</t>
  </si>
  <si>
    <t>ADSL</t>
  </si>
  <si>
    <t>ADVANIHOTR</t>
  </si>
  <si>
    <t>ADVENZYMES</t>
  </si>
  <si>
    <t>AEGISCHEM</t>
  </si>
  <si>
    <t>AGARIND</t>
  </si>
  <si>
    <t>AGRITECH</t>
  </si>
  <si>
    <t>AGROPHOS</t>
  </si>
  <si>
    <t>AHLADA</t>
  </si>
  <si>
    <t>AHLEAST</t>
  </si>
  <si>
    <t>AHLUCONT</t>
  </si>
  <si>
    <t>AHLWEST</t>
  </si>
  <si>
    <t>AIAENG</t>
  </si>
  <si>
    <t>AJANTPHARM</t>
  </si>
  <si>
    <t>AKASH</t>
  </si>
  <si>
    <t>AKG</t>
  </si>
  <si>
    <t>AKSHARCHEM</t>
  </si>
  <si>
    <t>AKZOINDIA</t>
  </si>
  <si>
    <t>ALANKIT</t>
  </si>
  <si>
    <t>ALBERTDAVD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</si>
  <si>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</si>
  <si>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</si>
  <si>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</si>
  <si>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</si>
  <si>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</si>
  <si>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</si>
  <si>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</si>
  <si>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</si>
  <si>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ALOKINDS</t>
  </si>
  <si>
    <t>ALPHAGEO</t>
  </si>
  <si>
    <t>AMARAJABAT</t>
  </si>
  <si>
    <t>AMBER</t>
  </si>
  <si>
    <t>AMBICAAGAR</t>
  </si>
  <si>
    <t>AMBIKCO</t>
  </si>
  <si>
    <t>AMBUJACEM</t>
  </si>
  <si>
    <t>AMDIND</t>
  </si>
  <si>
    <t>AMJLAND</t>
  </si>
  <si>
    <t>AMRUTANJAN</t>
  </si>
  <si>
    <t>ANDHRAPAP</t>
  </si>
  <si>
    <t>ANDHRSUGAR</t>
  </si>
  <si>
    <t>ANGELBRKG</t>
  </si>
  <si>
    <t>ANIKINDS</t>
  </si>
  <si>
    <t>ANMOL</t>
  </si>
  <si>
    <t>ANSALHSG</t>
  </si>
  <si>
    <t>ANUP</t>
  </si>
  <si>
    <t>ANURAS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</si>
  <si>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</si>
  <si>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</si>
  <si>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</si>
  <si>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</si>
  <si>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</si>
  <si>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</si>
  <si>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</si>
  <si>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</si>
  <si>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APOLLOPIPE</t>
  </si>
  <si>
    <t>APOLLOTYRE</t>
  </si>
  <si>
    <t>APOLSINHOT</t>
  </si>
  <si>
    <t>APTECHT</t>
  </si>
  <si>
    <t>ARENTERP</t>
  </si>
  <si>
    <t>ARIES</t>
  </si>
  <si>
    <t>ARIHANTCAP</t>
  </si>
  <si>
    <t>ARMANFIN</t>
  </si>
  <si>
    <t>AROGRANITE</t>
  </si>
  <si>
    <t>ARSHIYA</t>
  </si>
  <si>
    <t>ARVIND</t>
  </si>
  <si>
    <t>ARVINDFASN</t>
  </si>
  <si>
    <t>ARVSMART</t>
  </si>
  <si>
    <t>ASAHIINDIA</t>
  </si>
  <si>
    <t>ASAHISONG</t>
  </si>
  <si>
    <t>ASALCBR</t>
  </si>
  <si>
    <t>ASHIANA</t>
  </si>
  <si>
    <t>ASHOKA</t>
  </si>
  <si>
    <t>ASHOKLEY</t>
  </si>
  <si>
    <t>ASIANHOTNR</t>
  </si>
  <si>
    <t>ASIANTILES</t>
  </si>
  <si>
    <t>ASPINWALL</t>
  </si>
  <si>
    <t>ASTEC</t>
  </si>
  <si>
    <t>ASTERDM</t>
  </si>
  <si>
    <t>ASTRAL</t>
  </si>
  <si>
    <t>ASTRAMICRO</t>
  </si>
  <si>
    <t>ASTRAZEN</t>
  </si>
  <si>
    <t>ASTRON</t>
  </si>
  <si>
    <t>ATFL</t>
  </si>
  <si>
    <t>ATUL</t>
  </si>
  <si>
    <t>ATULAUTO</t>
  </si>
  <si>
    <t>AUBANK</t>
  </si>
  <si>
    <t>AUROPHARMA</t>
  </si>
  <si>
    <t>AUTOAXLES</t>
  </si>
  <si>
    <t>AVADHSUGAR</t>
  </si>
  <si>
    <t>AVANTIFEED</t>
  </si>
  <si>
    <t>AVTNPL</t>
  </si>
  <si>
    <t>AWHCL</t>
  </si>
  <si>
    <t>AXISBNKETF</t>
  </si>
  <si>
    <t>AXISBPSETF</t>
  </si>
  <si>
    <t>AXISGOLD</t>
  </si>
  <si>
    <t>AXISHCETF</t>
  </si>
  <si>
    <t>AXISNIFTY</t>
  </si>
  <si>
    <t>AXISTECETF</t>
  </si>
  <si>
    <t>AYMSYNTEX</t>
  </si>
  <si>
    <t>BAFNAPH</t>
  </si>
  <si>
    <t>BAJAJCON</t>
  </si>
  <si>
    <t>BAJAJELEC</t>
  </si>
  <si>
    <t>BAJAJHLDNG</t>
  </si>
  <si>
    <t>BALAJITELE</t>
  </si>
  <si>
    <t>BALAMINES</t>
  </si>
  <si>
    <t>BALAXI</t>
  </si>
  <si>
    <t>BALKRISIND</t>
  </si>
  <si>
    <t>BALMLAWRIE</t>
  </si>
  <si>
    <t>BALRAMCHIN</t>
  </si>
  <si>
    <t>BANARBEADS</t>
  </si>
  <si>
    <t>BANARISUG</t>
  </si>
  <si>
    <t>BANCOINDIA</t>
  </si>
  <si>
    <t>BANDHANBNK</t>
  </si>
  <si>
    <t>BANKA</t>
  </si>
  <si>
    <t>BANKBARODA</t>
  </si>
  <si>
    <t>BANKBEES</t>
  </si>
  <si>
    <t>BANKINDIA</t>
  </si>
  <si>
    <t>BARBEQUE</t>
  </si>
  <si>
    <t>BASF</t>
  </si>
  <si>
    <t>BATAINDIA</t>
  </si>
  <si>
    <t>BAYERCROP</t>
  </si>
  <si>
    <t>BBL</t>
  </si>
  <si>
    <t>BBTC</t>
  </si>
  <si>
    <t>BCLIND</t>
  </si>
  <si>
    <t>BDL</t>
  </si>
  <si>
    <t>BECTORFOOD</t>
  </si>
  <si>
    <t>BEL</t>
  </si>
  <si>
    <t>BEML</t>
  </si>
  <si>
    <t>BEPL</t>
  </si>
  <si>
    <t>BERGEPAINT</t>
  </si>
  <si>
    <t>BESTAGRO</t>
  </si>
  <si>
    <t>BFINVEST</t>
  </si>
  <si>
    <t>BFUTILITIE</t>
  </si>
  <si>
    <t>BGRENERGY</t>
  </si>
  <si>
    <t>BHAGERIA</t>
  </si>
  <si>
    <t>BHAGYANGR</t>
  </si>
  <si>
    <t>BHAGYAPROP</t>
  </si>
  <si>
    <t>BHANDARI</t>
  </si>
  <si>
    <t>BHARATFORG</t>
  </si>
  <si>
    <t>BHARATGEAR</t>
  </si>
  <si>
    <t>BHARATRAS</t>
  </si>
  <si>
    <t>BIGBLOC</t>
  </si>
  <si>
    <t>BINDALAGRO</t>
  </si>
  <si>
    <t>BIOCON</t>
  </si>
  <si>
    <t>BIOFILCHEM</t>
  </si>
  <si>
    <t>BIRLACORPN</t>
  </si>
  <si>
    <t>BIRLAMONEY</t>
  </si>
  <si>
    <t>BIRLATYRE</t>
  </si>
  <si>
    <t>BLBLIMITED</t>
  </si>
  <si>
    <t>BLISSGVS</t>
  </si>
  <si>
    <t>BLKASHYAP</t>
  </si>
  <si>
    <t>BLS</t>
  </si>
  <si>
    <t>BLUEDART</t>
  </si>
  <si>
    <t>BLUESTARCO</t>
  </si>
  <si>
    <t>BODALCHEM</t>
  </si>
  <si>
    <t>BOMDYEING</t>
  </si>
  <si>
    <t>BOROLTD</t>
  </si>
  <si>
    <t>BOSCHLTD</t>
  </si>
  <si>
    <t>BPL</t>
  </si>
  <si>
    <t>BRIGADE</t>
  </si>
  <si>
    <t>BRNL</t>
  </si>
  <si>
    <t>BROOKS</t>
  </si>
  <si>
    <t>BSE</t>
  </si>
  <si>
    <t>BSL</t>
  </si>
  <si>
    <t>BSLGOLDETF</t>
  </si>
  <si>
    <t>BSLNIFTY</t>
  </si>
  <si>
    <t>BSOFT</t>
  </si>
  <si>
    <t>BURGERKING</t>
  </si>
  <si>
    <t>CADILAHC</t>
  </si>
  <si>
    <t>CAMLINFINE</t>
  </si>
  <si>
    <t>CAMS</t>
  </si>
  <si>
    <t>CANBK</t>
  </si>
  <si>
    <t>CANFINHOME</t>
  </si>
  <si>
    <t>CANTABIL</t>
  </si>
  <si>
    <t>CAPACITE</t>
  </si>
  <si>
    <t>CAPLIPOINT</t>
  </si>
  <si>
    <t>CAPTRUST</t>
  </si>
  <si>
    <t>CARBORUNIV</t>
  </si>
  <si>
    <t>CAREERP</t>
  </si>
  <si>
    <t>CARERATING</t>
  </si>
  <si>
    <t>CASTROLIND</t>
  </si>
  <si>
    <t>CCL</t>
  </si>
  <si>
    <t>CEATLTD</t>
  </si>
  <si>
    <t>CELEBRITY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</si>
  <si>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</si>
  <si>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</si>
  <si>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</si>
  <si>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</si>
  <si>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</si>
  <si>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</si>
  <si>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</si>
  <si>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</si>
  <si>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</si>
  <si>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CGCL</t>
  </si>
  <si>
    <t>CHALET</t>
  </si>
  <si>
    <t>CHAMBLFERT</t>
  </si>
  <si>
    <t>CHEMBOND</t>
  </si>
  <si>
    <t>CHEMCON</t>
  </si>
  <si>
    <t>CHEMFAB</t>
  </si>
  <si>
    <t>CHENNPETRO</t>
  </si>
  <si>
    <t>CHOLAFIN</t>
  </si>
  <si>
    <t>CHOLAHLDNG</t>
  </si>
  <si>
    <t>CIGNITITEC</t>
  </si>
  <si>
    <t>CLEDUCATE</t>
  </si>
  <si>
    <t>CLNINDIA</t>
  </si>
  <si>
    <t>CLSEL</t>
  </si>
  <si>
    <t>CMICABLES</t>
  </si>
  <si>
    <t>COCHINSHIP</t>
  </si>
  <si>
    <t>COFFEEDAY</t>
  </si>
  <si>
    <t>COFORGE</t>
  </si>
  <si>
    <t>COLPAL</t>
  </si>
  <si>
    <t>COMPINFO</t>
  </si>
  <si>
    <t>CONCOR</t>
  </si>
  <si>
    <t>CONFIPET</t>
  </si>
  <si>
    <t>CONSOFINVT</t>
  </si>
  <si>
    <t>CONTROLPR</t>
  </si>
  <si>
    <t>CORALFINAC</t>
  </si>
  <si>
    <t>CORDSCABLE</t>
  </si>
  <si>
    <t>COROMANDEL</t>
  </si>
  <si>
    <t>COSMOFILMS</t>
  </si>
  <si>
    <t>CPSEETF</t>
  </si>
  <si>
    <t>CRAFTSMAN</t>
  </si>
  <si>
    <t>CREDITACC</t>
  </si>
  <si>
    <t>CRISIL</t>
  </si>
  <si>
    <t>CROMPTON</t>
  </si>
  <si>
    <t>CSBBANK</t>
  </si>
  <si>
    <t>CTE</t>
  </si>
  <si>
    <t>CUB</t>
  </si>
  <si>
    <t>CUMMINSIND</t>
  </si>
  <si>
    <t>CUPID</t>
  </si>
  <si>
    <t>CYBERTECH</t>
  </si>
  <si>
    <t>CYIENT</t>
  </si>
  <si>
    <t>DAAWAT</t>
  </si>
  <si>
    <t>DABUR</t>
  </si>
  <si>
    <t>DALBHARAT</t>
  </si>
  <si>
    <t>DALMIASUG</t>
  </si>
  <si>
    <t>DATAMATICS</t>
  </si>
  <si>
    <t>DBCORP</t>
  </si>
  <si>
    <t>DBL</t>
  </si>
  <si>
    <t>DBREALTY</t>
  </si>
  <si>
    <t>DCAL</t>
  </si>
  <si>
    <t>DCBBANK</t>
  </si>
  <si>
    <t>DCMNVL</t>
  </si>
  <si>
    <t>DCMSHRIRAM</t>
  </si>
  <si>
    <t>DCW</t>
  </si>
  <si>
    <t>DECCANCE</t>
  </si>
  <si>
    <t>DEEPAKNTR</t>
  </si>
  <si>
    <t>DEEPINDS</t>
  </si>
  <si>
    <t>DELTACORP</t>
  </si>
  <si>
    <t>DEN</t>
  </si>
  <si>
    <t>DENORA</t>
  </si>
  <si>
    <t>DFMFOODS</t>
  </si>
  <si>
    <t>DHAMPURSUG</t>
  </si>
  <si>
    <t>DHANBANK</t>
  </si>
  <si>
    <t>DHANI</t>
  </si>
  <si>
    <t>DHANUKA</t>
  </si>
  <si>
    <t>DHUNINV</t>
  </si>
  <si>
    <t>DIAMONDYD</t>
  </si>
  <si>
    <t>DICIND</t>
  </si>
  <si>
    <t>DISHTV</t>
  </si>
  <si>
    <t>DIXON</t>
  </si>
  <si>
    <t>DLINKINDIA</t>
  </si>
  <si>
    <t>DMART</t>
  </si>
  <si>
    <t>DNAMEDIA</t>
  </si>
  <si>
    <t>DODLA</t>
  </si>
  <si>
    <t>DOLAT</t>
  </si>
  <si>
    <t>DOLLAR</t>
  </si>
  <si>
    <t>DONEAR</t>
  </si>
  <si>
    <t>DPABHUSHAN</t>
  </si>
  <si>
    <t>DPSCLTD</t>
  </si>
  <si>
    <t>DPWIRES</t>
  </si>
  <si>
    <t>DREDGECORP</t>
  </si>
  <si>
    <t>DSSL</t>
  </si>
  <si>
    <t>DTIL</t>
  </si>
  <si>
    <t>DVL</t>
  </si>
  <si>
    <t>DWARKESH</t>
  </si>
  <si>
    <t>DYNAMATECH</t>
  </si>
  <si>
    <t>DYNPRO</t>
  </si>
  <si>
    <t>EASEMYTRIP</t>
  </si>
  <si>
    <t>EBBETF0423</t>
  </si>
  <si>
    <t>EBBETF0425</t>
  </si>
  <si>
    <t>EBBETF0430</t>
  </si>
  <si>
    <t>EBBETF0431</t>
  </si>
  <si>
    <t>EBIXFOREX</t>
  </si>
  <si>
    <t>EDELWEISS</t>
  </si>
  <si>
    <t>EIDPARRY</t>
  </si>
  <si>
    <t>EIHAHOTELS</t>
  </si>
  <si>
    <t>EIHOTEL</t>
  </si>
  <si>
    <t>EIMCOELECO</t>
  </si>
  <si>
    <t>ELECON</t>
  </si>
  <si>
    <t>ELECTCAST</t>
  </si>
  <si>
    <t>ELECTHERM</t>
  </si>
  <si>
    <t>ELGIEQUIP</t>
  </si>
  <si>
    <t>ELGIRUBCO</t>
  </si>
  <si>
    <t>EMAMILTD</t>
  </si>
  <si>
    <t>EMAMIPAP</t>
  </si>
  <si>
    <t>EMAMIREAL</t>
  </si>
  <si>
    <t>EMKAY</t>
  </si>
  <si>
    <t>EMMBI</t>
  </si>
  <si>
    <t>ENDURANCE</t>
  </si>
  <si>
    <t>ENERGYDEV</t>
  </si>
  <si>
    <t>ENGINERSIN</t>
  </si>
  <si>
    <t>ENIL</t>
  </si>
  <si>
    <t>EPL</t>
  </si>
  <si>
    <t>EQ30</t>
  </si>
  <si>
    <t>EQUITAS</t>
  </si>
  <si>
    <t>EQUITASBNK</t>
  </si>
  <si>
    <t>ERIS</t>
  </si>
  <si>
    <t>EROSMEDIA</t>
  </si>
  <si>
    <t>ESABINDIA</t>
  </si>
  <si>
    <t>ESCORTS</t>
  </si>
  <si>
    <t>ESTER</t>
  </si>
  <si>
    <t>EVEREADY</t>
  </si>
  <si>
    <t>EVERESTIND</t>
  </si>
  <si>
    <t>EXCELINDUS</t>
  </si>
  <si>
    <t>EXIDEIND</t>
  </si>
  <si>
    <t>FACT</t>
  </si>
  <si>
    <t>FAIRCHEMOR</t>
  </si>
  <si>
    <t>FCL</t>
  </si>
  <si>
    <t>FCONSUMER</t>
  </si>
  <si>
    <t>FDC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</si>
  <si>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</si>
  <si>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</si>
  <si>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</si>
  <si>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</si>
  <si>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</si>
  <si>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</si>
  <si>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</si>
  <si>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</si>
  <si>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FLFL</t>
  </si>
  <si>
    <t>FLUOROCHEM</t>
  </si>
  <si>
    <t>FMGOETZE</t>
  </si>
  <si>
    <t>FMNL</t>
  </si>
  <si>
    <t>FORCEMOT</t>
  </si>
  <si>
    <t>FORTIS</t>
  </si>
  <si>
    <t>FOSECOIND</t>
  </si>
  <si>
    <t>FRETAIL</t>
  </si>
  <si>
    <t>FSL</t>
  </si>
  <si>
    <t>GABRIEL</t>
  </si>
  <si>
    <t>GAEL</t>
  </si>
  <si>
    <t>GALAXYSURF</t>
  </si>
  <si>
    <t>GALLANTT</t>
  </si>
  <si>
    <t>GALLISPAT</t>
  </si>
  <si>
    <t>GANDHITUBE</t>
  </si>
  <si>
    <t>GANECOS</t>
  </si>
  <si>
    <t>GANGAFORGE</t>
  </si>
  <si>
    <t>GANGESSECU</t>
  </si>
  <si>
    <t>GARFIBRES</t>
  </si>
  <si>
    <t>GATI</t>
  </si>
  <si>
    <t>GAYAPROJ</t>
  </si>
  <si>
    <t>GEECEE</t>
  </si>
  <si>
    <t>GEEKAYWIRE</t>
  </si>
  <si>
    <t>GENCON</t>
  </si>
  <si>
    <t>GENESYS</t>
  </si>
  <si>
    <t>GENUSPOWER</t>
  </si>
  <si>
    <t>GEOJITFSL</t>
  </si>
  <si>
    <t>GEPIL</t>
  </si>
  <si>
    <t>GESHIP</t>
  </si>
  <si>
    <t>GET&amp;D</t>
  </si>
  <si>
    <t>GFLLIMITED</t>
  </si>
  <si>
    <t>GHCL</t>
  </si>
  <si>
    <t>GICHSGFIN</t>
  </si>
  <si>
    <t>GICRE</t>
  </si>
  <si>
    <t>GILLETTE</t>
  </si>
  <si>
    <t>GINNIFILA</t>
  </si>
  <si>
    <t>GIPCL</t>
  </si>
  <si>
    <t>GKWLIMITED</t>
  </si>
  <si>
    <t>GLAND</t>
  </si>
  <si>
    <t>GLAXO</t>
  </si>
  <si>
    <t>GLENMARK</t>
  </si>
  <si>
    <t>GLOBAL</t>
  </si>
  <si>
    <t>GLOBALVECT</t>
  </si>
  <si>
    <t>GMBREW</t>
  </si>
  <si>
    <t>GMDCLTD</t>
  </si>
  <si>
    <t>GMMPFAUDLR</t>
  </si>
  <si>
    <t>GMRINFRA</t>
  </si>
  <si>
    <t>GNA</t>
  </si>
  <si>
    <t>GNFC</t>
  </si>
  <si>
    <t>GOCLCORP</t>
  </si>
  <si>
    <t>GODFRYPHLP</t>
  </si>
  <si>
    <t>GODREJAGRO</t>
  </si>
  <si>
    <t>GODREJCP</t>
  </si>
  <si>
    <t>GODREJIND</t>
  </si>
  <si>
    <t>GODREJPROP</t>
  </si>
  <si>
    <t>GOKEX</t>
  </si>
  <si>
    <t>GOKUL</t>
  </si>
  <si>
    <t>GOKULAGRO</t>
  </si>
  <si>
    <t>GOLDBEES</t>
  </si>
  <si>
    <t>GOLDIAM</t>
  </si>
  <si>
    <t>GOLDSHARE</t>
  </si>
  <si>
    <t>GOLDTECH</t>
  </si>
  <si>
    <t>GOODLUCK</t>
  </si>
  <si>
    <t>GOODYEAR</t>
  </si>
  <si>
    <t>GPPL</t>
  </si>
  <si>
    <t>GPTINFRA</t>
  </si>
  <si>
    <t>GRANULES</t>
  </si>
  <si>
    <t>GRAPHITE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</si>
  <si>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</si>
  <si>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</si>
  <si>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</si>
  <si>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</si>
  <si>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</si>
  <si>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</si>
  <si>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</si>
  <si>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</si>
  <si>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GRSE</t>
  </si>
  <si>
    <t>GSCLCEMENT</t>
  </si>
  <si>
    <t>GSFC</t>
  </si>
  <si>
    <t>GSPL</t>
  </si>
  <si>
    <t>GSS</t>
  </si>
  <si>
    <t>GTPL</t>
  </si>
  <si>
    <t>GUFICBIO</t>
  </si>
  <si>
    <t>GUJALKALI</t>
  </si>
  <si>
    <t>GUJAPOLLO</t>
  </si>
  <si>
    <t>GUJGASLTD</t>
  </si>
  <si>
    <t>GULFOILLUB</t>
  </si>
  <si>
    <t>GULFPETRO</t>
  </si>
  <si>
    <t>HAL</t>
  </si>
  <si>
    <t>HAPPSTMNDS</t>
  </si>
  <si>
    <t>HARRMALAYA</t>
  </si>
  <si>
    <t>HATHWAY</t>
  </si>
  <si>
    <t>HATSUN</t>
  </si>
  <si>
    <t>HAVELLS</t>
  </si>
  <si>
    <t>HBANKETF</t>
  </si>
  <si>
    <t>HBLPOWER</t>
  </si>
  <si>
    <t>HBSL</t>
  </si>
  <si>
    <t>HCC</t>
  </si>
  <si>
    <t>HCG</t>
  </si>
  <si>
    <t>HCL-INSYS</t>
  </si>
  <si>
    <t>HDFCAMC</t>
  </si>
  <si>
    <t>HDFCMFGETF</t>
  </si>
  <si>
    <t>HDFCNIFETF</t>
  </si>
  <si>
    <t>HDFCSENETF</t>
  </si>
  <si>
    <t>HEG</t>
  </si>
  <si>
    <t>HEIDELBERG</t>
  </si>
  <si>
    <t>HEMIPROP</t>
  </si>
  <si>
    <t>HERANBA</t>
  </si>
  <si>
    <t>HERCULES</t>
  </si>
  <si>
    <t>HERITGFOOD</t>
  </si>
  <si>
    <t>HESTERBIO</t>
  </si>
  <si>
    <t>HGINFRA</t>
  </si>
  <si>
    <t>HIKAL</t>
  </si>
  <si>
    <t>HIL</t>
  </si>
  <si>
    <t>HINDCOMPOS</t>
  </si>
  <si>
    <t>HINDCON</t>
  </si>
  <si>
    <t>HINDCOPPER</t>
  </si>
  <si>
    <t>HINDMOTORS</t>
  </si>
  <si>
    <t>HINDOILEXP</t>
  </si>
  <si>
    <t>HINDPETRO</t>
  </si>
  <si>
    <t>HINDZINC</t>
  </si>
  <si>
    <t>HIRECT</t>
  </si>
  <si>
    <t>HISARMETAL</t>
  </si>
  <si>
    <t>HITECH</t>
  </si>
  <si>
    <t>HITECHCORP</t>
  </si>
  <si>
    <t>HITECHGEAR</t>
  </si>
  <si>
    <t>HLEGLAS</t>
  </si>
  <si>
    <t>HLVLTD</t>
  </si>
  <si>
    <t>HMVL</t>
  </si>
  <si>
    <t>HNGSNGBEES</t>
  </si>
  <si>
    <t>HOMEFIRST</t>
  </si>
  <si>
    <t>HONAUT</t>
  </si>
  <si>
    <t>HONDAPOWER</t>
  </si>
  <si>
    <t>HPL</t>
  </si>
  <si>
    <t>HSCL</t>
  </si>
  <si>
    <t>HSIL</t>
  </si>
  <si>
    <t>HTMEDIA</t>
  </si>
  <si>
    <t>HUHTAMAKI</t>
  </si>
  <si>
    <t>IBMFNIFTY</t>
  </si>
  <si>
    <t>IBREALEST</t>
  </si>
  <si>
    <t>IBULHSGFIN</t>
  </si>
  <si>
    <t>ICEMAKE</t>
  </si>
  <si>
    <t>ICICI500</t>
  </si>
  <si>
    <t>ICICIALPLV</t>
  </si>
  <si>
    <t>ICICIB22</t>
  </si>
  <si>
    <t>ICICIBANKN</t>
  </si>
  <si>
    <t>ICICIBANKP</t>
  </si>
  <si>
    <t>ICICIGI</t>
  </si>
  <si>
    <t>ICICIGOLD</t>
  </si>
  <si>
    <t>ICICILIQ</t>
  </si>
  <si>
    <t>ICICILOVOL</t>
  </si>
  <si>
    <t>ICICIM150</t>
  </si>
  <si>
    <t>ICICIMCAP</t>
  </si>
  <si>
    <t>ICICINF100</t>
  </si>
  <si>
    <t>ICICINIFTY</t>
  </si>
  <si>
    <t>ICICINV20</t>
  </si>
  <si>
    <t>ICICINXT50</t>
  </si>
  <si>
    <t>ICICIPHARM</t>
  </si>
  <si>
    <t>ICICIPRULI</t>
  </si>
  <si>
    <t>ICICISENSX</t>
  </si>
  <si>
    <t>ICICITECH</t>
  </si>
  <si>
    <t>ICIL</t>
  </si>
  <si>
    <t>ICRA</t>
  </si>
  <si>
    <t>IDBI</t>
  </si>
  <si>
    <t>IDBIGOLD</t>
  </si>
  <si>
    <t>IDEA</t>
  </si>
  <si>
    <t>IDFC</t>
  </si>
  <si>
    <t>IDFCFIRSTB</t>
  </si>
  <si>
    <t>IDFNIFTYET</t>
  </si>
  <si>
    <t>IEX</t>
  </si>
  <si>
    <t>IFBAGRO</t>
  </si>
  <si>
    <t>IFBIND</t>
  </si>
  <si>
    <t>IFCI</t>
  </si>
  <si>
    <t>IFGLEXPOR</t>
  </si>
  <si>
    <t>IGARASHI</t>
  </si>
  <si>
    <t>IGPL</t>
  </si>
  <si>
    <t>IIFLSEC</t>
  </si>
  <si>
    <t>IIFLWAM</t>
  </si>
  <si>
    <t>IITL</t>
  </si>
  <si>
    <t>IMPAL</t>
  </si>
  <si>
    <t>INDBANK</t>
  </si>
  <si>
    <t>INDHOTEL</t>
  </si>
  <si>
    <t>INDIACEM</t>
  </si>
  <si>
    <t>INDIAGLYCO</t>
  </si>
  <si>
    <t>INDIAMART</t>
  </si>
  <si>
    <t>INDIANB</t>
  </si>
  <si>
    <t>INDIANHUME</t>
  </si>
  <si>
    <t>INDIGO</t>
  </si>
  <si>
    <t>INDIGOPNTS</t>
  </si>
  <si>
    <t>INDLMETER</t>
  </si>
  <si>
    <t>INDNIPPON</t>
  </si>
  <si>
    <t>INDOCO</t>
  </si>
  <si>
    <t>INDOSTAR</t>
  </si>
  <si>
    <t>INDRAMEDCO</t>
  </si>
  <si>
    <t>INDSWFTLAB</t>
  </si>
  <si>
    <t>INDTERRAIN</t>
  </si>
  <si>
    <t>INDUSTOWER</t>
  </si>
  <si>
    <t>INEOSSTYRO</t>
  </si>
  <si>
    <t>INFIBEAM</t>
  </si>
  <si>
    <t>INFRABEES</t>
  </si>
  <si>
    <t>INGERRAND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</si>
  <si>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</si>
  <si>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</si>
  <si>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</si>
  <si>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</si>
  <si>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</si>
  <si>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</si>
  <si>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</si>
  <si>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</si>
  <si>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IPCALAB</t>
  </si>
  <si>
    <t>IPL</t>
  </si>
  <si>
    <t>IRB</t>
  </si>
  <si>
    <t>IRCON</t>
  </si>
  <si>
    <t>IRFC</t>
  </si>
  <si>
    <t>ISEC</t>
  </si>
  <si>
    <t>ISFT</t>
  </si>
  <si>
    <t>ISGEC</t>
  </si>
  <si>
    <t>ITDC</t>
  </si>
  <si>
    <t>ITDCEM</t>
  </si>
  <si>
    <t>ITI</t>
  </si>
  <si>
    <t>IVP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</si>
  <si>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</si>
  <si>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</si>
  <si>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</si>
  <si>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</si>
  <si>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</si>
  <si>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</si>
  <si>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</si>
  <si>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</si>
  <si>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JAMNAAUTO</t>
  </si>
  <si>
    <t>JASH</t>
  </si>
  <si>
    <t>JAYAGROGN</t>
  </si>
  <si>
    <t>JAYBARMARU</t>
  </si>
  <si>
    <t>JAYSREETEA</t>
  </si>
  <si>
    <t>JBCHEPHARM</t>
  </si>
  <si>
    <t>JBMA</t>
  </si>
  <si>
    <t>JCHAC</t>
  </si>
  <si>
    <t>JHS</t>
  </si>
  <si>
    <t>JINDALPOLY</t>
  </si>
  <si>
    <t>JINDALSAW</t>
  </si>
  <si>
    <t>JINDALSTEL</t>
  </si>
  <si>
    <t>JINDRILL</t>
  </si>
  <si>
    <t>JINDWORLD</t>
  </si>
  <si>
    <t>JISLJALEQS</t>
  </si>
  <si>
    <t>JKCEMENT</t>
  </si>
  <si>
    <t>JKIL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</si>
  <si>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</si>
  <si>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</si>
  <si>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</si>
  <si>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</si>
  <si>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</si>
  <si>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</si>
  <si>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</si>
  <si>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</si>
  <si>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JPPOWER</t>
  </si>
  <si>
    <t>JSL</t>
  </si>
  <si>
    <t>JSLHISAR</t>
  </si>
  <si>
    <t>JSWHL</t>
  </si>
  <si>
    <t>JTEKTINDIA</t>
  </si>
  <si>
    <t>JUBLFOOD</t>
  </si>
  <si>
    <t>JUBLINDS</t>
  </si>
  <si>
    <t>JUBLINGREA</t>
  </si>
  <si>
    <t>JUBLPHARMA</t>
  </si>
  <si>
    <t>JUMPNET</t>
  </si>
  <si>
    <t>JUNIORBEES</t>
  </si>
  <si>
    <t>JUSTDIAL</t>
  </si>
  <si>
    <t>JYOTHYLAB</t>
  </si>
  <si>
    <t>KABRAEXTRU</t>
  </si>
  <si>
    <t>KAJARIACER</t>
  </si>
  <si>
    <t>KAKATCEM</t>
  </si>
  <si>
    <t>KALPATPOWR</t>
  </si>
  <si>
    <t>KALYANKJIL</t>
  </si>
  <si>
    <t>KAMDHENU</t>
  </si>
  <si>
    <t>KANORICHEM</t>
  </si>
  <si>
    <t>KANPRPLA</t>
  </si>
  <si>
    <t>KANSAINER</t>
  </si>
  <si>
    <t>KARURVYSYA</t>
  </si>
  <si>
    <t>KAYA</t>
  </si>
  <si>
    <t>KCP</t>
  </si>
  <si>
    <t>KCPSUGIND</t>
  </si>
  <si>
    <t>KEC</t>
  </si>
  <si>
    <t>KEERTI</t>
  </si>
  <si>
    <t>KEI</t>
  </si>
  <si>
    <t>KELLTONTEC</t>
  </si>
  <si>
    <t>KENNAMET</t>
  </si>
  <si>
    <t>KESORAMIND</t>
  </si>
  <si>
    <t>KEYFINSERV</t>
  </si>
  <si>
    <t>KHADIM</t>
  </si>
  <si>
    <t>KHAICHEM</t>
  </si>
  <si>
    <t>KHANDSE</t>
  </si>
  <si>
    <t>KICL</t>
  </si>
  <si>
    <t>KIMS</t>
  </si>
  <si>
    <t>KINGFA</t>
  </si>
  <si>
    <t>KIOCL</t>
  </si>
  <si>
    <t>KIRIINDUS</t>
  </si>
  <si>
    <t>KIRLFER</t>
  </si>
  <si>
    <t>KIRLOSENG</t>
  </si>
  <si>
    <t>KIRLOSIND</t>
  </si>
  <si>
    <t>KITEX</t>
  </si>
  <si>
    <t>KKCL</t>
  </si>
  <si>
    <t>KMSUGAR</t>
  </si>
  <si>
    <t>KNRCON</t>
  </si>
  <si>
    <t>KOKUYOCMLN</t>
  </si>
  <si>
    <t>KOLTEPATIL</t>
  </si>
  <si>
    <t>KOTAKBKETF</t>
  </si>
  <si>
    <t>KOTAKGOLD</t>
  </si>
  <si>
    <t>KOTAKIT</t>
  </si>
  <si>
    <t>KOTAKNIFTY</t>
  </si>
  <si>
    <t>KOTAKNV20</t>
  </si>
  <si>
    <t>KOTAKPSUBK</t>
  </si>
  <si>
    <t>KOTARISUG</t>
  </si>
  <si>
    <t>KOTHARIPET</t>
  </si>
  <si>
    <t>KPITTECH</t>
  </si>
  <si>
    <t>KPRMILL</t>
  </si>
  <si>
    <t>KRBL</t>
  </si>
  <si>
    <t>KREBSBIO</t>
  </si>
  <si>
    <t>KRISHANA</t>
  </si>
  <si>
    <t>KSB</t>
  </si>
  <si>
    <t>KSCL</t>
  </si>
  <si>
    <t>KSL</t>
  </si>
  <si>
    <t>KTKBANK</t>
  </si>
  <si>
    <t>KUANTUM</t>
  </si>
  <si>
    <t>L&amp;TFH</t>
  </si>
  <si>
    <t>LALPATHLAB</t>
  </si>
  <si>
    <t>LAOPALA</t>
  </si>
  <si>
    <t>LASA</t>
  </si>
  <si>
    <t>LAURUSLABS</t>
  </si>
  <si>
    <t>LAXMIMACH</t>
  </si>
  <si>
    <t>LEMONTREE</t>
  </si>
  <si>
    <t>LFIC</t>
  </si>
  <si>
    <t>LGBBROSLTD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</si>
  <si>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</si>
  <si>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</si>
  <si>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</si>
  <si>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</si>
  <si>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</si>
  <si>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</si>
  <si>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</si>
  <si>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LIKHITHA</t>
  </si>
  <si>
    <t>LINCOLN</t>
  </si>
  <si>
    <t>LINDEINDIA</t>
  </si>
  <si>
    <t>LIQUIDBEES</t>
  </si>
  <si>
    <t>LIQUIDETF</t>
  </si>
  <si>
    <t>LODHA</t>
  </si>
  <si>
    <t>LTI</t>
  </si>
  <si>
    <t>LTTS</t>
  </si>
  <si>
    <t>LUMAXIND</t>
  </si>
  <si>
    <t>LUMAXTECH</t>
  </si>
  <si>
    <t>LUPIN</t>
  </si>
  <si>
    <t>LUXIND</t>
  </si>
  <si>
    <t>LXCHEM</t>
  </si>
  <si>
    <t>LYPSAGEMS</t>
  </si>
  <si>
    <t>M&amp;MFIN</t>
  </si>
  <si>
    <t>MACPOWER</t>
  </si>
  <si>
    <t>MADHAV</t>
  </si>
  <si>
    <t>MADHUCON</t>
  </si>
  <si>
    <t>MADRASFERT</t>
  </si>
  <si>
    <t>MAESGETF</t>
  </si>
  <si>
    <t>MAFANG</t>
  </si>
  <si>
    <t>MAGADSUGAR</t>
  </si>
  <si>
    <t>MAHABANK</t>
  </si>
  <si>
    <t>MAHASTEEL</t>
  </si>
  <si>
    <t>MAHEPC</t>
  </si>
  <si>
    <t>MAHESHWARI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</si>
  <si>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</si>
  <si>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</si>
  <si>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</si>
  <si>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</si>
  <si>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</si>
  <si>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</si>
  <si>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</si>
  <si>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</si>
  <si>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MAN50ETF</t>
  </si>
  <si>
    <t>MANAKCOAT</t>
  </si>
  <si>
    <t>MANAKSIA</t>
  </si>
  <si>
    <t>MANAKSTEEL</t>
  </si>
  <si>
    <t>MANAPPURAM</t>
  </si>
  <si>
    <t>MANGALAM</t>
  </si>
  <si>
    <t>MANGCHEFER</t>
  </si>
  <si>
    <t>MANGLMCEM</t>
  </si>
  <si>
    <t>MANINDS</t>
  </si>
  <si>
    <t>MANINFRA</t>
  </si>
  <si>
    <t>MANXT50</t>
  </si>
  <si>
    <t>MARALOVER</t>
  </si>
  <si>
    <t>MARATHON</t>
  </si>
  <si>
    <t>MARICO</t>
  </si>
  <si>
    <t>MARINE</t>
  </si>
  <si>
    <t>MARKSANS</t>
  </si>
  <si>
    <t>MASFIN</t>
  </si>
  <si>
    <t>MASTEK</t>
  </si>
  <si>
    <t>MATRIMONY</t>
  </si>
  <si>
    <t>MAXHEALTH</t>
  </si>
  <si>
    <t>MAXIND</t>
  </si>
  <si>
    <t>MAXVIL</t>
  </si>
  <si>
    <t>MAYURUNIQ</t>
  </si>
  <si>
    <t>MAZDA</t>
  </si>
  <si>
    <t>MAZDOCK</t>
  </si>
  <si>
    <t>MBAPL</t>
  </si>
  <si>
    <t>MBLINFRA</t>
  </si>
  <si>
    <t>MCDOWELL-N</t>
  </si>
  <si>
    <t>MCL</t>
  </si>
  <si>
    <t>MCX</t>
  </si>
  <si>
    <t>MENONBE</t>
  </si>
  <si>
    <t>MEP</t>
  </si>
  <si>
    <t>METROPOLIS</t>
  </si>
  <si>
    <t>MFSL</t>
  </si>
  <si>
    <t>MGEL</t>
  </si>
  <si>
    <t>MGL</t>
  </si>
  <si>
    <t>MHRIL</t>
  </si>
  <si>
    <t>MIDHANI</t>
  </si>
  <si>
    <t>MINDACORP</t>
  </si>
  <si>
    <t>MINDAIND</t>
  </si>
  <si>
    <t>MINDTECK</t>
  </si>
  <si>
    <t>MINDTREE</t>
  </si>
  <si>
    <t>MIRZAINT</t>
  </si>
  <si>
    <t>MITTAL</t>
  </si>
  <si>
    <t>MMFL</t>
  </si>
  <si>
    <t>MMP</t>
  </si>
  <si>
    <t>MMTC</t>
  </si>
  <si>
    <t>MODISNME</t>
  </si>
  <si>
    <t>MOGSEC</t>
  </si>
  <si>
    <t>MOIL</t>
  </si>
  <si>
    <t>MOKSH</t>
  </si>
  <si>
    <t>MOLDTKPAC</t>
  </si>
  <si>
    <t>MOM100</t>
  </si>
  <si>
    <t>MOM50</t>
  </si>
  <si>
    <t>MON100</t>
  </si>
  <si>
    <t>MONTECARLO</t>
  </si>
  <si>
    <t>MORARJEE</t>
  </si>
  <si>
    <t>MOREPENLAB</t>
  </si>
  <si>
    <t>MOTHERSUMI</t>
  </si>
  <si>
    <t>MOTILALOFS</t>
  </si>
  <si>
    <t>MOTOGENFIN</t>
  </si>
  <si>
    <t>MPHASIS</t>
  </si>
  <si>
    <t>MPSLTD</t>
  </si>
  <si>
    <t>MSTCLTD</t>
  </si>
  <si>
    <t>MTARTECH</t>
  </si>
  <si>
    <t>MTNL</t>
  </si>
  <si>
    <t>MUKTAARTS</t>
  </si>
  <si>
    <t>MUNJALAU</t>
  </si>
  <si>
    <t>MUNJALSHOW</t>
  </si>
  <si>
    <t>MURUDCERA</t>
  </si>
  <si>
    <t>MUTHOOTCAP</t>
  </si>
  <si>
    <t>MUTHOOTFIN</t>
  </si>
  <si>
    <t>NACLIND</t>
  </si>
  <si>
    <t>NAHARCAP</t>
  </si>
  <si>
    <t>NAHARPOLY</t>
  </si>
  <si>
    <t>NAM-INDIA</t>
  </si>
  <si>
    <t>NATCOPHARM</t>
  </si>
  <si>
    <t>NATHBIOGEN</t>
  </si>
  <si>
    <t>NATIONALUM</t>
  </si>
  <si>
    <t>NAUKRI</t>
  </si>
  <si>
    <t>NAVINFLUOR</t>
  </si>
  <si>
    <t>NAVKARCORP</t>
  </si>
  <si>
    <t>NAVNETEDUL</t>
  </si>
  <si>
    <t>NAZARA</t>
  </si>
  <si>
    <t>NBCC</t>
  </si>
  <si>
    <t>NBIFIN</t>
  </si>
  <si>
    <t>NBVENTURES</t>
  </si>
  <si>
    <t>NCC</t>
  </si>
  <si>
    <t>NCLIND</t>
  </si>
  <si>
    <t>NCPSESDL24</t>
  </si>
  <si>
    <t>NDTV</t>
  </si>
  <si>
    <t>NECCLTD</t>
  </si>
  <si>
    <t>NECLIFE</t>
  </si>
  <si>
    <t>NELCAST</t>
  </si>
  <si>
    <t>NELCO</t>
  </si>
  <si>
    <t>NEOGEN</t>
  </si>
  <si>
    <t>NESCO</t>
  </si>
  <si>
    <t>NETF</t>
  </si>
  <si>
    <t>NETFCONSUM</t>
  </si>
  <si>
    <t>NETFDIVOPP</t>
  </si>
  <si>
    <t>NETFIT</t>
  </si>
  <si>
    <t>NETFLTGILT</t>
  </si>
  <si>
    <t>NETFMID150</t>
  </si>
  <si>
    <t>NETFNIF100</t>
  </si>
  <si>
    <t>NETFNV20</t>
  </si>
  <si>
    <t>NETFPHARMA</t>
  </si>
  <si>
    <t>NETFSDL26</t>
  </si>
  <si>
    <t>NETWORK18</t>
  </si>
  <si>
    <t>NEXTMEDIA</t>
  </si>
  <si>
    <t>NFL</t>
  </si>
  <si>
    <t>NH</t>
  </si>
  <si>
    <t>NIACL</t>
  </si>
  <si>
    <t>NIFTYBEES</t>
  </si>
  <si>
    <t>NIITLTD</t>
  </si>
  <si>
    <t>NILAINFRA</t>
  </si>
  <si>
    <t>NILKAMAL</t>
  </si>
  <si>
    <t>NIPPOBATRY</t>
  </si>
  <si>
    <t>NIRAJ</t>
  </si>
  <si>
    <t>NITCO</t>
  </si>
  <si>
    <t>NITIRAJ</t>
  </si>
  <si>
    <t>NLCINDIA</t>
  </si>
  <si>
    <t>NOCIL</t>
  </si>
  <si>
    <t>NOIDATOLL</t>
  </si>
  <si>
    <t>NOVARTIND</t>
  </si>
  <si>
    <t>NPBET</t>
  </si>
  <si>
    <t>NRAIL</t>
  </si>
  <si>
    <t>NRBBEARING</t>
  </si>
  <si>
    <t>NSIL</t>
  </si>
  <si>
    <t>NUCLEUS</t>
  </si>
  <si>
    <t>NURECA</t>
  </si>
  <si>
    <t>NXTDIGITAL</t>
  </si>
  <si>
    <t>OAL</t>
  </si>
  <si>
    <t>OBEROIRLTY</t>
  </si>
  <si>
    <t>OCCL</t>
  </si>
  <si>
    <t>OFSS</t>
  </si>
  <si>
    <t>OIL</t>
  </si>
  <si>
    <t>OMAXE</t>
  </si>
  <si>
    <t>OMINFRAL</t>
  </si>
  <si>
    <t>OMKARCHEM</t>
  </si>
  <si>
    <t>ONMOBILE</t>
  </si>
  <si>
    <t>ORBTEXP</t>
  </si>
  <si>
    <t>ORICONENT</t>
  </si>
  <si>
    <t>ORIENTABRA</t>
  </si>
  <si>
    <t>ORIENTALTL</t>
  </si>
  <si>
    <t>ORIENTBELL</t>
  </si>
  <si>
    <t>ORIENTCEM</t>
  </si>
  <si>
    <t>ORIENTELEC</t>
  </si>
  <si>
    <t>ORIENTHOT</t>
  </si>
  <si>
    <t>ORIENTLTD</t>
  </si>
  <si>
    <t>ORIENTPPR</t>
  </si>
  <si>
    <t>ORISSAMINE</t>
  </si>
  <si>
    <t>ORTINLAB</t>
  </si>
  <si>
    <t>OSWALAGRO</t>
  </si>
  <si>
    <t>PAGEIND</t>
  </si>
  <si>
    <t>PAISALO</t>
  </si>
  <si>
    <t>PALREDTEC</t>
  </si>
  <si>
    <t>PANACEABIO</t>
  </si>
  <si>
    <t>PANAMAPET</t>
  </si>
  <si>
    <t>PARAGMILK</t>
  </si>
  <si>
    <t>PARSVNATH</t>
  </si>
  <si>
    <t>PATELENG</t>
  </si>
  <si>
    <t>PATINTLOG</t>
  </si>
  <si>
    <t>PCJEWELLER</t>
  </si>
  <si>
    <t>PDMJEPAPER</t>
  </si>
  <si>
    <t>PDSMFL</t>
  </si>
  <si>
    <t>PEARLPOLY</t>
  </si>
  <si>
    <t>PEL</t>
  </si>
  <si>
    <t>PENIND</t>
  </si>
  <si>
    <t>PERSISTENT</t>
  </si>
  <si>
    <t>PETRONET</t>
  </si>
  <si>
    <t>PFC</t>
  </si>
  <si>
    <t>PFIZER</t>
  </si>
  <si>
    <t>PFS</t>
  </si>
  <si>
    <t>PGEL</t>
  </si>
  <si>
    <t>PGHH</t>
  </si>
  <si>
    <t>PGHL</t>
  </si>
  <si>
    <t>PGIL</t>
  </si>
  <si>
    <t>PHILIPCARB</t>
  </si>
  <si>
    <t>PHOENIXLTD</t>
  </si>
  <si>
    <t>PIDILITIND</t>
  </si>
  <si>
    <t>PIIND</t>
  </si>
  <si>
    <t>PILANIINVS</t>
  </si>
  <si>
    <t>PILITA</t>
  </si>
  <si>
    <t>PIONDIST</t>
  </si>
  <si>
    <t>PIONEEREMB</t>
  </si>
  <si>
    <t>PITTIENG</t>
  </si>
  <si>
    <t>PLASTIBLEN</t>
  </si>
  <si>
    <t>PNBGILTS</t>
  </si>
  <si>
    <t>PNCINFRA</t>
  </si>
  <si>
    <t>PODDARHOUS</t>
  </si>
  <si>
    <t>PODDARMENT</t>
  </si>
  <si>
    <t>POKARNA</t>
  </si>
  <si>
    <t>POLYCAB</t>
  </si>
  <si>
    <t>POLYMED</t>
  </si>
  <si>
    <t>POLYPLEX</t>
  </si>
  <si>
    <t>POWERINDIA</t>
  </si>
  <si>
    <t>POWERMECH</t>
  </si>
  <si>
    <t>PPAP</t>
  </si>
  <si>
    <t>PPL</t>
  </si>
  <si>
    <t>PRAKASH</t>
  </si>
  <si>
    <t>PRAXIS</t>
  </si>
  <si>
    <t>PRECAM</t>
  </si>
  <si>
    <t>PRECOT</t>
  </si>
  <si>
    <t>PRECWIRE</t>
  </si>
  <si>
    <t>PREMIERPOL</t>
  </si>
  <si>
    <t>PRESSMN</t>
  </si>
  <si>
    <t>PRESTIGE</t>
  </si>
  <si>
    <t>PRICOLLTD</t>
  </si>
  <si>
    <t>PRIMESECU</t>
  </si>
  <si>
    <t>PRINCEPIPE</t>
  </si>
  <si>
    <t>PRIVISCL</t>
  </si>
  <si>
    <t>PRSMJOHNSN</t>
  </si>
  <si>
    <t>PSB</t>
  </si>
  <si>
    <t>PSPPROJECT</t>
  </si>
  <si>
    <t>PSUBNKBEES</t>
  </si>
  <si>
    <t>PTC</t>
  </si>
  <si>
    <t>PTL</t>
  </si>
  <si>
    <t>PUNJABCHEM</t>
  </si>
  <si>
    <t>PURVA</t>
  </si>
  <si>
    <t>PVR</t>
  </si>
  <si>
    <t>QGOLDHALF</t>
  </si>
  <si>
    <t>QNIFTY</t>
  </si>
  <si>
    <t>QUESS</t>
  </si>
  <si>
    <t>QUICKHEAL</t>
  </si>
  <si>
    <t>RADICO</t>
  </si>
  <si>
    <t>RADIOCITY</t>
  </si>
  <si>
    <t>RAILTEL</t>
  </si>
  <si>
    <t>RAIN</t>
  </si>
  <si>
    <t>RAJESHEXPO</t>
  </si>
  <si>
    <t>RALLIS</t>
  </si>
  <si>
    <t>RAMANEWS</t>
  </si>
  <si>
    <t>RAMCOCEM</t>
  </si>
  <si>
    <t>RAMCOIND</t>
  </si>
  <si>
    <t>RAMCOSYS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</si>
  <si>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</si>
  <si>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</si>
  <si>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</si>
  <si>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</si>
  <si>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</si>
  <si>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</si>
  <si>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</si>
  <si>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</si>
  <si>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</si>
  <si>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</si>
  <si>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</si>
  <si>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RELAXO</t>
  </si>
  <si>
    <t>RELCAPITAL</t>
  </si>
  <si>
    <t>RELIGARE</t>
  </si>
  <si>
    <t>REPCOHOME</t>
  </si>
  <si>
    <t>REPL</t>
  </si>
  <si>
    <t>REPRO</t>
  </si>
  <si>
    <t>RESPONIND</t>
  </si>
  <si>
    <t>REVATHI</t>
  </si>
  <si>
    <t>RGL</t>
  </si>
  <si>
    <t>RICOAUTO</t>
  </si>
  <si>
    <t>RIIL</t>
  </si>
  <si>
    <t>RITES</t>
  </si>
  <si>
    <t>RKEC</t>
  </si>
  <si>
    <t>RKFORGE</t>
  </si>
  <si>
    <t>RML</t>
  </si>
  <si>
    <t>ROHLTD</t>
  </si>
  <si>
    <t>ROLLT</t>
  </si>
  <si>
    <t>ROML</t>
  </si>
  <si>
    <t>ROSSARI</t>
  </si>
  <si>
    <t>ROSSELLIND</t>
  </si>
  <si>
    <t>ROUTE</t>
  </si>
  <si>
    <t>RPGLIFE</t>
  </si>
  <si>
    <t>RPPINFRA</t>
  </si>
  <si>
    <t>RPSGVENT</t>
  </si>
  <si>
    <t>RSWM</t>
  </si>
  <si>
    <t>RSYSTEMS</t>
  </si>
  <si>
    <t>RUBYMILLS</t>
  </si>
  <si>
    <t>RUCHI</t>
  </si>
  <si>
    <t>RUCHIRA</t>
  </si>
  <si>
    <t>RUPA</t>
  </si>
  <si>
    <t>RVHL</t>
  </si>
  <si>
    <t>RVNL</t>
  </si>
  <si>
    <t>SADBHAV</t>
  </si>
  <si>
    <t>SADBHIN</t>
  </si>
  <si>
    <t>SAFARI</t>
  </si>
  <si>
    <t>SAGCEM</t>
  </si>
  <si>
    <t>SAKAR</t>
  </si>
  <si>
    <t>SAKSOFT</t>
  </si>
  <si>
    <t>SALASAR</t>
  </si>
  <si>
    <t>SALONA</t>
  </si>
  <si>
    <t>SALZERELEC</t>
  </si>
  <si>
    <t>SANDESH</t>
  </si>
  <si>
    <t>SANDHAR</t>
  </si>
  <si>
    <t>SANGAMIND</t>
  </si>
  <si>
    <t>SANGHIIND</t>
  </si>
  <si>
    <t>SANGHVIMOV</t>
  </si>
  <si>
    <t>SANGINITA</t>
  </si>
  <si>
    <t>SANOFI</t>
  </si>
  <si>
    <t>SARLAPOLY</t>
  </si>
  <si>
    <t>SASKEN</t>
  </si>
  <si>
    <t>SATIA</t>
  </si>
  <si>
    <t>SATIN</t>
  </si>
  <si>
    <t>SBCL</t>
  </si>
  <si>
    <t>SBICARD</t>
  </si>
  <si>
    <t>SBIETFIT</t>
  </si>
  <si>
    <t>SBIETFPB</t>
  </si>
  <si>
    <t>SBIETFQLTY</t>
  </si>
  <si>
    <t>SCHAEFFLER</t>
  </si>
  <si>
    <t>SCHAND</t>
  </si>
  <si>
    <t>SCHNEIDER</t>
  </si>
  <si>
    <t>SCI</t>
  </si>
  <si>
    <t>SEAMECLTD</t>
  </si>
  <si>
    <t>SECURKLOUD</t>
  </si>
  <si>
    <t>SELAN</t>
  </si>
  <si>
    <t>SEQUENT</t>
  </si>
  <si>
    <t>SESHAPAPER</t>
  </si>
  <si>
    <t>SETCO</t>
  </si>
  <si>
    <t>SETF10GILT</t>
  </si>
  <si>
    <t>SETFGOLD</t>
  </si>
  <si>
    <t>SETFNIF50</t>
  </si>
  <si>
    <t>SETFNIFBK</t>
  </si>
  <si>
    <t>SETFNN50</t>
  </si>
  <si>
    <t>SEYAIND</t>
  </si>
  <si>
    <t>SFL</t>
  </si>
  <si>
    <t>SGL</t>
  </si>
  <si>
    <t>SHAKTIPUMP</t>
  </si>
  <si>
    <t>SHALBY</t>
  </si>
  <si>
    <t>SHALPAINTS</t>
  </si>
  <si>
    <t>SHANKARA</t>
  </si>
  <si>
    <t>SHANTIGEAR</t>
  </si>
  <si>
    <t>SHARDACROP</t>
  </si>
  <si>
    <t>SHAREINDIA</t>
  </si>
  <si>
    <t>SHARIABEES</t>
  </si>
  <si>
    <t>SHILPAMED</t>
  </si>
  <si>
    <t>SHIVAMILLS</t>
  </si>
  <si>
    <t>SHIVATEX</t>
  </si>
  <si>
    <t>SHK</t>
  </si>
  <si>
    <t>SHOPERSTOP</t>
  </si>
  <si>
    <t>SHRADHA</t>
  </si>
  <si>
    <t>SHREDIGCEM</t>
  </si>
  <si>
    <t>SHREEPUSHK</t>
  </si>
  <si>
    <t>SHREERAMA</t>
  </si>
  <si>
    <t>SHREYANIND</t>
  </si>
  <si>
    <t>SHREYAS</t>
  </si>
  <si>
    <t>SHRIRAMCIT</t>
  </si>
  <si>
    <t>SHRIRAMEPC</t>
  </si>
  <si>
    <t>SHYAMCENT</t>
  </si>
  <si>
    <t>SHYAMMETL</t>
  </si>
  <si>
    <t>SICAL</t>
  </si>
  <si>
    <t>SIEMENS</t>
  </si>
  <si>
    <t>SIGIND</t>
  </si>
  <si>
    <t>SILGO</t>
  </si>
  <si>
    <t>SIMPLEXINF</t>
  </si>
  <si>
    <t>SINTERCOM</t>
  </si>
  <si>
    <t>SIRCA</t>
  </si>
  <si>
    <t>SIS</t>
  </si>
  <si>
    <t>SIYSIL</t>
  </si>
  <si>
    <t>SJVN</t>
  </si>
  <si>
    <t>SKFINDIA</t>
  </si>
  <si>
    <t>SKIPPER</t>
  </si>
  <si>
    <t>SKMEGGPROD</t>
  </si>
  <si>
    <t>SMARTLINK</t>
  </si>
  <si>
    <t>SMCGLOBAL</t>
  </si>
  <si>
    <t>SMLISUZU</t>
  </si>
  <si>
    <t>SMSLIFE</t>
  </si>
  <si>
    <t>SMSPHARMA</t>
  </si>
  <si>
    <t>SNOWMAN</t>
  </si>
  <si>
    <t>SOBHA</t>
  </si>
  <si>
    <t>SOLARA</t>
  </si>
  <si>
    <t>SOLARINDS</t>
  </si>
  <si>
    <t>SOMICONVEY</t>
  </si>
  <si>
    <t>SONACOMS</t>
  </si>
  <si>
    <t>SONATSOFTW</t>
  </si>
  <si>
    <t>SORILINFRA</t>
  </si>
  <si>
    <t>SOTL</t>
  </si>
  <si>
    <t>SOUTHBANK</t>
  </si>
  <si>
    <t>SOUTHWEST</t>
  </si>
  <si>
    <t>SPAL</t>
  </si>
  <si>
    <t>SPANDANA</t>
  </si>
  <si>
    <t>SPARC</t>
  </si>
  <si>
    <t>SPECIALITY</t>
  </si>
  <si>
    <t>SPENCERS</t>
  </si>
  <si>
    <t>SPIC</t>
  </si>
  <si>
    <t>SPICEJET</t>
  </si>
  <si>
    <t>SPLIL</t>
  </si>
  <si>
    <t>SREEL</t>
  </si>
  <si>
    <t>SRHHYPOLTD</t>
  </si>
  <si>
    <t>SRIPIPES</t>
  </si>
  <si>
    <t>SRTRANSFIN</t>
  </si>
  <si>
    <t>SSWL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</si>
  <si>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</si>
  <si>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</si>
  <si>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</si>
  <si>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</si>
  <si>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</si>
  <si>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</si>
  <si>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</si>
  <si>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</si>
  <si>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STLTECH</t>
  </si>
  <si>
    <t>STOVEKRAFT</t>
  </si>
  <si>
    <t>SUBEXLTD</t>
  </si>
  <si>
    <t>SUBROS</t>
  </si>
  <si>
    <t>SUDARSCHEM</t>
  </si>
  <si>
    <t>SUMICHEM</t>
  </si>
  <si>
    <t>SUMMITSEC</t>
  </si>
  <si>
    <t>SUNCLAYLTD</t>
  </si>
  <si>
    <t>SUNDARMFIN</t>
  </si>
  <si>
    <t>SUNDARMHLD</t>
  </si>
  <si>
    <t>SUNDRMBRAK</t>
  </si>
  <si>
    <t>SUNDRMFAST</t>
  </si>
  <si>
    <t>SUNFLAG</t>
  </si>
  <si>
    <t>SUNTECK</t>
  </si>
  <si>
    <t>SUNTV</t>
  </si>
  <si>
    <t>SUPERHOUSE</t>
  </si>
  <si>
    <t>SUPRAJIT</t>
  </si>
  <si>
    <t>SUPREMEIND</t>
  </si>
  <si>
    <t>SURANASOL</t>
  </si>
  <si>
    <t>SURANAT&amp;P</t>
  </si>
  <si>
    <t>SURYAROSNI</t>
  </si>
  <si>
    <t>SURYODAY</t>
  </si>
  <si>
    <t>SUTLEJTEX</t>
  </si>
  <si>
    <t>SUULD</t>
  </si>
  <si>
    <t>SUVEN</t>
  </si>
  <si>
    <t>SUVENPHAR</t>
  </si>
  <si>
    <t>SUVIDHAA</t>
  </si>
  <si>
    <t>SUZLON</t>
  </si>
  <si>
    <t>SVPGLOB</t>
  </si>
  <si>
    <t>SWANENERGY</t>
  </si>
  <si>
    <t>SWARAJENG</t>
  </si>
  <si>
    <t>SWELECTES</t>
  </si>
  <si>
    <t>SWSOLAR</t>
  </si>
  <si>
    <t>SYMPHONY</t>
  </si>
  <si>
    <t>SYNGENE</t>
  </si>
  <si>
    <t>TAJGVK</t>
  </si>
  <si>
    <t>TAKE</t>
  </si>
  <si>
    <t>TALBROAUTO</t>
  </si>
  <si>
    <t>TARMAT</t>
  </si>
  <si>
    <t>TASTYBITE</t>
  </si>
  <si>
    <t>TATACHEM</t>
  </si>
  <si>
    <t>TATACOFFEE</t>
  </si>
  <si>
    <t>TATACOMM</t>
  </si>
  <si>
    <t>TATAELXSI</t>
  </si>
  <si>
    <t>TATAINVEST</t>
  </si>
  <si>
    <t>TATAMETALI</t>
  </si>
  <si>
    <t>TATAMTRDVR</t>
  </si>
  <si>
    <t>TATAPOWER</t>
  </si>
  <si>
    <t>TBZ</t>
  </si>
  <si>
    <t>TCI</t>
  </si>
  <si>
    <t>TCIDEVELOP</t>
  </si>
  <si>
    <t>TCIEXP</t>
  </si>
  <si>
    <t>TCNSBRANDS</t>
  </si>
  <si>
    <t>TCPLPACK</t>
  </si>
  <si>
    <t>TDPOWERSYS</t>
  </si>
  <si>
    <t>TEAMLEASE</t>
  </si>
  <si>
    <t>TECHNOE</t>
  </si>
  <si>
    <t>TEXINFRA</t>
  </si>
  <si>
    <t>TEXMOPIPES</t>
  </si>
  <si>
    <t>TEXRAIL</t>
  </si>
  <si>
    <t>TFCILTD</t>
  </si>
  <si>
    <t>THANGAMAYL</t>
  </si>
  <si>
    <t>THEINVEST</t>
  </si>
  <si>
    <t>THEMISMED</t>
  </si>
  <si>
    <t>THERMAX</t>
  </si>
  <si>
    <t>THOMASCOOK</t>
  </si>
  <si>
    <t>THYROCARE</t>
  </si>
  <si>
    <t>TIIL</t>
  </si>
  <si>
    <t>TIINDIA</t>
  </si>
  <si>
    <t>TIMESGTY</t>
  </si>
  <si>
    <t>TIMETECHNO</t>
  </si>
  <si>
    <t>TIMKEN</t>
  </si>
  <si>
    <t>TINPLATE</t>
  </si>
  <si>
    <t>TIRUMALCHM</t>
  </si>
  <si>
    <t>TNPETRO</t>
  </si>
  <si>
    <t>TNPL</t>
  </si>
  <si>
    <t>TOKYOPLAST</t>
  </si>
  <si>
    <t>TORNTPHARM</t>
  </si>
  <si>
    <t>TORNTPOWER</t>
  </si>
  <si>
    <t>TPLPLASTEH</t>
  </si>
  <si>
    <t>TREJHARA</t>
  </si>
  <si>
    <t>TRENT</t>
  </si>
  <si>
    <t>TRIDENT</t>
  </si>
  <si>
    <t>TRIGYN</t>
  </si>
  <si>
    <t>TRIL</t>
  </si>
  <si>
    <t>TRITURBINE</t>
  </si>
  <si>
    <t>TRIVENI</t>
  </si>
  <si>
    <t>TTKHLTCARE</t>
  </si>
  <si>
    <t>TTKPRESTIG</t>
  </si>
  <si>
    <t>TV18BRDCST</t>
  </si>
  <si>
    <t>TVSELECT</t>
  </si>
  <si>
    <t>TVSMOTOR</t>
  </si>
  <si>
    <t>TVSSRICHAK</t>
  </si>
  <si>
    <t>TVTODAY</t>
  </si>
  <si>
    <t>TWL</t>
  </si>
  <si>
    <t>UBL</t>
  </si>
  <si>
    <t>UCALFUEL</t>
  </si>
  <si>
    <t>UCOBANK</t>
  </si>
  <si>
    <t>UFLEX</t>
  </si>
  <si>
    <t>UFO</t>
  </si>
  <si>
    <t>UGARSUGAR</t>
  </si>
  <si>
    <t>UJJIVAN</t>
  </si>
  <si>
    <t>UJJIVANSFB</t>
  </si>
  <si>
    <t>UMANGDAIRY</t>
  </si>
  <si>
    <t>UNICHEMLAB</t>
  </si>
  <si>
    <t>UNIDT</t>
  </si>
  <si>
    <t>UNIENTER</t>
  </si>
  <si>
    <t>UNIONBANK</t>
  </si>
  <si>
    <t>UNITEDTEA</t>
  </si>
  <si>
    <t>UNIVASTU</t>
  </si>
  <si>
    <t>UNIVCABLES</t>
  </si>
  <si>
    <t>UNIVPHOTO</t>
  </si>
  <si>
    <t>URJA</t>
  </si>
  <si>
    <t>USHAMART</t>
  </si>
  <si>
    <t>UTIAMC</t>
  </si>
  <si>
    <t>UTIBANKETF</t>
  </si>
  <si>
    <t>UTINEXT50</t>
  </si>
  <si>
    <t>UTINIFTETF</t>
  </si>
  <si>
    <t>UTISENSETF</t>
  </si>
  <si>
    <t>UTISXN50</t>
  </si>
  <si>
    <t>V2RETAIL</t>
  </si>
  <si>
    <t>VADILALIND</t>
  </si>
  <si>
    <t>VAIBHAVGBL</t>
  </si>
  <si>
    <t>VAISHALI</t>
  </si>
  <si>
    <t>VAKRANGEE</t>
  </si>
  <si>
    <t>VALIANTORG</t>
  </si>
  <si>
    <t>VARDHACRLC</t>
  </si>
  <si>
    <t>VARROC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</si>
  <si>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</si>
  <si>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</si>
  <si>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</si>
  <si>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</si>
  <si>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</si>
  <si>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</si>
  <si>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</si>
  <si>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</si>
  <si>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</si>
  <si>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</si>
  <si>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</si>
  <si>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VIDHIING</t>
  </si>
  <si>
    <t>VIKASPROP</t>
  </si>
  <si>
    <t>VIKASWSP</t>
  </si>
  <si>
    <t>VIMTALABS</t>
  </si>
  <si>
    <t>VINATIORGA</t>
  </si>
  <si>
    <t>VINDHYATEL</t>
  </si>
  <si>
    <t>VINEETLAB</t>
  </si>
  <si>
    <t>VINYLINDIA</t>
  </si>
  <si>
    <t>VIPIND</t>
  </si>
  <si>
    <t>VISAKAIND</t>
  </si>
  <si>
    <t>VISHAL</t>
  </si>
  <si>
    <t>VISHNU</t>
  </si>
  <si>
    <t>VISHWARAJ</t>
  </si>
  <si>
    <t>VLSFINANCE</t>
  </si>
  <si>
    <t>VMART</t>
  </si>
  <si>
    <t>VOLTAMP</t>
  </si>
  <si>
    <t>VOLTAS</t>
  </si>
  <si>
    <t>VRLLOG</t>
  </si>
  <si>
    <t>VSSL</t>
  </si>
  <si>
    <t>VSTIND</t>
  </si>
  <si>
    <t>VSTTILLERS</t>
  </si>
  <si>
    <t>VTL</t>
  </si>
  <si>
    <t>WABAG</t>
  </si>
  <si>
    <t>WABCOINDIA</t>
  </si>
  <si>
    <t>WALCHANNAG</t>
  </si>
  <si>
    <t>WATERBASE</t>
  </si>
  <si>
    <t>WEBELSOLAR</t>
  </si>
  <si>
    <t>WEIZMANIND</t>
  </si>
  <si>
    <t>WELCORP</t>
  </si>
  <si>
    <t>WELENT</t>
  </si>
  <si>
    <t>WELINV</t>
  </si>
  <si>
    <t>WELSPUNIND</t>
  </si>
  <si>
    <t>WENDT</t>
  </si>
  <si>
    <t>WESTLIFE</t>
  </si>
  <si>
    <t>WHEELS</t>
  </si>
  <si>
    <t>WHIRLPOOL</t>
  </si>
  <si>
    <t>WILLAMAGOR</t>
  </si>
  <si>
    <t>WINDMACHIN</t>
  </si>
  <si>
    <t>WOCKPHARMA</t>
  </si>
  <si>
    <t>WONDERLA</t>
  </si>
  <si>
    <t>WORTH</t>
  </si>
  <si>
    <t>WSTCSTPAPR</t>
  </si>
  <si>
    <t>XCHANGING</t>
  </si>
  <si>
    <t>YESBANK</t>
  </si>
  <si>
    <t>ZEEL</t>
  </si>
  <si>
    <t>ZEELEARN</t>
  </si>
  <si>
    <t>ZEEMEDIA</t>
  </si>
  <si>
    <t>ZENSARTECH</t>
  </si>
  <si>
    <t>ZENTEC</t>
  </si>
  <si>
    <t>ZODIACLOTH</t>
  </si>
  <si>
    <t>ZOTA</t>
  </si>
  <si>
    <t>ZYDUSWELL</t>
  </si>
  <si>
    <t>Close %</t>
  </si>
  <si>
    <t>Symbol</t>
  </si>
  <si>
    <t>Last</t>
  </si>
  <si>
    <t>High</t>
  </si>
  <si>
    <t>Low</t>
  </si>
  <si>
    <t>Chg.</t>
  </si>
  <si>
    <t>Chg. %</t>
  </si>
  <si>
    <t>Time</t>
  </si>
  <si>
    <t>Nifty 50</t>
  </si>
  <si>
    <t>Nifty Midcap 150</t>
  </si>
  <si>
    <t>Nifty 100</t>
  </si>
  <si>
    <t>Nifty 200</t>
  </si>
  <si>
    <t>Nifty 50 Value 20</t>
  </si>
  <si>
    <t>Nifty 500</t>
  </si>
  <si>
    <t>NIFTY Midcap 100</t>
  </si>
  <si>
    <t>Nifty Midcap 50</t>
  </si>
  <si>
    <t>Nifty Next 50</t>
  </si>
  <si>
    <t>NIFTY Smallcap 100</t>
  </si>
  <si>
    <t>Nifty Smallcap 250</t>
  </si>
  <si>
    <t>NIfty smallcap 50</t>
  </si>
  <si>
    <t>Nifty Auto</t>
  </si>
  <si>
    <t>Nifty Bank</t>
  </si>
  <si>
    <t>Nifty Commodities</t>
  </si>
  <si>
    <t>Nifty Energy</t>
  </si>
  <si>
    <t>Nifty Financial Services</t>
  </si>
  <si>
    <t>Nifty FMCG</t>
  </si>
  <si>
    <t>Nifty India Consumption</t>
  </si>
  <si>
    <t>Nifty Infrastructure</t>
  </si>
  <si>
    <t>Nifty IT</t>
  </si>
  <si>
    <t>Nifty Media</t>
  </si>
  <si>
    <t>Nifty Metal</t>
  </si>
  <si>
    <t>Nifty MNC</t>
  </si>
  <si>
    <t>Nifty Pharma</t>
  </si>
  <si>
    <t>Nifty PSU Bank</t>
  </si>
  <si>
    <t>Nifty Realty</t>
  </si>
  <si>
    <t>Nifty Services Sector</t>
  </si>
  <si>
    <t>63MOONS</t>
  </si>
  <si>
    <t>A2ZINFRA</t>
  </si>
  <si>
    <t>AARON</t>
  </si>
  <si>
    <t>AARVEEDEN</t>
  </si>
  <si>
    <t>ABAN</t>
  </si>
  <si>
    <t>AJOONI</t>
  </si>
  <si>
    <t>ALPA</t>
  </si>
  <si>
    <t>ANSALAPI</t>
  </si>
  <si>
    <t>ARIHANT</t>
  </si>
  <si>
    <t>ARIHANTSUP</t>
  </si>
  <si>
    <t>ARROWGREEN</t>
  </si>
  <si>
    <t>ARSSINFRA</t>
  </si>
  <si>
    <t>ARTEMISMED</t>
  </si>
  <si>
    <t>ASHIMASYN</t>
  </si>
  <si>
    <t>AUTOIND</t>
  </si>
  <si>
    <t>AXISCADES</t>
  </si>
  <si>
    <t>BAGFILMS</t>
  </si>
  <si>
    <t>BALPHARMA</t>
  </si>
  <si>
    <t>BANSWRAS</t>
  </si>
  <si>
    <t>BASML</t>
  </si>
  <si>
    <t>BCP</t>
  </si>
  <si>
    <t>BEARDSELL</t>
  </si>
  <si>
    <t>BIL</t>
  </si>
  <si>
    <t>BYKE</t>
  </si>
  <si>
    <t>CLEAN</t>
  </si>
  <si>
    <t>COMPUSOFT</t>
  </si>
  <si>
    <t>COUNCODOS</t>
  </si>
  <si>
    <t>CUBEXTUB</t>
  </si>
  <si>
    <t>DANGEE</t>
  </si>
  <si>
    <t>DBSTOCKBRO</t>
  </si>
  <si>
    <t>DELTAMAGNT</t>
  </si>
  <si>
    <t>DRCSYSTEMS</t>
  </si>
  <si>
    <t>EASTSILK</t>
  </si>
  <si>
    <t>ESSARSHPNG</t>
  </si>
  <si>
    <t>FLEXITUFF</t>
  </si>
  <si>
    <t>FSC</t>
  </si>
  <si>
    <t>GAL</t>
  </si>
  <si>
    <t>GANESHHOUC</t>
  </si>
  <si>
    <t>GOACARBON</t>
  </si>
  <si>
    <t>GOLDENTOBC</t>
  </si>
  <si>
    <t>GRINFRA</t>
  </si>
  <si>
    <t>HILTON</t>
  </si>
  <si>
    <t>IMAGICAA</t>
  </si>
  <si>
    <t>INDOTHAI</t>
  </si>
  <si>
    <t>IVC</t>
  </si>
  <si>
    <t>JINDALPHOT</t>
  </si>
  <si>
    <t>JISLDVREQS</t>
  </si>
  <si>
    <t>JPINFRATEC</t>
  </si>
  <si>
    <t>KAMATHOTEL</t>
  </si>
  <si>
    <t>KAUSHALYA</t>
  </si>
  <si>
    <t>KDDL</t>
  </si>
  <si>
    <t>KECL</t>
  </si>
  <si>
    <t>KILITCH</t>
  </si>
  <si>
    <t>KPIGLOBAL</t>
  </si>
  <si>
    <t>KRIDHANINF</t>
  </si>
  <si>
    <t>LCCINFOTEC</t>
  </si>
  <si>
    <t>LINCPEN</t>
  </si>
  <si>
    <t>LOKESHMACH</t>
  </si>
  <si>
    <t>LOVABLE</t>
  </si>
  <si>
    <t>LYKALABS</t>
  </si>
  <si>
    <t>MANAKALUCO</t>
  </si>
  <si>
    <t>MANUGRAPH</t>
  </si>
  <si>
    <t>MCDHOLDING</t>
  </si>
  <si>
    <t>MCLEODRUSS</t>
  </si>
  <si>
    <t>MSPL</t>
  </si>
  <si>
    <t>MTEDUCARE</t>
  </si>
  <si>
    <t>NDL</t>
  </si>
  <si>
    <t>NIBL</t>
  </si>
  <si>
    <t>NKIND</t>
  </si>
  <si>
    <t>ONWARDTEC</t>
  </si>
  <si>
    <t>PALASHSECU</t>
  </si>
  <si>
    <t>PATSPINLTD</t>
  </si>
  <si>
    <t>PFOCUS</t>
  </si>
  <si>
    <t>PNC</t>
  </si>
  <si>
    <t>PRAKASHSTL</t>
  </si>
  <si>
    <t>PREMIER</t>
  </si>
  <si>
    <t>PROZONINTU</t>
  </si>
  <si>
    <t>RAJSREESUG</t>
  </si>
  <si>
    <t>RHIM</t>
  </si>
  <si>
    <t>RSSOFTWARE</t>
  </si>
  <si>
    <t>RUSHIL</t>
  </si>
  <si>
    <t>S&amp;SPOWER</t>
  </si>
  <si>
    <t>SANCO</t>
  </si>
  <si>
    <t>SBIETFCON</t>
  </si>
  <si>
    <t>SDBL</t>
  </si>
  <si>
    <t>SEPOWER</t>
  </si>
  <si>
    <t>SGIL</t>
  </si>
  <si>
    <t>SHEMAROO</t>
  </si>
  <si>
    <t>SHIVAMAUTO</t>
  </si>
  <si>
    <t>SHRENIK</t>
  </si>
  <si>
    <t>SILLYMONKS</t>
  </si>
  <si>
    <t>SINTEX</t>
  </si>
  <si>
    <t>SITINET</t>
  </si>
  <si>
    <t>SKIL</t>
  </si>
  <si>
    <t>SOMATEX</t>
  </si>
  <si>
    <t>SPTL</t>
  </si>
  <si>
    <t>STYLAMIND</t>
  </si>
  <si>
    <t>SUPREMEENG</t>
  </si>
  <si>
    <t>TARAPUR</t>
  </si>
  <si>
    <t>TATVA</t>
  </si>
  <si>
    <t>TECHIN</t>
  </si>
  <si>
    <t>TEMBO</t>
  </si>
  <si>
    <t>TFL</t>
  </si>
  <si>
    <t>TGBHOTELS</t>
  </si>
  <si>
    <t>TIL</t>
  </si>
  <si>
    <t>TMRVL</t>
  </si>
  <si>
    <t>TTL</t>
  </si>
  <si>
    <t>UJAAS</t>
  </si>
  <si>
    <t>UMESLTD</t>
  </si>
  <si>
    <t>VIKASECO</t>
  </si>
  <si>
    <t>VIPULLTD</t>
  </si>
  <si>
    <t>VISASTEEL</t>
  </si>
  <si>
    <t>VIVIDHA</t>
  </si>
  <si>
    <t>VIVIMEDLAB</t>
  </si>
  <si>
    <t>XPROINDIA</t>
  </si>
  <si>
    <t>ZENITHEXPO</t>
  </si>
  <si>
    <t>ZODJRDMKJ</t>
  </si>
  <si>
    <t>ZOMATO</t>
  </si>
  <si>
    <t>NETFGILT5Y</t>
  </si>
  <si>
    <t>ANDREWYU</t>
  </si>
  <si>
    <t>GRAUWEIL</t>
  </si>
  <si>
    <t>KOVAI</t>
  </si>
  <si>
    <t>MAFSETF</t>
  </si>
  <si>
    <t>Ind Time</t>
  </si>
  <si>
    <t>AAREYDRUGS</t>
  </si>
  <si>
    <t>ADROITINFO</t>
  </si>
  <si>
    <t>GLS</t>
  </si>
  <si>
    <t>ICICIFMCG</t>
  </si>
  <si>
    <t>NATNLSTEEL</t>
  </si>
  <si>
    <t>PRITIKAUTO</t>
  </si>
  <si>
    <t>RADAAN</t>
  </si>
  <si>
    <t>ROLEXRINGS</t>
  </si>
  <si>
    <t>TRF</t>
  </si>
  <si>
    <t>UGROCAP</t>
  </si>
  <si>
    <t>WSI</t>
  </si>
  <si>
    <t>CARTRADE</t>
  </si>
  <si>
    <t>DEVYANI</t>
  </si>
  <si>
    <t>EBANK</t>
  </si>
  <si>
    <t>KRSNAA</t>
  </si>
  <si>
    <t>NGIL</t>
  </si>
  <si>
    <t>NIFTYEES</t>
  </si>
  <si>
    <t>WINDLAS</t>
  </si>
  <si>
    <t>26-Aug-2021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</si>
</sst>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/mmm/yyyy;@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4" tint="0.80001220740379042"/>
        </stop>
        <stop position="1">
          <color theme="4" tint="0.40000610370189521"/>
        </stop>
      </gradient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9" tint="0.39997558519241921"/>
        <bgColor indexed="64"/>
      </patternFill>
    </fill>
    <fill>
      <patternFill patternType="solid">
        <fgColor rgb="FF00EA6A"/>
        <bgColor indexed="64"/>
      </patternFill>
    </fill>
    <fill>
      <patternFill patternType="gray125">
        <bgColor rgb="FF00B050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2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2" borderId="5" xfId="0" applyFont="1" applyFill="1" applyBorder="1" applyAlignment="1">
      <alignment vertical="top"/>
    </xf>
    <xf numFmtId="0" fontId="4" fillId="6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2" fontId="5" fillId="9" borderId="1" xfId="0" applyNumberFormat="1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right" vertical="center"/>
    </xf>
    <xf numFmtId="0" fontId="0" fillId="8" borderId="5" xfId="0" applyFont="1" applyFill="1" applyBorder="1" applyAlignment="1">
      <alignment horizontal="right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7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/>
    </xf>
    <xf numFmtId="49" fontId="0" fillId="14" borderId="8" xfId="0" applyNumberFormat="1" applyFont="1" applyFill="1" applyBorder="1" applyAlignment="1">
      <alignment horizontal="center"/>
    </xf>
    <xf numFmtId="0" fontId="5" fillId="6" borderId="0" xfId="0" applyFont="1" applyFill="1" applyBorder="1" applyAlignment="1">
      <alignment vertical="center"/>
    </xf>
    <xf numFmtId="0" fontId="0" fillId="0" borderId="0" xfId="0" applyNumberFormat="1"/>
    <xf numFmtId="2" fontId="0" fillId="0" borderId="0" xfId="0" applyNumberFormat="1"/>
    <xf numFmtId="14" fontId="0" fillId="0" borderId="0" xfId="0" applyNumberFormat="1"/>
    <xf numFmtId="165" fontId="0" fillId="0" borderId="0" xfId="0" applyNumberFormat="1"/>
    <xf numFmtId="10" fontId="0" fillId="0" borderId="0" xfId="0" applyNumberFormat="1"/>
    <xf numFmtId="0" fontId="5" fillId="6" borderId="0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2" fontId="5" fillId="9" borderId="0" xfId="0" applyNumberFormat="1" applyFont="1" applyFill="1" applyBorder="1" applyAlignment="1">
      <alignment horizontal="center" vertical="center"/>
    </xf>
    <xf numFmtId="2" fontId="5" fillId="9" borderId="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79">
    <dxf>
      <numFmt numFmtId="165" formatCode="[$-F400]h:mm:ss\ AM/PM"/>
    </dxf>
    <dxf>
      <numFmt numFmtId="165" formatCode="[$-F400]h:mm:ss\ AM/PM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auto="1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00B05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00B05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00B050"/>
          </stop>
        </gradientFill>
      </fill>
    </dxf>
    <dxf>
      <fill>
        <patternFill patternType="solid">
          <fgColor auto="1"/>
          <bgColor rgb="FF00B05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gradientFill>
          <stop position="0">
            <color rgb="FF00B050"/>
          </stop>
          <stop position="1">
            <color rgb="FF00B050"/>
          </stop>
        </gradient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EA6A"/>
      <color rgb="FF83CF9C"/>
      <color rgb="FF3B8D50"/>
      <color rgb="FF77CB93"/>
      <color rgb="FFFC7C7C"/>
      <color rgb="FFFB6565"/>
      <color rgb="FFF9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6548222381293249E-2"/>
          <c:y val="3.6117390049327257E-2"/>
          <c:w val="0.91759319176012089"/>
          <c:h val="0.59095894514469949"/>
        </c:manualLayout>
      </c:layout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>
              <a:contourClr>
                <a:schemeClr val="accent1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3B8D50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BB7-4128-B2C2-37A4051AA1B2}"/>
              </c:ext>
            </c:extLst>
          </c:dPt>
          <c:dPt>
            <c:idx val="1"/>
            <c:invertIfNegative val="0"/>
            <c:bubble3D val="0"/>
            <c:spPr>
              <a:solidFill>
                <a:srgbClr val="5B9D59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BB7-4128-B2C2-37A4051AA1B2}"/>
              </c:ext>
            </c:extLst>
          </c:dPt>
          <c:dPt>
            <c:idx val="2"/>
            <c:invertIfNegative val="0"/>
            <c:bubble3D val="0"/>
            <c:spPr>
              <a:solidFill>
                <a:srgbClr val="5E9E5A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BB7-4128-B2C2-37A4051AA1B2}"/>
              </c:ext>
            </c:extLst>
          </c:dPt>
          <c:dPt>
            <c:idx val="3"/>
            <c:invertIfNegative val="0"/>
            <c:bubble3D val="0"/>
            <c:spPr>
              <a:solidFill>
                <a:srgbClr val="A8C26D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BB7-4128-B2C2-37A4051AA1B2}"/>
              </c:ext>
            </c:extLst>
          </c:dPt>
          <c:dPt>
            <c:idx val="4"/>
            <c:invertIfNegative val="0"/>
            <c:bubble3D val="0"/>
            <c:spPr>
              <a:solidFill>
                <a:srgbClr val="B6C871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CBB7-4128-B2C2-37A4051AA1B2}"/>
              </c:ext>
            </c:extLst>
          </c:dPt>
          <c:dPt>
            <c:idx val="5"/>
            <c:invertIfNegative val="0"/>
            <c:bubble3D val="0"/>
            <c:spPr>
              <a:solidFill>
                <a:srgbClr val="B9CA72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BB7-4128-B2C2-37A4051AA1B2}"/>
              </c:ext>
            </c:extLst>
          </c:dPt>
          <c:dPt>
            <c:idx val="6"/>
            <c:invertIfNegative val="0"/>
            <c:bubble3D val="0"/>
            <c:spPr>
              <a:solidFill>
                <a:srgbClr val="C7D176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CBB7-4128-B2C2-37A4051AA1B2}"/>
              </c:ext>
            </c:extLst>
          </c:dPt>
          <c:dPt>
            <c:idx val="7"/>
            <c:invertIfNegative val="0"/>
            <c:bubble3D val="0"/>
            <c:spPr>
              <a:solidFill>
                <a:srgbClr val="CED477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BB7-4128-B2C2-37A4051AA1B2}"/>
              </c:ext>
            </c:extLst>
          </c:dPt>
          <c:dPt>
            <c:idx val="8"/>
            <c:invertIfNegative val="0"/>
            <c:bubble3D val="0"/>
            <c:spPr>
              <a:solidFill>
                <a:srgbClr val="D2D678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CBB7-4128-B2C2-37A4051AA1B2}"/>
              </c:ext>
            </c:extLst>
          </c:dPt>
          <c:dPt>
            <c:idx val="9"/>
            <c:invertIfNegative val="0"/>
            <c:bubble3D val="0"/>
            <c:spPr>
              <a:solidFill>
                <a:srgbClr val="DCDB7B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BB7-4128-B2C2-37A4051AA1B2}"/>
              </c:ext>
            </c:extLst>
          </c:dPt>
          <c:dPt>
            <c:idx val="10"/>
            <c:invertIfNegative val="0"/>
            <c:bubble3D val="0"/>
            <c:spPr>
              <a:solidFill>
                <a:srgbClr val="F2E581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CBB7-4128-B2C2-37A4051AA1B2}"/>
              </c:ext>
            </c:extLst>
          </c:dPt>
          <c:dPt>
            <c:idx val="11"/>
            <c:invertIfNegative val="0"/>
            <c:bubble3D val="0"/>
            <c:spPr>
              <a:solidFill>
                <a:srgbClr val="F5E682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BB7-4128-B2C2-37A4051AA1B2}"/>
              </c:ext>
            </c:extLst>
          </c:dPt>
          <c:dPt>
            <c:idx val="12"/>
            <c:invertIfNegative val="0"/>
            <c:bubble3D val="0"/>
            <c:spPr>
              <a:solidFill>
                <a:srgbClr val="F5E682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CBB7-4128-B2C2-37A4051AA1B2}"/>
              </c:ext>
            </c:extLst>
          </c:dPt>
          <c:dPt>
            <c:idx val="13"/>
            <c:invertIfNegative val="0"/>
            <c:bubble3D val="0"/>
            <c:spPr>
              <a:solidFill>
                <a:srgbClr val="FCEA84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BB7-4128-B2C2-37A4051AA1B2}"/>
              </c:ext>
            </c:extLst>
          </c:dPt>
          <c:dPt>
            <c:idx val="14"/>
            <c:invertIfNegative val="0"/>
            <c:bubble3D val="0"/>
            <c:spPr>
              <a:solidFill>
                <a:srgbClr val="FEE883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CBB7-4128-B2C2-37A4051AA1B2}"/>
              </c:ext>
            </c:extLst>
          </c:dPt>
          <c:dPt>
            <c:idx val="15"/>
            <c:invertIfNegative val="0"/>
            <c:bubble3D val="0"/>
            <c:spPr>
              <a:solidFill>
                <a:srgbClr val="FDD27F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BB7-4128-B2C2-37A4051AA1B2}"/>
              </c:ext>
            </c:extLst>
          </c:dPt>
          <c:dPt>
            <c:idx val="16"/>
            <c:invertIfNegative val="0"/>
            <c:bubble3D val="0"/>
            <c:spPr>
              <a:solidFill>
                <a:srgbClr val="FDD07E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CBB7-4128-B2C2-37A4051AA1B2}"/>
              </c:ext>
            </c:extLst>
          </c:dPt>
          <c:dPt>
            <c:idx val="17"/>
            <c:invertIfNegative val="0"/>
            <c:bubble3D val="0"/>
            <c:spPr>
              <a:solidFill>
                <a:srgbClr val="FDCE7E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BB7-4128-B2C2-37A4051AA1B2}"/>
              </c:ext>
            </c:extLst>
          </c:dPt>
          <c:dPt>
            <c:idx val="18"/>
            <c:invertIfNegative val="0"/>
            <c:bubble3D val="0"/>
            <c:spPr>
              <a:solidFill>
                <a:srgbClr val="FDC97D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CBB7-4128-B2C2-37A4051AA1B2}"/>
              </c:ext>
            </c:extLst>
          </c:dPt>
          <c:dPt>
            <c:idx val="19"/>
            <c:invertIfNegative val="0"/>
            <c:bubble3D val="0"/>
            <c:spPr>
              <a:solidFill>
                <a:srgbClr val="FCBF7B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BB7-4128-B2C2-37A4051AA1B2}"/>
              </c:ext>
            </c:extLst>
          </c:dPt>
          <c:dPt>
            <c:idx val="20"/>
            <c:invertIfNegative val="0"/>
            <c:bubble3D val="0"/>
            <c:spPr>
              <a:solidFill>
                <a:srgbClr val="FCB679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CBB7-4128-B2C2-37A4051AA1B2}"/>
              </c:ext>
            </c:extLst>
          </c:dPt>
          <c:dPt>
            <c:idx val="21"/>
            <c:invertIfNegative val="0"/>
            <c:bubble3D val="0"/>
            <c:spPr>
              <a:solidFill>
                <a:srgbClr val="FBAC77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BB7-4128-B2C2-37A4051AA1B2}"/>
              </c:ext>
            </c:extLst>
          </c:dPt>
          <c:dPt>
            <c:idx val="22"/>
            <c:invertIfNegative val="0"/>
            <c:bubble3D val="0"/>
            <c:spPr>
              <a:solidFill>
                <a:srgbClr val="FA9B74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CBB7-4128-B2C2-37A4051AA1B2}"/>
              </c:ext>
            </c:extLst>
          </c:dPt>
          <c:dPt>
            <c:idx val="23"/>
            <c:invertIfNegative val="0"/>
            <c:bubble3D val="0"/>
            <c:spPr>
              <a:solidFill>
                <a:srgbClr val="FA9B74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BB7-4128-B2C2-37A4051AA1B2}"/>
              </c:ext>
            </c:extLst>
          </c:dPt>
          <c:dPt>
            <c:idx val="24"/>
            <c:invertIfNegative val="0"/>
            <c:bubble3D val="0"/>
            <c:spPr>
              <a:solidFill>
                <a:srgbClr val="FA9B74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A-CBB7-4128-B2C2-37A4051AA1B2}"/>
              </c:ext>
            </c:extLst>
          </c:dPt>
          <c:dPt>
            <c:idx val="25"/>
            <c:invertIfNegative val="0"/>
            <c:bubble3D val="0"/>
            <c:spPr>
              <a:solidFill>
                <a:srgbClr val="F9816F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CBB7-4128-B2C2-37A4051AA1B2}"/>
              </c:ext>
            </c:extLst>
          </c:dPt>
          <c:dPt>
            <c:idx val="26"/>
            <c:invertIfNegative val="0"/>
            <c:bubble3D val="0"/>
            <c:spPr>
              <a:solidFill>
                <a:srgbClr val="F8696B"/>
              </a:solidFill>
              <a:ln>
                <a:solidFill>
                  <a:schemeClr val="accent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CBB7-4128-B2C2-37A4051AA1B2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HeatMap!$A$2:$A$29</c15:sqref>
                  </c15:fullRef>
                </c:ext>
              </c:extLst>
              <c:f>(HeatMap!$A$2:$A$27,HeatMap!$A$29)</c:f>
              <c:strCache>
                <c:ptCount val="27"/>
                <c:pt idx="0">
                  <c:v>Nifty IT</c:v>
                </c:pt>
                <c:pt idx="1">
                  <c:v>Nifty Services Sector</c:v>
                </c:pt>
                <c:pt idx="2">
                  <c:v>Nifty 50 Value 20</c:v>
                </c:pt>
                <c:pt idx="3">
                  <c:v>Nifty 50</c:v>
                </c:pt>
                <c:pt idx="4">
                  <c:v>Nifty Financial Services</c:v>
                </c:pt>
                <c:pt idx="5">
                  <c:v>Nifty 100</c:v>
                </c:pt>
                <c:pt idx="6">
                  <c:v>Nifty Bank</c:v>
                </c:pt>
                <c:pt idx="7">
                  <c:v>Nifty 200</c:v>
                </c:pt>
                <c:pt idx="8">
                  <c:v>Nifty Pharma</c:v>
                </c:pt>
                <c:pt idx="9">
                  <c:v>Nifty FMCG</c:v>
                </c:pt>
                <c:pt idx="10">
                  <c:v>Nifty 500</c:v>
                </c:pt>
                <c:pt idx="11">
                  <c:v>Nifty India Consumption</c:v>
                </c:pt>
                <c:pt idx="12">
                  <c:v>Nifty Next 50</c:v>
                </c:pt>
                <c:pt idx="13">
                  <c:v>Nifty MNC</c:v>
                </c:pt>
                <c:pt idx="14">
                  <c:v>Nifty Energy</c:v>
                </c:pt>
                <c:pt idx="15">
                  <c:v>Nifty Auto</c:v>
                </c:pt>
                <c:pt idx="16">
                  <c:v>Nifty Infrastructure</c:v>
                </c:pt>
                <c:pt idx="17">
                  <c:v>Nifty Midcap 50</c:v>
                </c:pt>
                <c:pt idx="18">
                  <c:v>NIFTY Midcap 100</c:v>
                </c:pt>
                <c:pt idx="19">
                  <c:v>Nifty Midcap 150</c:v>
                </c:pt>
                <c:pt idx="20">
                  <c:v>Nifty PSU Bank</c:v>
                </c:pt>
                <c:pt idx="21">
                  <c:v>Nifty Realty</c:v>
                </c:pt>
                <c:pt idx="22">
                  <c:v>Nifty Commodities</c:v>
                </c:pt>
                <c:pt idx="23">
                  <c:v>Nifty Media</c:v>
                </c:pt>
                <c:pt idx="24">
                  <c:v>Nifty Metal</c:v>
                </c:pt>
                <c:pt idx="25">
                  <c:v>Nifty Smallcap 250</c:v>
                </c:pt>
                <c:pt idx="26">
                  <c:v>NIfty smallcap 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HeatMap!$F$2:$F$29</c15:sqref>
                  </c15:fullRef>
                </c:ext>
              </c:extLst>
              <c:f>(HeatMap!$F$2:$F$27,HeatMap!$F$29)</c:f>
              <c:numCache>
                <c:formatCode>0.00%</c:formatCode>
                <c:ptCount val="27"/>
                <c:pt idx="0">
                  <c:v>1.6E-2</c:v>
                </c:pt>
                <c:pt idx="1">
                  <c:v>1.8E-3</c:v>
                </c:pt>
                <c:pt idx="2">
                  <c:v>1.1999999999999999E-3</c:v>
                </c:pt>
                <c:pt idx="3">
                  <c:v>-2E-3</c:v>
                </c:pt>
                <c:pt idx="4">
                  <c:v>-2.3E-3</c:v>
                </c:pt>
                <c:pt idx="5">
                  <c:v>-2.5999999999999999E-3</c:v>
                </c:pt>
                <c:pt idx="6">
                  <c:v>-3.8999999999999998E-3</c:v>
                </c:pt>
                <c:pt idx="7">
                  <c:v>-4.0000000000000001E-3</c:v>
                </c:pt>
                <c:pt idx="8">
                  <c:v>-4.7000000000000002E-3</c:v>
                </c:pt>
                <c:pt idx="9">
                  <c:v>-5.4000000000000003E-3</c:v>
                </c:pt>
                <c:pt idx="10">
                  <c:v>-5.7000000000000002E-3</c:v>
                </c:pt>
                <c:pt idx="11">
                  <c:v>-5.7000000000000002E-3</c:v>
                </c:pt>
                <c:pt idx="12">
                  <c:v>-7.0000000000000001E-3</c:v>
                </c:pt>
                <c:pt idx="13">
                  <c:v>-7.4000000000000003E-3</c:v>
                </c:pt>
                <c:pt idx="14">
                  <c:v>-9.4000000000000004E-3</c:v>
                </c:pt>
                <c:pt idx="15">
                  <c:v>-9.7999999999999997E-3</c:v>
                </c:pt>
                <c:pt idx="16">
                  <c:v>-1.1599999999999999E-2</c:v>
                </c:pt>
                <c:pt idx="17">
                  <c:v>-1.2800000000000001E-2</c:v>
                </c:pt>
                <c:pt idx="18">
                  <c:v>-1.34E-2</c:v>
                </c:pt>
                <c:pt idx="19">
                  <c:v>-1.34E-2</c:v>
                </c:pt>
                <c:pt idx="20">
                  <c:v>-1.6899999999999998E-2</c:v>
                </c:pt>
                <c:pt idx="21">
                  <c:v>-1.7100000000000001E-2</c:v>
                </c:pt>
                <c:pt idx="22">
                  <c:v>-1.7500000000000002E-2</c:v>
                </c:pt>
                <c:pt idx="23">
                  <c:v>-1.7899999999999999E-2</c:v>
                </c:pt>
                <c:pt idx="24">
                  <c:v>-2.53E-2</c:v>
                </c:pt>
                <c:pt idx="25">
                  <c:v>-2.5399999999999999E-2</c:v>
                </c:pt>
                <c:pt idx="26">
                  <c:v>-2.8799999999999999E-2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HeatMap!$F$28</c15:sqref>
                  <c15:spPr xmlns:c15="http://schemas.microsoft.com/office/drawing/2012/chart">
                    <a:solidFill>
                      <a:srgbClr val="F8726C"/>
                    </a:solidFill>
                    <a:ln>
                      <a:solidFill>
                        <a:schemeClr val="accent1"/>
                      </a:solidFill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  <a:sp3d>
                      <a:contourClr>
                        <a:schemeClr val="accent1"/>
                      </a:contourClr>
                    </a:sp3d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CBB7-4128-B2C2-37A4051AA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43599839"/>
        <c:axId val="1943599007"/>
        <c:axId val="0"/>
      </c:bar3DChart>
      <c:dateAx>
        <c:axId val="194359983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>
            <a:solidFill>
              <a:srgbClr val="00EA6A"/>
            </a:solidFill>
          </a:ln>
          <a:effectLst>
            <a:glow>
              <a:schemeClr val="accent1">
                <a:alpha val="40000"/>
              </a:schemeClr>
            </a:glow>
            <a:outerShdw blurRad="50800" dist="50800" dir="5400000" algn="ctr" rotWithShape="0">
              <a:srgbClr val="000000">
                <a:alpha val="43137"/>
              </a:srgbClr>
            </a:outerShdw>
            <a:softEdge rad="76200"/>
          </a:effectLst>
        </c:spPr>
        <c:txPr>
          <a:bodyPr rot="-5400000" spcFirstLastPara="1" vertOverflow="ellipsis" wrap="square" anchor="ctr" anchorCtr="1"/>
          <a:lstStyle/>
          <a:p>
            <a:pPr>
              <a:defRPr sz="1100" b="1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599007"/>
        <c:crosses val="autoZero"/>
        <c:auto val="0"/>
        <c:lblOffset val="100"/>
        <c:baseTimeUnit val="days"/>
      </c:dateAx>
      <c:valAx>
        <c:axId val="194359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>
              <a:outerShdw blurRad="50800" dist="50800" dir="5400000" sx="2000" sy="2000" algn="ctr" rotWithShape="0">
                <a:srgbClr val="000000">
                  <a:alpha val="43137"/>
                </a:srgbClr>
              </a:outerShdw>
            </a:effectLst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599839"/>
        <c:crosses val="autoZero"/>
        <c:crossBetween val="between"/>
      </c:valAx>
      <c:spPr>
        <a:noFill/>
        <a:ln w="0">
          <a:solidFill>
            <a:srgbClr val="00EA6A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2</xdr:row>
          <xdr:rowOff>47625</xdr:rowOff>
        </xdr:from>
        <xdr:to>
          <xdr:col>10</xdr:col>
          <xdr:colOff>161925</xdr:colOff>
          <xdr:row>3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Cookie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4</xdr:row>
      <xdr:rowOff>47625</xdr:rowOff>
    </xdr:from>
    <xdr:to>
      <xdr:col>3</xdr:col>
      <xdr:colOff>485774</xdr:colOff>
      <xdr:row>6</xdr:row>
      <xdr:rowOff>209549</xdr:rowOff>
    </xdr:to>
    <xdr:pic macro="[0]!refresh_oidata">
      <xdr:nvPicPr>
        <xdr:cNvPr id="3" name="Graphic 2" descr="Repea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28950" y="666750"/>
          <a:ext cx="485774" cy="4857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419099</xdr:colOff>
      <xdr:row>0</xdr:row>
      <xdr:rowOff>57150</xdr:rowOff>
    </xdr:from>
    <xdr:to>
      <xdr:col>22</xdr:col>
      <xdr:colOff>352424</xdr:colOff>
      <xdr:row>22</xdr:row>
      <xdr:rowOff>85724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7" xr16:uid="{DA7DAA5D-E6C6-4F0A-AB39-FCDEA1099C84}" autoFormatId="16" applyNumberFormats="0" applyBorderFormats="0" applyFontFormats="0" applyPatternFormats="0" applyAlignmentFormats="0" applyWidthHeightFormats="0">
  <queryTableRefresh nextId="22" unboundColumnsRight="3">
    <queryTableFields count="12">
      <queryTableField id="1" name="SYMBOL" tableColumnId="1"/>
      <queryTableField id="2" name="OPEN" tableColumnId="2"/>
      <queryTableField id="3" name="DayHigh" tableColumnId="3"/>
      <queryTableField id="4" name="DayLow" tableColumnId="4"/>
      <queryTableField id="5" name="LastPrice" tableColumnId="5"/>
      <queryTableField id="6" name="PreviousClose" tableColumnId="6"/>
      <queryTableField id="7" name="Change" tableColumnId="7"/>
      <queryTableField id="8" name="%Change" tableColumnId="8"/>
      <queryTableField id="9" name="Volume" tableColumnId="9"/>
      <queryTableField id="17" dataBound="0" tableColumnId="10"/>
      <queryTableField id="19" dataBound="0" tableColumnId="12"/>
      <queryTableField id="2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3" xr16:uid="{00000000-0016-0000-0200-000001000000}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lumn1.strikePrice" tableColumnId="1"/>
      <queryTableField id="2" name="Column1.expiryDate" tableColumnId="2"/>
      <queryTableField id="3" name="Column1.CE.openInterest" tableColumnId="3"/>
      <queryTableField id="4" name="Column1.CE.changeinOpenInterest" tableColumnId="4"/>
      <queryTableField id="5" name="Column1.CE.totalTradedVolume" tableColumnId="5"/>
      <queryTableField id="6" name="Column1.CE.impliedVolatility" tableColumnId="6"/>
      <queryTableField id="7" name="Column1.CE.lastPrice" tableColumnId="7"/>
      <queryTableField id="8" name="Column1.CE.change" tableColumnId="8"/>
      <queryTableField id="9" name="Column1.PE.openInterest" tableColumnId="9"/>
      <queryTableField id="10" name="Column1.PE.changeinOpenInterest" tableColumnId="10"/>
      <queryTableField id="11" name="Column1.PE.totalTradedVolume" tableColumnId="11"/>
      <queryTableField id="12" name="Column1.PE.impliedVolatility" tableColumnId="12"/>
      <queryTableField id="13" name="Column1.PE.lastPrice" tableColumnId="13"/>
      <queryTableField id="14" name="Column1.PE.change" tableColumnId="14"/>
      <queryTableField id="15" name="Column1.PE.underlyingValue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0A59BE7-A60D-4F03-ADA7-25628035295B}" autoFormatId="16" applyNumberFormats="0" applyBorderFormats="0" applyFontFormats="0" applyPatternFormats="0" applyAlignmentFormats="0" applyWidthHeightFormats="0">
  <queryTableRefresh nextId="15">
    <queryTableFields count="9">
      <queryTableField id="1" name="Company Name" tableColumnId="10"/>
      <queryTableField id="2" name="Last Price" tableColumnId="2"/>
      <queryTableField id="3" name="Change" tableColumnId="3"/>
      <queryTableField id="4" name="Change %" tableColumnId="4"/>
      <queryTableField id="5" name="Delivery %" tableColumnId="5"/>
      <queryTableField id="6" name="5-Day Avg Del %" tableColumnId="6"/>
      <queryTableField id="7" name="Delivery Volumes" tableColumnId="7"/>
      <queryTableField id="8" name="5-Day Avg Deliverable" tableColumnId="8"/>
      <queryTableField id="9" name="Traded Volumes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AE7FB139-69F9-4FE8-86CC-BD9B59958BCA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11" name="SYMBOL" tableColumnId="12"/>
      <queryTableField id="1" name=" SERIES" tableColumnId="11"/>
      <queryTableField id="2" name=" DATE1" tableColumnId="2"/>
      <queryTableField id="3" name=" PREV_CLOSE" tableColumnId="3"/>
      <queryTableField id="4" name=" OPEN_PRICE" tableColumnId="4"/>
      <queryTableField id="5" name=" HIGH_PRICE" tableColumnId="5"/>
      <queryTableField id="6" name=" CLOSE_PRICE" tableColumnId="6"/>
      <queryTableField id="7" name=" AVG_PRICE" tableColumnId="7"/>
      <queryTableField id="8" name=" TTL_TRD_QNTY" tableColumnId="8"/>
      <queryTableField id="9" name=" DELIV_QTY" tableColumnId="9"/>
      <queryTableField id="10" name=" DELIV_PER" tableColumnId="10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BF3BD42-3EF3-4B6D-A8DF-511BE901B333}" autoFormatId="16" applyNumberFormats="0" applyBorderFormats="0" applyFontFormats="0" applyPatternFormats="0" applyAlignmentFormats="0" applyWidthHeightFormats="0">
  <queryTableRefresh nextId="10" unboundColumnsRight="1">
    <queryTableFields count="8">
      <queryTableField id="1" name="Symbol" tableColumnId="8"/>
      <queryTableField id="2" name="Last" tableColumnId="2"/>
      <queryTableField id="3" name="High" tableColumnId="3"/>
      <queryTableField id="4" name="Low" tableColumnId="4"/>
      <queryTableField id="5" name="Chg." tableColumnId="5"/>
      <queryTableField id="6" name="Chg. %" tableColumnId="6"/>
      <queryTableField id="7" name="Time" tableColumnId="7"/>
      <queryTableField id="9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5DD359-B223-4A4C-BA1D-E45AFC65A29C}" name="STOCKS" displayName="STOCKS" ref="A1:L53" tableType="queryTable" totalsRowShown="0" headerRowDxfId="76" dataDxfId="75">
  <autoFilter ref="A1:L53" xr:uid="{2DB2A24F-8B40-47C8-907B-01298975EC83}"/>
  <tableColumns count="12">
    <tableColumn id="1" xr3:uid="{6B01F6A4-52A2-4D09-8EC5-A84E18557F74}" uniqueName="1" name="SYMBOL" queryTableFieldId="1" dataDxfId="74"/>
    <tableColumn id="2" xr3:uid="{29A5E186-A98D-4A48-BE1F-7E3432A16BDE}" uniqueName="2" name="OPEN" queryTableFieldId="2" dataDxfId="73"/>
    <tableColumn id="3" xr3:uid="{0F4487BF-1D55-4AB4-B4F9-3D24C78C5BFD}" uniqueName="3" name="DayHigh" queryTableFieldId="3" dataDxfId="72"/>
    <tableColumn id="4" xr3:uid="{E3D28FAB-B073-4361-99C5-1DEE6F390F37}" uniqueName="4" name="DayLow" queryTableFieldId="4" dataDxfId="71"/>
    <tableColumn id="5" xr3:uid="{B9465313-012C-46CB-84BC-AC0B08E46FD6}" uniqueName="5" name="LastPrice" queryTableFieldId="5" dataDxfId="70"/>
    <tableColumn id="6" xr3:uid="{F6F41868-B489-4731-8B6D-8CBD1303EC46}" uniqueName="6" name="PreviousClose" queryTableFieldId="6" dataDxfId="69"/>
    <tableColumn id="7" xr3:uid="{63201050-37A3-44D0-A8D9-9CC7FDE17B77}" uniqueName="7" name="Change" queryTableFieldId="7" dataDxfId="68"/>
    <tableColumn id="8" xr3:uid="{5103C866-902D-4D2E-A45A-24A923886082}" uniqueName="8" name="%Change" queryTableFieldId="8" dataDxfId="67"/>
    <tableColumn id="9" xr3:uid="{CBCB2370-9A78-4833-B935-81F9D7F01D9E}" uniqueName="9" name="Volume" queryTableFieldId="9" dataDxfId="66"/>
    <tableColumn id="10" xr3:uid="{2410DD5B-DEAA-4BA0-A40E-D2D0DE53AB2A}" uniqueName="10" name="OHL" queryTableFieldId="17" dataDxfId="65">
      <calculatedColumnFormula>IF(AND(STOCKS[[#This Row],[OPEN]]=STOCKS[[#This Row],[DayHigh]]),"SELL",IF(STOCKS[[#This Row],[OPEN]]=STOCKS[[#This Row],[DayLow]],"BUY","-"))</calculatedColumnFormula>
    </tableColumn>
    <tableColumn id="12" xr3:uid="{C6EBB3A1-6D05-4B6D-BAB8-B3A9F79A2DAC}" uniqueName="12" name="DIFFERENCE" queryTableFieldId="19" dataDxfId="64">
      <calculatedColumnFormula>IF((STOCKS[[#This Row],[OPEN]]=STOCKS[[#This Row],[DayHigh]]),STOCKS[[#This Row],[LastPrice]]-STOCKS[[#This Row],[DayHigh]],IF(STOCKS[[#This Row],[OPEN]]=STOCKS[[#This Row],[DayLow]],STOCKS[[#This Row],[LastPrice]]-STOCKS[[#This Row],[DayLow]],"-"))</calculatedColumnFormula>
    </tableColumn>
    <tableColumn id="11" xr3:uid="{796F715A-3B0D-4BA0-AC33-2164EF1C462E}" uniqueName="11" name="Trend" queryTableFieldId="21" dataDxfId="63">
      <calculatedColumnFormula>IF(STOCKS[[#This Row],[PreviousClose]]&lt;STOCKS[[#This Row],[LastPrice]],"BUY","SELL")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NIFTYOIDATA" displayName="NIFTYOIDATA" ref="C5:Q91" tableType="queryTable" totalsRowShown="0" headerRowDxfId="47" dataDxfId="46">
  <autoFilter ref="C5:Q91" xr:uid="{CA8F83D4-246B-4482-B944-E3ACD61A4354}"/>
  <tableColumns count="15">
    <tableColumn id="1" xr3:uid="{D2BCE16E-2460-40D4-B84F-E77FAE7793DA}" uniqueName="1" name="Column1.strikePrice" queryTableFieldId="1" dataDxfId="45"/>
    <tableColumn id="2" xr3:uid="{A82A16A0-723B-4526-805F-94315C5FFBC0}" uniqueName="2" name="Column1.expiryDate" queryTableFieldId="2" dataDxfId="44"/>
    <tableColumn id="3" xr3:uid="{9FFB8FED-9031-4F74-A1CC-31E3844DAB94}" uniqueName="3" name="Column1.CE.openInterest" queryTableFieldId="3" dataDxfId="43"/>
    <tableColumn id="4" xr3:uid="{361DD9B3-302C-4551-A23C-B6174E4D2864}" uniqueName="4" name="Column1.CE.changeinOpenInterest" queryTableFieldId="4" dataDxfId="42"/>
    <tableColumn id="5" xr3:uid="{1C9F6521-C902-4AC7-B52E-CA6E4A7DB919}" uniqueName="5" name="Column1.CE.totalTradedVolume" queryTableFieldId="5" dataDxfId="41"/>
    <tableColumn id="6" xr3:uid="{137ED866-70F7-49DD-93B7-9A472C85B64D}" uniqueName="6" name="Column1.CE.impliedVolatility" queryTableFieldId="6" dataDxfId="40"/>
    <tableColumn id="7" xr3:uid="{A044D931-D408-43F6-A7F7-15FB56B4B6DF}" uniqueName="7" name="Column1.CE.lastPrice" queryTableFieldId="7" dataDxfId="39"/>
    <tableColumn id="8" xr3:uid="{E47E218B-DD95-4C8D-9FD2-D50D9E9A2F91}" uniqueName="8" name="Column1.CE.change" queryTableFieldId="8" dataDxfId="38"/>
    <tableColumn id="9" xr3:uid="{E3889A69-16C5-41AE-958C-9B81BDAC8B6A}" uniqueName="9" name="Column1.PE.openInterest" queryTableFieldId="9" dataDxfId="37"/>
    <tableColumn id="10" xr3:uid="{F2033114-0A55-43FF-9DE6-FD47324A63BB}" uniqueName="10" name="Column1.PE.changeinOpenInterest" queryTableFieldId="10" dataDxfId="36"/>
    <tableColumn id="11" xr3:uid="{6741FEE0-50C3-4246-B537-45CA8209C475}" uniqueName="11" name="Column1.PE.totalTradedVolume" queryTableFieldId="11" dataDxfId="35"/>
    <tableColumn id="12" xr3:uid="{9CDD06C8-3014-405A-B5A1-5B8C36684D56}" uniqueName="12" name="Column1.PE.impliedVolatility" queryTableFieldId="12" dataDxfId="34"/>
    <tableColumn id="13" xr3:uid="{5AAD4244-6D06-4D41-8949-35177ED0435A}" uniqueName="13" name="Column1.PE.lastPrice" queryTableFieldId="13" dataDxfId="33"/>
    <tableColumn id="14" xr3:uid="{C726416A-EF7F-4988-A212-1ABF41CD074D}" uniqueName="14" name="Column1.PE.change" queryTableFieldId="14" dataDxfId="32"/>
    <tableColumn id="15" xr3:uid="{47669CBD-62A4-4F02-996F-CC6BC07DBC91}" uniqueName="15" name="Column1.PE.underlyingValue" queryTableFieldId="15" dataDxfId="3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B5BD97-BAFC-4DD8-B552-BC780303EC0C}" name="Table6" displayName="Table6" ref="F1:F3" totalsRowCount="1" headerRowDxfId="30" dataDxfId="29">
  <autoFilter ref="F1:F2" xr:uid="{D36EAD78-60FE-4A0D-8636-C5531E86B5C9}"/>
  <tableColumns count="1">
    <tableColumn id="1" xr3:uid="{6582D876-96EA-4D33-9B6C-9F140E00F1B1}" name="Instrument" totalsRowFunction="custom" dataDxfId="28" totalsRowDxfId="27">
      <calculatedColumnFormula>IF(OR(G$2="BANKNIFTY",G$2="NIFTY"),"indices","equities")</calculatedColumnFormula>
      <totalsRowFormula>IF(F2="equities","EQUITY","INDICES")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169EDFC-5C88-4460-B961-B6BBC73845D6}" name="Table8" displayName="Table8" ref="G1:G2" totalsRowShown="0" headerRowDxfId="26" dataDxfId="25">
  <autoFilter ref="G1:G2" xr:uid="{ECEA1BF7-C8D9-44E8-8589-7492CCDD8E1C}"/>
  <tableColumns count="1">
    <tableColumn id="1" xr3:uid="{36BFA932-65BA-4B3B-8043-B4A0AA674851}" name="symbol" dataDxfId="24">
      <calculatedColumnFormula>IF(E2="NIFTY BANK","BANKNIFTY",IF(E2="NIFTY 50","NIFTY",E2))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A3623-0E03-4E5E-9FD4-BD31EF841FF4}" name="Table1" displayName="Table1" ref="I1:I2" totalsRowShown="0" headerRowDxfId="23" dataDxfId="22">
  <autoFilter ref="I1:I2" xr:uid="{2864FA33-6797-4828-A942-EBF698FCAB63}"/>
  <tableColumns count="1">
    <tableColumn id="1" xr3:uid="{793C4426-F37E-4D1A-9C4D-9159731932AA}" name="Expirydate" dataDxfId="21">
      <calculatedColumnFormula>'OPTION CHAIN'!C4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9E8EB3-705F-4866-919F-4473B9644642}" name="Table12" displayName="Table12" ref="A1:A2" totalsRowShown="0">
  <autoFilter ref="A1:A2" xr:uid="{8731402E-5710-4B89-8458-AF108F5A1F5D}"/>
  <tableColumns count="1">
    <tableColumn id="1" xr3:uid="{305A4501-6907-48A7-8133-B6ED9ADA9C77}" name="Cook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8C0B24-0323-49B0-9A3C-F4A00DD1E62B}" name="Delivery_all" displayName="Delivery_all" ref="A1:I197" tableType="queryTable" totalsRowShown="0">
  <autoFilter ref="A1:I197" xr:uid="{1C0EB38A-7146-487D-BE13-BCBAAF6DE57C}">
    <filterColumn colId="3">
      <customFilters>
        <customFilter operator="greaterThanOrEqual" val="0.5"/>
      </customFilters>
    </filterColumn>
    <filterColumn colId="4">
      <customFilters>
        <customFilter operator="greaterThanOrEqual" val="50"/>
      </customFilters>
    </filterColumn>
  </autoFilter>
  <sortState xmlns:xlrd2="http://schemas.microsoft.com/office/spreadsheetml/2017/richdata2" ref="A2:I197">
    <sortCondition descending="1" ref="E1:E197"/>
  </sortState>
  <tableColumns count="9">
    <tableColumn id="10" xr3:uid="{8CC6D3B2-B981-4D70-BFD2-BBA249EBB2D6}" uniqueName="10" name="Company Name" queryTableFieldId="1" dataDxfId="20"/>
    <tableColumn id="2" xr3:uid="{375C84AB-2A87-4E7F-8392-DDDD6EBA214F}" uniqueName="2" name="Last Price" queryTableFieldId="2"/>
    <tableColumn id="3" xr3:uid="{66FA6418-7509-4655-B24D-238D50750FAB}" uniqueName="3" name="Change" queryTableFieldId="3"/>
    <tableColumn id="4" xr3:uid="{92DACA0A-30B5-4955-9E2F-97D84885AB1B}" uniqueName="4" name="Change %" queryTableFieldId="4"/>
    <tableColumn id="5" xr3:uid="{B75D02F1-EF9B-4F90-B5F3-8F220A99282E}" uniqueName="5" name="Delivery %" queryTableFieldId="5"/>
    <tableColumn id="6" xr3:uid="{75FAE6AF-5CE8-4D58-BB89-71B3E660810B}" uniqueName="6" name="5-Day Avg Del %" queryTableFieldId="6"/>
    <tableColumn id="7" xr3:uid="{BBC46F8D-BC10-4C6E-9830-57D98961934F}" uniqueName="7" name="Delivery Volumes" queryTableFieldId="7"/>
    <tableColumn id="8" xr3:uid="{F98418B3-5386-4B5C-90CB-50B68FA7CF88}" uniqueName="8" name="5-Day Avg Deliverable" queryTableFieldId="8"/>
    <tableColumn id="9" xr3:uid="{C222D5FF-0290-47F3-A641-01A2E378B313}" uniqueName="9" name="Traded Volumes" queryTableFieldId="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3BE9CFF-A954-4BDD-9091-F980B8BD1E3D}" name="NSE_BhavCopy" displayName="NSE_BhavCopy" ref="A1:L1515" tableType="queryTable" totalsRowShown="0">
  <autoFilter ref="A1:L1515" xr:uid="{0E0601D1-3B84-4A0C-810A-AAC2A59CDEF6}">
    <filterColumn colId="3">
      <customFilters>
        <customFilter operator="greaterThanOrEqual" val="40"/>
      </customFilters>
    </filterColumn>
    <filterColumn colId="8">
      <customFilters>
        <customFilter operator="greaterThanOrEqual" val="100000"/>
      </customFilters>
    </filterColumn>
    <filterColumn colId="10">
      <customFilters>
        <customFilter operator="greaterThanOrEqual" val="50"/>
      </customFilters>
    </filterColumn>
    <filterColumn colId="11">
      <customFilters>
        <customFilter operator="greaterThanOrEqual" val="1"/>
      </customFilters>
    </filterColumn>
  </autoFilter>
  <sortState xmlns:xlrd2="http://schemas.microsoft.com/office/spreadsheetml/2017/richdata2" ref="A12:L881">
    <sortCondition descending="1" ref="K1:K1515"/>
  </sortState>
  <tableColumns count="12">
    <tableColumn id="12" xr3:uid="{1221D506-0743-4CA2-9D6A-4E3AD49BC48A}" uniqueName="12" name="SYMBOL" queryTableFieldId="11" dataDxfId="19"/>
    <tableColumn id="11" xr3:uid="{D48D356A-0358-464B-8AD6-FD29F5FC02DF}" uniqueName="11" name=" SERIES" queryTableFieldId="1" dataDxfId="18"/>
    <tableColumn id="2" xr3:uid="{EAB0C56F-6F23-4542-A8ED-FDB2F8FB36CC}" uniqueName="2" name=" DATE1" queryTableFieldId="2" dataDxfId="17"/>
    <tableColumn id="3" xr3:uid="{C8C02ABB-577B-463D-AF4A-4E8EA4771D10}" uniqueName="3" name=" PREV_CLOSE" queryTableFieldId="3" dataDxfId="16"/>
    <tableColumn id="4" xr3:uid="{B17BB13F-42D6-404C-A030-8F6A69E7FDFE}" uniqueName="4" name=" OPEN_PRICE" queryTableFieldId="4" dataDxfId="15"/>
    <tableColumn id="5" xr3:uid="{66D3ABA9-5EFF-4504-AA02-20EBFE4EF016}" uniqueName="5" name=" HIGH_PRICE" queryTableFieldId="5" dataDxfId="14"/>
    <tableColumn id="6" xr3:uid="{C69E1242-D7F6-4E09-8877-687AEB0A923E}" uniqueName="6" name=" CLOSE_PRICE" queryTableFieldId="6" dataDxfId="13"/>
    <tableColumn id="7" xr3:uid="{7CBAF3D3-15F1-4D10-8A56-03E9F4C408A3}" uniqueName="7" name=" AVG_PRICE" queryTableFieldId="7" dataDxfId="12"/>
    <tableColumn id="8" xr3:uid="{BD597B7F-3D5B-4E58-B308-477F4E078BCF}" uniqueName="8" name=" TTL_TRD_QNTY" queryTableFieldId="8" dataDxfId="11"/>
    <tableColumn id="9" xr3:uid="{804CF1C9-359A-4C0F-99B0-0F66BF7A2684}" uniqueName="9" name=" DELIV_QTY" queryTableFieldId="9" dataDxfId="10"/>
    <tableColumn id="10" xr3:uid="{FF11B567-21F1-4D02-B43B-209628BE9F46}" uniqueName="10" name=" DELIV_PER" queryTableFieldId="10" dataDxfId="9"/>
    <tableColumn id="13" xr3:uid="{71BD9019-DB86-49BD-B3C9-EDF278C01F52}" uniqueName="13" name="Close %" queryTableFieldId="13" dataDxfId="8">
      <calculatedColumnFormula>SUM(NSE_BhavCopy[[#This Row],[ CLOSE_PRICE]]-NSE_BhavCopy[[#This Row],[ PREV_CLOSE]])/NSE_BhavCopy[[#This Row],[ PREV_CLOSE]]*100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AA9CAC-4B64-4663-9B7D-F21B763FD2E7}" name="Indices" displayName="Indices" ref="A1:H29" tableType="queryTable" totalsRowShown="0">
  <autoFilter ref="A1:H29" xr:uid="{4F8A4160-A73B-463B-857C-C6708C39A982}"/>
  <sortState xmlns:xlrd2="http://schemas.microsoft.com/office/spreadsheetml/2017/richdata2" ref="A2:H29">
    <sortCondition descending="1" ref="F1:F29"/>
  </sortState>
  <tableColumns count="8">
    <tableColumn id="8" xr3:uid="{D8E0B08A-7FBA-4A41-AE82-1B141798E449}" uniqueName="8" name="Symbol" queryTableFieldId="1" dataDxfId="7"/>
    <tableColumn id="2" xr3:uid="{3AA7BB8E-24D9-456F-B681-C80EFCE52708}" uniqueName="2" name="Last" queryTableFieldId="2" dataDxfId="6"/>
    <tableColumn id="3" xr3:uid="{1EAB0A8A-2961-44C4-9889-57716B93CC84}" uniqueName="3" name="High" queryTableFieldId="3" dataDxfId="5"/>
    <tableColumn id="4" xr3:uid="{F30FFBF7-D6ED-41B1-8CA7-E1C46D6863FC}" uniqueName="4" name="Low" queryTableFieldId="4" dataDxfId="4"/>
    <tableColumn id="5" xr3:uid="{8EC1D5FA-AF49-4AF4-93FC-2835E53074A1}" uniqueName="5" name="Chg." queryTableFieldId="5" dataDxfId="3"/>
    <tableColumn id="6" xr3:uid="{463DF315-D988-4960-9FB6-1F768A7CC87B}" uniqueName="6" name="Chg. %" queryTableFieldId="6" dataDxfId="2"/>
    <tableColumn id="7" xr3:uid="{B551ECC2-687F-4646-A8B2-4559C465A510}" uniqueName="7" name="Time" queryTableFieldId="7" dataDxfId="1"/>
    <tableColumn id="1" xr3:uid="{0EF5D58E-BC8A-4768-8CC6-CDAA5FF19177}" uniqueName="1" name="Ind Time" queryTableFieldId="9" dataDxfId="0">
      <calculatedColumnFormula>MOD(Indices[[#This Row],[Time]]+(9.5/24),1)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EC15E-6684-4C3E-81BC-E3AF5E3C6517}">
  <sheetPr codeName="Sheet2"/>
  <dimension ref="A1:L53"/>
  <sheetViews>
    <sheetView workbookViewId="0">
      <selection activeCell="F13" sqref="F13"/>
    </sheetView>
  </sheetViews>
  <sheetFormatPr defaultRowHeight="15" x14ac:dyDescent="0.25"/>
  <cols>
    <col min="1" max="1" width="14.140625" style="1" bestFit="1" customWidth="1"/>
    <col min="2" max="2" width="10.5703125" style="1" bestFit="1" customWidth="1"/>
    <col min="3" max="3" width="12.85546875" style="1" bestFit="1" customWidth="1"/>
    <col min="4" max="4" width="12.42578125" style="1" bestFit="1" customWidth="1"/>
    <col min="5" max="5" width="13.42578125" style="1" bestFit="1" customWidth="1"/>
    <col min="6" max="6" width="18.28515625" style="1" bestFit="1" customWidth="1"/>
    <col min="7" max="7" width="12.140625" style="1" bestFit="1" customWidth="1"/>
    <col min="8" max="8" width="13.7109375" style="1" bestFit="1" customWidth="1"/>
    <col min="9" max="9" width="12.5703125" style="1" bestFit="1" customWidth="1"/>
    <col min="10" max="10" width="9.140625" style="1" bestFit="1" customWidth="1"/>
    <col min="11" max="11" width="16.140625" style="1" bestFit="1" customWidth="1"/>
    <col min="12" max="12" width="10.7109375" style="1" bestFit="1" customWidth="1"/>
    <col min="13" max="13" width="60.85546875" style="1" bestFit="1" customWidth="1"/>
    <col min="14" max="14" width="63.5703125" style="1" bestFit="1" customWidth="1"/>
    <col min="15" max="16384" width="9.140625" style="1"/>
  </cols>
  <sheetData>
    <row r="1" spans="1:1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110</v>
      </c>
      <c r="K1" s="3" t="s">
        <v>111</v>
      </c>
      <c r="L1" s="3" t="s">
        <v>112</v>
      </c>
    </row>
    <row r="2" spans="1:12" x14ac:dyDescent="0.25">
      <c r="A2" s="2" t="s">
        <v>82</v>
      </c>
      <c r="B2" s="2">
        <v>35825.4</v>
      </c>
      <c r="C2" s="2">
        <v>35959.25</v>
      </c>
      <c r="D2" s="2">
        <v>35702.9</v>
      </c>
      <c r="E2" s="2">
        <v>35854.35</v>
      </c>
      <c r="F2" s="2">
        <v>35806.400000000001</v>
      </c>
      <c r="G2" s="2">
        <v>47.94999999999709</v>
      </c>
      <c r="H2" s="2">
        <v>0.13</v>
      </c>
      <c r="I2" s="2">
        <v>37277445</v>
      </c>
      <c r="J2" s="2" t="str">
        <f>IF(AND(STOCKS[[#This Row],[OPEN]]=STOCKS[[#This Row],[DayHigh]]),"SELL",IF(STOCKS[[#This Row],[OPEN]]=STOCKS[[#This Row],[DayLow]],"BUY","-"))</f>
        <v>-</v>
      </c>
      <c r="K2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" s="2" t="str">
        <f>IF(STOCKS[[#This Row],[PreviousClose]]&lt;STOCKS[[#This Row],[LastPrice]],"BUY","SELL")</f>
        <v>BUY</v>
      </c>
    </row>
    <row r="3" spans="1:12" x14ac:dyDescent="0.25">
      <c r="A3" s="2" t="s">
        <v>9</v>
      </c>
      <c r="B3" s="2">
        <v>16303.65</v>
      </c>
      <c r="C3" s="2">
        <v>16335.95</v>
      </c>
      <c r="D3" s="2">
        <v>16286.9</v>
      </c>
      <c r="E3" s="2">
        <v>16326.25</v>
      </c>
      <c r="F3" s="2">
        <v>16282.25</v>
      </c>
      <c r="G3" s="2">
        <v>44</v>
      </c>
      <c r="H3" s="2">
        <v>0.27</v>
      </c>
      <c r="I3" s="2">
        <v>76874797</v>
      </c>
      <c r="J3" s="2" t="str">
        <f>IF(AND(STOCKS[[#This Row],[OPEN]]=STOCKS[[#This Row],[DayHigh]]),"SELL",IF(STOCKS[[#This Row],[OPEN]]=STOCKS[[#This Row],[DayLow]],"BUY","-"))</f>
        <v>-</v>
      </c>
      <c r="K3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" s="2" t="str">
        <f>IF(STOCKS[[#This Row],[PreviousClose]]&lt;STOCKS[[#This Row],[LastPrice]],"BUY","SELL")</f>
        <v>BUY</v>
      </c>
    </row>
    <row r="4" spans="1:12" x14ac:dyDescent="0.25">
      <c r="A4" s="2" t="s">
        <v>14</v>
      </c>
      <c r="B4" s="2">
        <v>177</v>
      </c>
      <c r="C4" s="2">
        <v>181.9</v>
      </c>
      <c r="D4" s="2">
        <v>176.3</v>
      </c>
      <c r="E4" s="2">
        <v>181.1</v>
      </c>
      <c r="F4" s="2">
        <v>176.35</v>
      </c>
      <c r="G4" s="2">
        <v>4.75</v>
      </c>
      <c r="H4" s="2">
        <v>2.69</v>
      </c>
      <c r="I4" s="2">
        <v>11831270</v>
      </c>
      <c r="J4" s="2" t="str">
        <f>IF(AND(STOCKS[[#This Row],[OPEN]]=STOCKS[[#This Row],[DayHigh]]),"SELL",IF(STOCKS[[#This Row],[OPEN]]=STOCKS[[#This Row],[DayLow]],"BUY","-"))</f>
        <v>-</v>
      </c>
      <c r="K4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" s="2" t="str">
        <f>IF(STOCKS[[#This Row],[PreviousClose]]&lt;STOCKS[[#This Row],[LastPrice]],"BUY","SELL")</f>
        <v>BUY</v>
      </c>
    </row>
    <row r="5" spans="1:12" x14ac:dyDescent="0.25">
      <c r="A5" s="2" t="s">
        <v>23</v>
      </c>
      <c r="B5" s="2">
        <v>1323</v>
      </c>
      <c r="C5" s="2">
        <v>1358.1</v>
      </c>
      <c r="D5" s="2">
        <v>1317.75</v>
      </c>
      <c r="E5" s="2">
        <v>1356.9</v>
      </c>
      <c r="F5" s="2">
        <v>1323.6</v>
      </c>
      <c r="G5" s="2">
        <v>33.299999999999997</v>
      </c>
      <c r="H5" s="2">
        <v>2.52</v>
      </c>
      <c r="I5" s="2">
        <v>1872693</v>
      </c>
      <c r="J5" s="2" t="str">
        <f>IF(AND(STOCKS[[#This Row],[OPEN]]=STOCKS[[#This Row],[DayHigh]]),"SELL",IF(STOCKS[[#This Row],[OPEN]]=STOCKS[[#This Row],[DayLow]],"BUY","-"))</f>
        <v>-</v>
      </c>
      <c r="K5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5" s="2" t="str">
        <f>IF(STOCKS[[#This Row],[PreviousClose]]&lt;STOCKS[[#This Row],[LastPrice]],"BUY","SELL")</f>
        <v>BUY</v>
      </c>
    </row>
    <row r="6" spans="1:12" x14ac:dyDescent="0.25">
      <c r="A6" s="2" t="s">
        <v>19</v>
      </c>
      <c r="B6" s="2">
        <v>1071</v>
      </c>
      <c r="C6" s="2">
        <v>1083.8499999999999</v>
      </c>
      <c r="D6" s="2">
        <v>1068</v>
      </c>
      <c r="E6" s="2">
        <v>1083.5999999999999</v>
      </c>
      <c r="F6" s="2">
        <v>1066.95</v>
      </c>
      <c r="G6" s="2">
        <v>16.649999999999999</v>
      </c>
      <c r="H6" s="2">
        <v>1.56</v>
      </c>
      <c r="I6" s="2">
        <v>1229428</v>
      </c>
      <c r="J6" s="2" t="str">
        <f>IF(AND(STOCKS[[#This Row],[OPEN]]=STOCKS[[#This Row],[DayHigh]]),"SELL",IF(STOCKS[[#This Row],[OPEN]]=STOCKS[[#This Row],[DayLow]],"BUY","-"))</f>
        <v>-</v>
      </c>
      <c r="K6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6" s="2" t="str">
        <f>IF(STOCKS[[#This Row],[PreviousClose]]&lt;STOCKS[[#This Row],[LastPrice]],"BUY","SELL")</f>
        <v>BUY</v>
      </c>
    </row>
    <row r="7" spans="1:12" x14ac:dyDescent="0.25">
      <c r="A7" s="2" t="s">
        <v>18</v>
      </c>
      <c r="B7" s="2">
        <v>297.3</v>
      </c>
      <c r="C7" s="2">
        <v>300.45</v>
      </c>
      <c r="D7" s="2">
        <v>297.3</v>
      </c>
      <c r="E7" s="2">
        <v>299.14999999999998</v>
      </c>
      <c r="F7" s="2">
        <v>295.45</v>
      </c>
      <c r="G7" s="2">
        <v>3.7</v>
      </c>
      <c r="H7" s="2">
        <v>1.25</v>
      </c>
      <c r="I7" s="2">
        <v>5449342</v>
      </c>
      <c r="J7" s="2" t="str">
        <f>IF(AND(STOCKS[[#This Row],[OPEN]]=STOCKS[[#This Row],[DayHigh]]),"SELL",IF(STOCKS[[#This Row],[OPEN]]=STOCKS[[#This Row],[DayLow]],"BUY","-"))</f>
        <v>BUY</v>
      </c>
      <c r="K7" s="2">
        <f>IF((STOCKS[[#This Row],[OPEN]]=STOCKS[[#This Row],[DayHigh]]),STOCKS[[#This Row],[LastPrice]]-STOCKS[[#This Row],[DayHigh]],IF(STOCKS[[#This Row],[OPEN]]=STOCKS[[#This Row],[DayLow]],STOCKS[[#This Row],[LastPrice]]-STOCKS[[#This Row],[DayLow]],"-"))</f>
        <v>1.8499999999999659</v>
      </c>
      <c r="L7" s="2" t="str">
        <f>IF(STOCKS[[#This Row],[PreviousClose]]&lt;STOCKS[[#This Row],[LastPrice]],"BUY","SELL")</f>
        <v>BUY</v>
      </c>
    </row>
    <row r="8" spans="1:12" x14ac:dyDescent="0.25">
      <c r="A8" s="2" t="s">
        <v>35</v>
      </c>
      <c r="B8" s="2">
        <v>3746.8</v>
      </c>
      <c r="C8" s="2">
        <v>3777</v>
      </c>
      <c r="D8" s="2">
        <v>3736</v>
      </c>
      <c r="E8" s="2">
        <v>3769.05</v>
      </c>
      <c r="F8" s="2">
        <v>3727.15</v>
      </c>
      <c r="G8" s="2">
        <v>41.9</v>
      </c>
      <c r="H8" s="2">
        <v>1.1200000000000001</v>
      </c>
      <c r="I8" s="2">
        <v>84106</v>
      </c>
      <c r="J8" s="2" t="str">
        <f>IF(AND(STOCKS[[#This Row],[OPEN]]=STOCKS[[#This Row],[DayHigh]]),"SELL",IF(STOCKS[[#This Row],[OPEN]]=STOCKS[[#This Row],[DayLow]],"BUY","-"))</f>
        <v>-</v>
      </c>
      <c r="K8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8" s="2" t="str">
        <f>IF(STOCKS[[#This Row],[PreviousClose]]&lt;STOCKS[[#This Row],[LastPrice]],"BUY","SELL")</f>
        <v>BUY</v>
      </c>
    </row>
    <row r="9" spans="1:12" x14ac:dyDescent="0.25">
      <c r="A9" s="2" t="s">
        <v>12</v>
      </c>
      <c r="B9" s="2">
        <v>144.05000000000001</v>
      </c>
      <c r="C9" s="2">
        <v>145.94999999999999</v>
      </c>
      <c r="D9" s="2">
        <v>144</v>
      </c>
      <c r="E9" s="2">
        <v>145.55000000000001</v>
      </c>
      <c r="F9" s="2">
        <v>143.94999999999999</v>
      </c>
      <c r="G9" s="2">
        <v>1.6</v>
      </c>
      <c r="H9" s="2">
        <v>1.1100000000000001</v>
      </c>
      <c r="I9" s="2">
        <v>2337473</v>
      </c>
      <c r="J9" s="2" t="str">
        <f>IF(AND(STOCKS[[#This Row],[OPEN]]=STOCKS[[#This Row],[DayHigh]]),"SELL",IF(STOCKS[[#This Row],[OPEN]]=STOCKS[[#This Row],[DayLow]],"BUY","-"))</f>
        <v>-</v>
      </c>
      <c r="K9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9" s="2" t="str">
        <f>IF(STOCKS[[#This Row],[PreviousClose]]&lt;STOCKS[[#This Row],[LastPrice]],"BUY","SELL")</f>
        <v>BUY</v>
      </c>
    </row>
    <row r="10" spans="1:12" x14ac:dyDescent="0.25">
      <c r="A10" s="2" t="s">
        <v>26</v>
      </c>
      <c r="B10" s="2">
        <v>781</v>
      </c>
      <c r="C10" s="2">
        <v>794.65</v>
      </c>
      <c r="D10" s="2">
        <v>780.85</v>
      </c>
      <c r="E10" s="2">
        <v>787.05</v>
      </c>
      <c r="F10" s="2">
        <v>778.7</v>
      </c>
      <c r="G10" s="2">
        <v>8.35</v>
      </c>
      <c r="H10" s="2">
        <v>1.07</v>
      </c>
      <c r="I10" s="2">
        <v>1384681</v>
      </c>
      <c r="J10" s="2" t="str">
        <f>IF(AND(STOCKS[[#This Row],[OPEN]]=STOCKS[[#This Row],[DayHigh]]),"SELL",IF(STOCKS[[#This Row],[OPEN]]=STOCKS[[#This Row],[DayLow]],"BUY","-"))</f>
        <v>-</v>
      </c>
      <c r="K10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0" s="2" t="str">
        <f>IF(STOCKS[[#This Row],[PreviousClose]]&lt;STOCKS[[#This Row],[LastPrice]],"BUY","SELL")</f>
        <v>BUY</v>
      </c>
    </row>
    <row r="11" spans="1:12" x14ac:dyDescent="0.25">
      <c r="A11" s="2" t="s">
        <v>43</v>
      </c>
      <c r="B11" s="2">
        <v>701</v>
      </c>
      <c r="C11" s="2">
        <v>710.4</v>
      </c>
      <c r="D11" s="2">
        <v>700</v>
      </c>
      <c r="E11" s="2">
        <v>706</v>
      </c>
      <c r="F11" s="2">
        <v>699.15</v>
      </c>
      <c r="G11" s="2">
        <v>6.85</v>
      </c>
      <c r="H11" s="2">
        <v>0.98</v>
      </c>
      <c r="I11" s="2">
        <v>2030724</v>
      </c>
      <c r="J11" s="2" t="str">
        <f>IF(AND(STOCKS[[#This Row],[OPEN]]=STOCKS[[#This Row],[DayHigh]]),"SELL",IF(STOCKS[[#This Row],[OPEN]]=STOCKS[[#This Row],[DayLow]],"BUY","-"))</f>
        <v>-</v>
      </c>
      <c r="K11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1" s="2" t="str">
        <f>IF(STOCKS[[#This Row],[PreviousClose]]&lt;STOCKS[[#This Row],[LastPrice]],"BUY","SELL")</f>
        <v>BUY</v>
      </c>
    </row>
    <row r="12" spans="1:12" x14ac:dyDescent="0.25">
      <c r="A12" s="2" t="s">
        <v>42</v>
      </c>
      <c r="B12" s="2">
        <v>26700</v>
      </c>
      <c r="C12" s="2">
        <v>27062.15</v>
      </c>
      <c r="D12" s="2">
        <v>26600.1</v>
      </c>
      <c r="E12" s="2">
        <v>26795</v>
      </c>
      <c r="F12" s="2">
        <v>26547.5</v>
      </c>
      <c r="G12" s="2">
        <v>247.5</v>
      </c>
      <c r="H12" s="2">
        <v>0.93</v>
      </c>
      <c r="I12" s="2">
        <v>24843</v>
      </c>
      <c r="J12" s="2" t="str">
        <f>IF(AND(STOCKS[[#This Row],[OPEN]]=STOCKS[[#This Row],[DayHigh]]),"SELL",IF(STOCKS[[#This Row],[OPEN]]=STOCKS[[#This Row],[DayLow]],"BUY","-"))</f>
        <v>-</v>
      </c>
      <c r="K12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2" s="2" t="str">
        <f>IF(STOCKS[[#This Row],[PreviousClose]]&lt;STOCKS[[#This Row],[LastPrice]],"BUY","SELL")</f>
        <v>BUY</v>
      </c>
    </row>
    <row r="13" spans="1:12" x14ac:dyDescent="0.25">
      <c r="A13" s="2" t="s">
        <v>33</v>
      </c>
      <c r="B13" s="2">
        <v>1499.8</v>
      </c>
      <c r="C13" s="2">
        <v>1512.9</v>
      </c>
      <c r="D13" s="2">
        <v>1488.65</v>
      </c>
      <c r="E13" s="2">
        <v>1506</v>
      </c>
      <c r="F13" s="2">
        <v>1502.4</v>
      </c>
      <c r="G13" s="2">
        <v>12.6</v>
      </c>
      <c r="H13" s="2">
        <v>0.84</v>
      </c>
      <c r="I13" s="2">
        <v>181931</v>
      </c>
      <c r="J13" s="2" t="str">
        <f>IF(AND(STOCKS[[#This Row],[OPEN]]=STOCKS[[#This Row],[DayHigh]]),"SELL",IF(STOCKS[[#This Row],[OPEN]]=STOCKS[[#This Row],[DayLow]],"BUY","-"))</f>
        <v>-</v>
      </c>
      <c r="K13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3" s="2" t="str">
        <f>IF(STOCKS[[#This Row],[PreviousClose]]&lt;STOCKS[[#This Row],[LastPrice]],"BUY","SELL")</f>
        <v>BUY</v>
      </c>
    </row>
    <row r="14" spans="1:12" x14ac:dyDescent="0.25">
      <c r="A14" s="2" t="s">
        <v>27</v>
      </c>
      <c r="B14" s="2">
        <v>7022</v>
      </c>
      <c r="C14" s="2">
        <v>7082.55</v>
      </c>
      <c r="D14" s="2">
        <v>7002</v>
      </c>
      <c r="E14" s="2">
        <v>7080</v>
      </c>
      <c r="F14" s="2">
        <v>7021.5</v>
      </c>
      <c r="G14" s="2">
        <v>58.5</v>
      </c>
      <c r="H14" s="2">
        <v>0.83</v>
      </c>
      <c r="I14" s="2">
        <v>91208</v>
      </c>
      <c r="J14" s="2" t="str">
        <f>IF(AND(STOCKS[[#This Row],[OPEN]]=STOCKS[[#This Row],[DayHigh]]),"SELL",IF(STOCKS[[#This Row],[OPEN]]=STOCKS[[#This Row],[DayLow]],"BUY","-"))</f>
        <v>-</v>
      </c>
      <c r="K14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4" s="2" t="str">
        <f>IF(STOCKS[[#This Row],[PreviousClose]]&lt;STOCKS[[#This Row],[LastPrice]],"BUY","SELL")</f>
        <v>BUY</v>
      </c>
    </row>
    <row r="15" spans="1:12" x14ac:dyDescent="0.25">
      <c r="A15" s="2" t="s">
        <v>31</v>
      </c>
      <c r="B15" s="2">
        <v>452</v>
      </c>
      <c r="C15" s="2">
        <v>454.4</v>
      </c>
      <c r="D15" s="2">
        <v>451.05</v>
      </c>
      <c r="E15" s="2">
        <v>453.4</v>
      </c>
      <c r="F15" s="2">
        <v>450</v>
      </c>
      <c r="G15" s="2">
        <v>3.4</v>
      </c>
      <c r="H15" s="2">
        <v>0.76</v>
      </c>
      <c r="I15" s="2">
        <v>841897</v>
      </c>
      <c r="J15" s="2" t="str">
        <f>IF(AND(STOCKS[[#This Row],[OPEN]]=STOCKS[[#This Row],[DayHigh]]),"SELL",IF(STOCKS[[#This Row],[OPEN]]=STOCKS[[#This Row],[DayLow]],"BUY","-"))</f>
        <v>-</v>
      </c>
      <c r="K15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5" s="2" t="str">
        <f>IF(STOCKS[[#This Row],[PreviousClose]]&lt;STOCKS[[#This Row],[LastPrice]],"BUY","SELL")</f>
        <v>BUY</v>
      </c>
    </row>
    <row r="16" spans="1:12" x14ac:dyDescent="0.25">
      <c r="A16" s="2" t="s">
        <v>24</v>
      </c>
      <c r="B16" s="2">
        <v>6181</v>
      </c>
      <c r="C16" s="2">
        <v>6223.35</v>
      </c>
      <c r="D16" s="2">
        <v>6151.25</v>
      </c>
      <c r="E16" s="2">
        <v>6213</v>
      </c>
      <c r="F16" s="2">
        <v>6167.8</v>
      </c>
      <c r="G16" s="2">
        <v>45.2</v>
      </c>
      <c r="H16" s="2">
        <v>0.73</v>
      </c>
      <c r="I16" s="2">
        <v>221488</v>
      </c>
      <c r="J16" s="2" t="str">
        <f>IF(AND(STOCKS[[#This Row],[OPEN]]=STOCKS[[#This Row],[DayHigh]]),"SELL",IF(STOCKS[[#This Row],[OPEN]]=STOCKS[[#This Row],[DayLow]],"BUY","-"))</f>
        <v>-</v>
      </c>
      <c r="K16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6" s="2" t="str">
        <f>IF(STOCKS[[#This Row],[PreviousClose]]&lt;STOCKS[[#This Row],[LastPrice]],"BUY","SELL")</f>
        <v>BUY</v>
      </c>
    </row>
    <row r="17" spans="1:12" x14ac:dyDescent="0.25">
      <c r="A17" s="2" t="s">
        <v>55</v>
      </c>
      <c r="B17" s="2">
        <v>1590</v>
      </c>
      <c r="C17" s="2">
        <v>1599</v>
      </c>
      <c r="D17" s="2">
        <v>1582</v>
      </c>
      <c r="E17" s="2">
        <v>1593.75</v>
      </c>
      <c r="F17" s="2">
        <v>1583.3</v>
      </c>
      <c r="G17" s="2">
        <v>10.45</v>
      </c>
      <c r="H17" s="2">
        <v>0.66</v>
      </c>
      <c r="I17" s="2">
        <v>190872</v>
      </c>
      <c r="J17" s="2" t="str">
        <f>IF(AND(STOCKS[[#This Row],[OPEN]]=STOCKS[[#This Row],[DayHigh]]),"SELL",IF(STOCKS[[#This Row],[OPEN]]=STOCKS[[#This Row],[DayLow]],"BUY","-"))</f>
        <v>-</v>
      </c>
      <c r="K17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7" s="2" t="str">
        <f>IF(STOCKS[[#This Row],[PreviousClose]]&lt;STOCKS[[#This Row],[LastPrice]],"BUY","SELL")</f>
        <v>BUY</v>
      </c>
    </row>
    <row r="18" spans="1:12" x14ac:dyDescent="0.25">
      <c r="A18" s="2" t="s">
        <v>39</v>
      </c>
      <c r="B18" s="2">
        <v>2395</v>
      </c>
      <c r="C18" s="2">
        <v>2413.5</v>
      </c>
      <c r="D18" s="2">
        <v>2377.4499999999998</v>
      </c>
      <c r="E18" s="2">
        <v>2405</v>
      </c>
      <c r="F18" s="2">
        <v>2390.4499999999998</v>
      </c>
      <c r="G18" s="2">
        <v>14.55</v>
      </c>
      <c r="H18" s="2">
        <v>0.61</v>
      </c>
      <c r="I18" s="2">
        <v>347520</v>
      </c>
      <c r="J18" s="2" t="str">
        <f>IF(AND(STOCKS[[#This Row],[OPEN]]=STOCKS[[#This Row],[DayHigh]]),"SELL",IF(STOCKS[[#This Row],[OPEN]]=STOCKS[[#This Row],[DayLow]],"BUY","-"))</f>
        <v>-</v>
      </c>
      <c r="K18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8" s="2" t="str">
        <f>IF(STOCKS[[#This Row],[PreviousClose]]&lt;STOCKS[[#This Row],[LastPrice]],"BUY","SELL")</f>
        <v>BUY</v>
      </c>
    </row>
    <row r="19" spans="1:12" x14ac:dyDescent="0.25">
      <c r="A19" s="2" t="s">
        <v>41</v>
      </c>
      <c r="B19" s="2">
        <v>773</v>
      </c>
      <c r="C19" s="2">
        <v>783.5</v>
      </c>
      <c r="D19" s="2">
        <v>772.05</v>
      </c>
      <c r="E19" s="2">
        <v>778.5</v>
      </c>
      <c r="F19" s="2">
        <v>773.8</v>
      </c>
      <c r="G19" s="2">
        <v>4.7</v>
      </c>
      <c r="H19" s="2">
        <v>0.61</v>
      </c>
      <c r="I19" s="2">
        <v>609803</v>
      </c>
      <c r="J19" s="2" t="str">
        <f>IF(AND(STOCKS[[#This Row],[OPEN]]=STOCKS[[#This Row],[DayHigh]]),"SELL",IF(STOCKS[[#This Row],[OPEN]]=STOCKS[[#This Row],[DayLow]],"BUY","-"))</f>
        <v>-</v>
      </c>
      <c r="K19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19" s="2" t="str">
        <f>IF(STOCKS[[#This Row],[PreviousClose]]&lt;STOCKS[[#This Row],[LastPrice]],"BUY","SELL")</f>
        <v>BUY</v>
      </c>
    </row>
    <row r="20" spans="1:12" x14ac:dyDescent="0.25">
      <c r="A20" s="2" t="s">
        <v>49</v>
      </c>
      <c r="B20" s="2">
        <v>7457</v>
      </c>
      <c r="C20" s="2">
        <v>7580</v>
      </c>
      <c r="D20" s="2">
        <v>7432.85</v>
      </c>
      <c r="E20" s="2">
        <v>7497</v>
      </c>
      <c r="F20" s="2">
        <v>7452.45</v>
      </c>
      <c r="G20" s="2">
        <v>44.55</v>
      </c>
      <c r="H20" s="2">
        <v>0.6</v>
      </c>
      <c r="I20" s="2">
        <v>67772</v>
      </c>
      <c r="J20" s="2" t="str">
        <f>IF(AND(STOCKS[[#This Row],[OPEN]]=STOCKS[[#This Row],[DayHigh]]),"SELL",IF(STOCKS[[#This Row],[OPEN]]=STOCKS[[#This Row],[DayLow]],"BUY","-"))</f>
        <v>-</v>
      </c>
      <c r="K20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0" s="2" t="str">
        <f>IF(STOCKS[[#This Row],[PreviousClose]]&lt;STOCKS[[#This Row],[LastPrice]],"BUY","SELL")</f>
        <v>BUY</v>
      </c>
    </row>
    <row r="21" spans="1:12" x14ac:dyDescent="0.25">
      <c r="A21" s="2" t="s">
        <v>40</v>
      </c>
      <c r="B21" s="2">
        <v>1798</v>
      </c>
      <c r="C21" s="2">
        <v>1801.5</v>
      </c>
      <c r="D21" s="2">
        <v>1781</v>
      </c>
      <c r="E21" s="2">
        <v>1800</v>
      </c>
      <c r="F21" s="2">
        <v>1789.4</v>
      </c>
      <c r="G21" s="2">
        <v>10.6</v>
      </c>
      <c r="H21" s="2">
        <v>0.59</v>
      </c>
      <c r="I21" s="2">
        <v>227736</v>
      </c>
      <c r="J21" s="2" t="str">
        <f>IF(AND(STOCKS[[#This Row],[OPEN]]=STOCKS[[#This Row],[DayHigh]]),"SELL",IF(STOCKS[[#This Row],[OPEN]]=STOCKS[[#This Row],[DayLow]],"BUY","-"))</f>
        <v>-</v>
      </c>
      <c r="K21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1" s="2" t="str">
        <f>IF(STOCKS[[#This Row],[PreviousClose]]&lt;STOCKS[[#This Row],[LastPrice]],"BUY","SELL")</f>
        <v>BUY</v>
      </c>
    </row>
    <row r="22" spans="1:12" x14ac:dyDescent="0.25">
      <c r="A22" s="2" t="s">
        <v>13</v>
      </c>
      <c r="B22" s="2">
        <v>436.9</v>
      </c>
      <c r="C22" s="2">
        <v>440.5</v>
      </c>
      <c r="D22" s="2">
        <v>433.95</v>
      </c>
      <c r="E22" s="2">
        <v>436.2</v>
      </c>
      <c r="F22" s="2">
        <v>436.65</v>
      </c>
      <c r="G22" s="2">
        <v>2.5499999999999998</v>
      </c>
      <c r="H22" s="2">
        <v>0.59</v>
      </c>
      <c r="I22" s="2">
        <v>2366553</v>
      </c>
      <c r="J22" s="2" t="str">
        <f>IF(AND(STOCKS[[#This Row],[OPEN]]=STOCKS[[#This Row],[DayHigh]]),"SELL",IF(STOCKS[[#This Row],[OPEN]]=STOCKS[[#This Row],[DayLow]],"BUY","-"))</f>
        <v>-</v>
      </c>
      <c r="K22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2" s="2" t="str">
        <f>IF(STOCKS[[#This Row],[PreviousClose]]&lt;STOCKS[[#This Row],[LastPrice]],"BUY","SELL")</f>
        <v>SELL</v>
      </c>
    </row>
    <row r="23" spans="1:12" x14ac:dyDescent="0.25">
      <c r="A23" s="2" t="s">
        <v>46</v>
      </c>
      <c r="B23" s="2">
        <v>693.5</v>
      </c>
      <c r="C23" s="2">
        <v>699.6</v>
      </c>
      <c r="D23" s="2">
        <v>693.3</v>
      </c>
      <c r="E23" s="2">
        <v>697.2</v>
      </c>
      <c r="F23" s="2">
        <v>693.55</v>
      </c>
      <c r="G23" s="2">
        <v>3.65</v>
      </c>
      <c r="H23" s="2">
        <v>0.53</v>
      </c>
      <c r="I23" s="2">
        <v>1908506</v>
      </c>
      <c r="J23" s="2" t="str">
        <f>IF(AND(STOCKS[[#This Row],[OPEN]]=STOCKS[[#This Row],[DayHigh]]),"SELL",IF(STOCKS[[#This Row],[OPEN]]=STOCKS[[#This Row],[DayLow]],"BUY","-"))</f>
        <v>-</v>
      </c>
      <c r="K23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3" s="2" t="str">
        <f>IF(STOCKS[[#This Row],[PreviousClose]]&lt;STOCKS[[#This Row],[LastPrice]],"BUY","SELL")</f>
        <v>BUY</v>
      </c>
    </row>
    <row r="24" spans="1:12" x14ac:dyDescent="0.25">
      <c r="A24" s="2" t="s">
        <v>53</v>
      </c>
      <c r="B24" s="2">
        <v>666.5</v>
      </c>
      <c r="C24" s="2">
        <v>670.6</v>
      </c>
      <c r="D24" s="2">
        <v>665.4</v>
      </c>
      <c r="E24" s="2">
        <v>669.85</v>
      </c>
      <c r="F24" s="2">
        <v>666.65</v>
      </c>
      <c r="G24" s="2">
        <v>3.2</v>
      </c>
      <c r="H24" s="2">
        <v>0.48</v>
      </c>
      <c r="I24" s="2">
        <v>330990</v>
      </c>
      <c r="J24" s="2" t="str">
        <f>IF(AND(STOCKS[[#This Row],[OPEN]]=STOCKS[[#This Row],[DayHigh]]),"SELL",IF(STOCKS[[#This Row],[OPEN]]=STOCKS[[#This Row],[DayLow]],"BUY","-"))</f>
        <v>-</v>
      </c>
      <c r="K24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4" s="2" t="str">
        <f>IF(STOCKS[[#This Row],[PreviousClose]]&lt;STOCKS[[#This Row],[LastPrice]],"BUY","SELL")</f>
        <v>BUY</v>
      </c>
    </row>
    <row r="25" spans="1:12" x14ac:dyDescent="0.25">
      <c r="A25" s="2" t="s">
        <v>21</v>
      </c>
      <c r="B25" s="2">
        <v>765.65</v>
      </c>
      <c r="C25" s="2">
        <v>772.9</v>
      </c>
      <c r="D25" s="2">
        <v>763</v>
      </c>
      <c r="E25" s="2">
        <v>768.55</v>
      </c>
      <c r="F25" s="2">
        <v>765</v>
      </c>
      <c r="G25" s="2">
        <v>3.55</v>
      </c>
      <c r="H25" s="2">
        <v>0.46</v>
      </c>
      <c r="I25" s="2">
        <v>152479</v>
      </c>
      <c r="J25" s="2" t="str">
        <f>IF(AND(STOCKS[[#This Row],[OPEN]]=STOCKS[[#This Row],[DayHigh]]),"SELL",IF(STOCKS[[#This Row],[OPEN]]=STOCKS[[#This Row],[DayLow]],"BUY","-"))</f>
        <v>-</v>
      </c>
      <c r="K25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5" s="2" t="str">
        <f>IF(STOCKS[[#This Row],[PreviousClose]]&lt;STOCKS[[#This Row],[LastPrice]],"BUY","SELL")</f>
        <v>BUY</v>
      </c>
    </row>
    <row r="26" spans="1:12" x14ac:dyDescent="0.25">
      <c r="A26" s="2" t="s">
        <v>52</v>
      </c>
      <c r="B26" s="2">
        <v>1136.3</v>
      </c>
      <c r="C26" s="2">
        <v>1143.5999999999999</v>
      </c>
      <c r="D26" s="2">
        <v>1128.55</v>
      </c>
      <c r="E26" s="2">
        <v>1140.5</v>
      </c>
      <c r="F26" s="2">
        <v>1135.4000000000001</v>
      </c>
      <c r="G26" s="2">
        <v>5.0999999999999996</v>
      </c>
      <c r="H26" s="2">
        <v>0.45</v>
      </c>
      <c r="I26" s="2">
        <v>161720</v>
      </c>
      <c r="J26" s="2" t="str">
        <f>IF(AND(STOCKS[[#This Row],[OPEN]]=STOCKS[[#This Row],[DayHigh]]),"SELL",IF(STOCKS[[#This Row],[OPEN]]=STOCKS[[#This Row],[DayLow]],"BUY","-"))</f>
        <v>-</v>
      </c>
      <c r="K26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6" s="2" t="str">
        <f>IF(STOCKS[[#This Row],[PreviousClose]]&lt;STOCKS[[#This Row],[LastPrice]],"BUY","SELL")</f>
        <v>BUY</v>
      </c>
    </row>
    <row r="27" spans="1:12" x14ac:dyDescent="0.25">
      <c r="A27" s="2" t="s">
        <v>36</v>
      </c>
      <c r="B27" s="2">
        <v>2800</v>
      </c>
      <c r="C27" s="2">
        <v>2801.25</v>
      </c>
      <c r="D27" s="2">
        <v>2775</v>
      </c>
      <c r="E27" s="2">
        <v>2793.6</v>
      </c>
      <c r="F27" s="2">
        <v>2781.6</v>
      </c>
      <c r="G27" s="2">
        <v>12</v>
      </c>
      <c r="H27" s="2">
        <v>0.43</v>
      </c>
      <c r="I27" s="2">
        <v>102040</v>
      </c>
      <c r="J27" s="2" t="str">
        <f>IF(AND(STOCKS[[#This Row],[OPEN]]=STOCKS[[#This Row],[DayHigh]]),"SELL",IF(STOCKS[[#This Row],[OPEN]]=STOCKS[[#This Row],[DayLow]],"BUY","-"))</f>
        <v>-</v>
      </c>
      <c r="K27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7" s="2" t="str">
        <f>IF(STOCKS[[#This Row],[PreviousClose]]&lt;STOCKS[[#This Row],[LastPrice]],"BUY","SELL")</f>
        <v>BUY</v>
      </c>
    </row>
    <row r="28" spans="1:12" x14ac:dyDescent="0.25">
      <c r="A28" s="2" t="s">
        <v>15</v>
      </c>
      <c r="B28" s="2">
        <v>3326</v>
      </c>
      <c r="C28" s="2">
        <v>3359.9</v>
      </c>
      <c r="D28" s="2">
        <v>3326</v>
      </c>
      <c r="E28" s="2">
        <v>3358.35</v>
      </c>
      <c r="F28" s="2">
        <v>3344.2</v>
      </c>
      <c r="G28" s="2">
        <v>14.15</v>
      </c>
      <c r="H28" s="2">
        <v>0.42</v>
      </c>
      <c r="I28" s="2">
        <v>215759</v>
      </c>
      <c r="J28" s="2" t="str">
        <f>IF(AND(STOCKS[[#This Row],[OPEN]]=STOCKS[[#This Row],[DayHigh]]),"SELL",IF(STOCKS[[#This Row],[OPEN]]=STOCKS[[#This Row],[DayLow]],"BUY","-"))</f>
        <v>BUY</v>
      </c>
      <c r="K28" s="2">
        <f>IF((STOCKS[[#This Row],[OPEN]]=STOCKS[[#This Row],[DayHigh]]),STOCKS[[#This Row],[LastPrice]]-STOCKS[[#This Row],[DayHigh]],IF(STOCKS[[#This Row],[OPEN]]=STOCKS[[#This Row],[DayLow]],STOCKS[[#This Row],[LastPrice]]-STOCKS[[#This Row],[DayLow]],"-"))</f>
        <v>32.349999999999909</v>
      </c>
      <c r="L28" s="2" t="str">
        <f>IF(STOCKS[[#This Row],[PreviousClose]]&lt;STOCKS[[#This Row],[LastPrice]],"BUY","SELL")</f>
        <v>BUY</v>
      </c>
    </row>
    <row r="29" spans="1:12" x14ac:dyDescent="0.25">
      <c r="A29" s="2" t="s">
        <v>29</v>
      </c>
      <c r="B29" s="2">
        <v>602</v>
      </c>
      <c r="C29" s="2">
        <v>605.85</v>
      </c>
      <c r="D29" s="2">
        <v>600.65</v>
      </c>
      <c r="E29" s="2">
        <v>603.54999999999995</v>
      </c>
      <c r="F29" s="2">
        <v>601.25</v>
      </c>
      <c r="G29" s="2">
        <v>2.2999999999999998</v>
      </c>
      <c r="H29" s="2">
        <v>0.38</v>
      </c>
      <c r="I29" s="2">
        <v>962338</v>
      </c>
      <c r="J29" s="2" t="str">
        <f>IF(AND(STOCKS[[#This Row],[OPEN]]=STOCKS[[#This Row],[DayHigh]]),"SELL",IF(STOCKS[[#This Row],[OPEN]]=STOCKS[[#This Row],[DayLow]],"BUY","-"))</f>
        <v>-</v>
      </c>
      <c r="K29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29" s="2" t="str">
        <f>IF(STOCKS[[#This Row],[PreviousClose]]&lt;STOCKS[[#This Row],[LastPrice]],"BUY","SELL")</f>
        <v>BUY</v>
      </c>
    </row>
    <row r="30" spans="1:12" x14ac:dyDescent="0.25">
      <c r="A30" s="2" t="s">
        <v>45</v>
      </c>
      <c r="B30" s="2">
        <v>210.25</v>
      </c>
      <c r="C30" s="2">
        <v>214.2</v>
      </c>
      <c r="D30" s="2">
        <v>209</v>
      </c>
      <c r="E30" s="2">
        <v>209.35</v>
      </c>
      <c r="F30" s="2">
        <v>208.65</v>
      </c>
      <c r="G30" s="2">
        <v>0.7</v>
      </c>
      <c r="H30" s="2">
        <v>0.34</v>
      </c>
      <c r="I30" s="2">
        <v>13778705</v>
      </c>
      <c r="J30" s="2" t="str">
        <f>IF(AND(STOCKS[[#This Row],[OPEN]]=STOCKS[[#This Row],[DayHigh]]),"SELL",IF(STOCKS[[#This Row],[OPEN]]=STOCKS[[#This Row],[DayLow]],"BUY","-"))</f>
        <v>-</v>
      </c>
      <c r="K30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0" s="2" t="str">
        <f>IF(STOCKS[[#This Row],[PreviousClose]]&lt;STOCKS[[#This Row],[LastPrice]],"BUY","SELL")</f>
        <v>BUY</v>
      </c>
    </row>
    <row r="31" spans="1:12" x14ac:dyDescent="0.25">
      <c r="A31" s="2" t="s">
        <v>48</v>
      </c>
      <c r="B31" s="2">
        <v>430</v>
      </c>
      <c r="C31" s="2">
        <v>430.45</v>
      </c>
      <c r="D31" s="2">
        <v>425.3</v>
      </c>
      <c r="E31" s="2">
        <v>429.05</v>
      </c>
      <c r="F31" s="2">
        <v>428.05</v>
      </c>
      <c r="G31" s="2">
        <v>1</v>
      </c>
      <c r="H31" s="2">
        <v>0.23</v>
      </c>
      <c r="I31" s="2">
        <v>4287148</v>
      </c>
      <c r="J31" s="2" t="str">
        <f>IF(AND(STOCKS[[#This Row],[OPEN]]=STOCKS[[#This Row],[DayHigh]]),"SELL",IF(STOCKS[[#This Row],[OPEN]]=STOCKS[[#This Row],[DayLow]],"BUY","-"))</f>
        <v>-</v>
      </c>
      <c r="K31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1" s="2" t="str">
        <f>IF(STOCKS[[#This Row],[PreviousClose]]&lt;STOCKS[[#This Row],[LastPrice]],"BUY","SELL")</f>
        <v>BUY</v>
      </c>
    </row>
    <row r="32" spans="1:12" x14ac:dyDescent="0.25">
      <c r="A32" s="2" t="s">
        <v>25</v>
      </c>
      <c r="B32" s="2">
        <v>1497</v>
      </c>
      <c r="C32" s="2">
        <v>1507.6</v>
      </c>
      <c r="D32" s="2">
        <v>1489.3</v>
      </c>
      <c r="E32" s="2">
        <v>1497.8</v>
      </c>
      <c r="F32" s="2">
        <v>1494.95</v>
      </c>
      <c r="G32" s="2">
        <v>2.85</v>
      </c>
      <c r="H32" s="2">
        <v>0.19</v>
      </c>
      <c r="I32" s="2">
        <v>1352567</v>
      </c>
      <c r="J32" s="2" t="str">
        <f>IF(AND(STOCKS[[#This Row],[OPEN]]=STOCKS[[#This Row],[DayHigh]]),"SELL",IF(STOCKS[[#This Row],[OPEN]]=STOCKS[[#This Row],[DayLow]],"BUY","-"))</f>
        <v>-</v>
      </c>
      <c r="K32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2" s="2" t="str">
        <f>IF(STOCKS[[#This Row],[PreviousClose]]&lt;STOCKS[[#This Row],[LastPrice]],"BUY","SELL")</f>
        <v>BUY</v>
      </c>
    </row>
    <row r="33" spans="1:12" x14ac:dyDescent="0.25">
      <c r="A33" s="2" t="s">
        <v>44</v>
      </c>
      <c r="B33" s="2">
        <v>104.65</v>
      </c>
      <c r="C33" s="2">
        <v>105.5</v>
      </c>
      <c r="D33" s="2">
        <v>104.35</v>
      </c>
      <c r="E33" s="2">
        <v>104.8</v>
      </c>
      <c r="F33" s="2">
        <v>104.65</v>
      </c>
      <c r="G33" s="2">
        <v>0.15</v>
      </c>
      <c r="H33" s="2">
        <v>0.14000000000000001</v>
      </c>
      <c r="I33" s="2">
        <v>2847037</v>
      </c>
      <c r="J33" s="2" t="str">
        <f>IF(AND(STOCKS[[#This Row],[OPEN]]=STOCKS[[#This Row],[DayHigh]]),"SELL",IF(STOCKS[[#This Row],[OPEN]]=STOCKS[[#This Row],[DayLow]],"BUY","-"))</f>
        <v>-</v>
      </c>
      <c r="K33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3" s="2" t="str">
        <f>IF(STOCKS[[#This Row],[PreviousClose]]&lt;STOCKS[[#This Row],[LastPrice]],"BUY","SELL")</f>
        <v>BUY</v>
      </c>
    </row>
    <row r="34" spans="1:12" x14ac:dyDescent="0.25">
      <c r="A34" s="2" t="s">
        <v>30</v>
      </c>
      <c r="B34" s="2">
        <v>116.95</v>
      </c>
      <c r="C34" s="2">
        <v>118.05</v>
      </c>
      <c r="D34" s="2">
        <v>116.55</v>
      </c>
      <c r="E34" s="2">
        <v>117.1</v>
      </c>
      <c r="F34" s="2">
        <v>116.95</v>
      </c>
      <c r="G34" s="2">
        <v>0.15</v>
      </c>
      <c r="H34" s="2">
        <v>0.13</v>
      </c>
      <c r="I34" s="2">
        <v>1681764</v>
      </c>
      <c r="J34" s="2" t="str">
        <f>IF(AND(STOCKS[[#This Row],[OPEN]]=STOCKS[[#This Row],[DayHigh]]),"SELL",IF(STOCKS[[#This Row],[OPEN]]=STOCKS[[#This Row],[DayLow]],"BUY","-"))</f>
        <v>-</v>
      </c>
      <c r="K34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4" s="2" t="str">
        <f>IF(STOCKS[[#This Row],[PreviousClose]]&lt;STOCKS[[#This Row],[LastPrice]],"BUY","SELL")</f>
        <v>BUY</v>
      </c>
    </row>
    <row r="35" spans="1:12" x14ac:dyDescent="0.25">
      <c r="A35" s="2" t="s">
        <v>28</v>
      </c>
      <c r="B35" s="2">
        <v>2974</v>
      </c>
      <c r="C35" s="2">
        <v>2985.25</v>
      </c>
      <c r="D35" s="2">
        <v>2958</v>
      </c>
      <c r="E35" s="2">
        <v>2976.3</v>
      </c>
      <c r="F35" s="2">
        <v>2972.6</v>
      </c>
      <c r="G35" s="2">
        <v>3.7</v>
      </c>
      <c r="H35" s="2">
        <v>0.12</v>
      </c>
      <c r="I35" s="2">
        <v>149367</v>
      </c>
      <c r="J35" s="2" t="str">
        <f>IF(AND(STOCKS[[#This Row],[OPEN]]=STOCKS[[#This Row],[DayHigh]]),"SELL",IF(STOCKS[[#This Row],[OPEN]]=STOCKS[[#This Row],[DayLow]],"BUY","-"))</f>
        <v>-</v>
      </c>
      <c r="K35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5" s="2" t="str">
        <f>IF(STOCKS[[#This Row],[PreviousClose]]&lt;STOCKS[[#This Row],[LastPrice]],"BUY","SELL")</f>
        <v>BUY</v>
      </c>
    </row>
    <row r="36" spans="1:12" x14ac:dyDescent="0.25">
      <c r="A36" s="2" t="s">
        <v>54</v>
      </c>
      <c r="B36" s="2">
        <v>14210</v>
      </c>
      <c r="C36" s="2">
        <v>14273.85</v>
      </c>
      <c r="D36" s="2">
        <v>14130</v>
      </c>
      <c r="E36" s="2">
        <v>14221.25</v>
      </c>
      <c r="F36" s="2">
        <v>14206.2</v>
      </c>
      <c r="G36" s="2">
        <v>15.05</v>
      </c>
      <c r="H36" s="2">
        <v>0.11</v>
      </c>
      <c r="I36" s="2">
        <v>39834</v>
      </c>
      <c r="J36" s="2" t="str">
        <f>IF(AND(STOCKS[[#This Row],[OPEN]]=STOCKS[[#This Row],[DayHigh]]),"SELL",IF(STOCKS[[#This Row],[OPEN]]=STOCKS[[#This Row],[DayLow]],"BUY","-"))</f>
        <v>-</v>
      </c>
      <c r="K36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6" s="2" t="str">
        <f>IF(STOCKS[[#This Row],[PreviousClose]]&lt;STOCKS[[#This Row],[LastPrice]],"BUY","SELL")</f>
        <v>BUY</v>
      </c>
    </row>
    <row r="37" spans="1:12" x14ac:dyDescent="0.25">
      <c r="A37" s="2" t="s">
        <v>50</v>
      </c>
      <c r="B37" s="2">
        <v>623</v>
      </c>
      <c r="C37" s="2">
        <v>628.95000000000005</v>
      </c>
      <c r="D37" s="2">
        <v>619.29999999999995</v>
      </c>
      <c r="E37" s="2">
        <v>621.29999999999995</v>
      </c>
      <c r="F37" s="2">
        <v>620.85</v>
      </c>
      <c r="G37" s="2">
        <v>0.45</v>
      </c>
      <c r="H37" s="2">
        <v>7.0000000000000007E-2</v>
      </c>
      <c r="I37" s="2">
        <v>2816512</v>
      </c>
      <c r="J37" s="2" t="str">
        <f>IF(AND(STOCKS[[#This Row],[OPEN]]=STOCKS[[#This Row],[DayHigh]]),"SELL",IF(STOCKS[[#This Row],[OPEN]]=STOCKS[[#This Row],[DayLow]],"BUY","-"))</f>
        <v>-</v>
      </c>
      <c r="K37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7" s="2" t="str">
        <f>IF(STOCKS[[#This Row],[PreviousClose]]&lt;STOCKS[[#This Row],[LastPrice]],"BUY","SELL")</f>
        <v>BUY</v>
      </c>
    </row>
    <row r="38" spans="1:12" x14ac:dyDescent="0.25">
      <c r="A38" s="2" t="s">
        <v>17</v>
      </c>
      <c r="B38" s="2">
        <v>1679.15</v>
      </c>
      <c r="C38" s="2">
        <v>1682.95</v>
      </c>
      <c r="D38" s="2">
        <v>1674</v>
      </c>
      <c r="E38" s="2">
        <v>1678.05</v>
      </c>
      <c r="F38" s="2">
        <v>1677.55</v>
      </c>
      <c r="G38" s="2">
        <v>0.5</v>
      </c>
      <c r="H38" s="2">
        <v>0.03</v>
      </c>
      <c r="I38" s="2">
        <v>735691</v>
      </c>
      <c r="J38" s="2" t="str">
        <f>IF(AND(STOCKS[[#This Row],[OPEN]]=STOCKS[[#This Row],[DayHigh]]),"SELL",IF(STOCKS[[#This Row],[OPEN]]=STOCKS[[#This Row],[DayLow]],"BUY","-"))</f>
        <v>-</v>
      </c>
      <c r="K38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8" s="2" t="str">
        <f>IF(STOCKS[[#This Row],[PreviousClose]]&lt;STOCKS[[#This Row],[LastPrice]],"BUY","SELL")</f>
        <v>BUY</v>
      </c>
    </row>
    <row r="39" spans="1:12" x14ac:dyDescent="0.25">
      <c r="A39" s="2" t="s">
        <v>51</v>
      </c>
      <c r="B39" s="2">
        <v>912</v>
      </c>
      <c r="C39" s="2">
        <v>915.45</v>
      </c>
      <c r="D39" s="2">
        <v>905.85</v>
      </c>
      <c r="E39" s="2">
        <v>909.95</v>
      </c>
      <c r="F39" s="2">
        <v>909.85</v>
      </c>
      <c r="G39" s="2">
        <v>0.1</v>
      </c>
      <c r="H39" s="2">
        <v>0.01</v>
      </c>
      <c r="I39" s="2">
        <v>415401</v>
      </c>
      <c r="J39" s="2" t="str">
        <f>IF(AND(STOCKS[[#This Row],[OPEN]]=STOCKS[[#This Row],[DayHigh]]),"SELL",IF(STOCKS[[#This Row],[OPEN]]=STOCKS[[#This Row],[DayLow]],"BUY","-"))</f>
        <v>-</v>
      </c>
      <c r="K39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39" s="2" t="str">
        <f>IF(STOCKS[[#This Row],[PreviousClose]]&lt;STOCKS[[#This Row],[LastPrice]],"BUY","SELL")</f>
        <v>BUY</v>
      </c>
    </row>
    <row r="40" spans="1:12" x14ac:dyDescent="0.25">
      <c r="A40" s="2" t="s">
        <v>57</v>
      </c>
      <c r="B40" s="2">
        <v>4929.95</v>
      </c>
      <c r="C40" s="2">
        <v>4929.95</v>
      </c>
      <c r="D40" s="2">
        <v>4872</v>
      </c>
      <c r="E40" s="2">
        <v>4918.55</v>
      </c>
      <c r="F40" s="2">
        <v>4919.1000000000004</v>
      </c>
      <c r="G40" s="2">
        <v>-0.55000000000000004</v>
      </c>
      <c r="H40" s="2">
        <v>-0.01</v>
      </c>
      <c r="I40" s="2">
        <v>64676</v>
      </c>
      <c r="J40" s="2" t="str">
        <f>IF(AND(STOCKS[[#This Row],[OPEN]]=STOCKS[[#This Row],[DayHigh]]),"SELL",IF(STOCKS[[#This Row],[OPEN]]=STOCKS[[#This Row],[DayLow]],"BUY","-"))</f>
        <v>SELL</v>
      </c>
      <c r="K40" s="2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-11.399999999999636</v>
      </c>
      <c r="L40" s="2" t="str">
        <f>IF(STOCKS[[#This Row],[PreviousClose]]&lt;STOCKS[[#This Row],[LastPrice]],"BUY","SELL")</f>
        <v>SELL</v>
      </c>
    </row>
    <row r="41" spans="1:12" x14ac:dyDescent="0.25">
      <c r="A41" s="2" t="s">
        <v>32</v>
      </c>
      <c r="B41" s="2">
        <v>2656.6</v>
      </c>
      <c r="C41" s="2">
        <v>2675.25</v>
      </c>
      <c r="D41" s="2">
        <v>2646.6</v>
      </c>
      <c r="E41" s="2">
        <v>2657.65</v>
      </c>
      <c r="F41" s="2">
        <v>2658.5</v>
      </c>
      <c r="G41" s="2">
        <v>-0.85</v>
      </c>
      <c r="H41" s="2">
        <v>-0.03</v>
      </c>
      <c r="I41" s="2">
        <v>418096</v>
      </c>
      <c r="J41" s="2" t="str">
        <f>IF(AND(STOCKS[[#This Row],[OPEN]]=STOCKS[[#This Row],[DayHigh]]),"SELL",IF(STOCKS[[#This Row],[OPEN]]=STOCKS[[#This Row],[DayLow]],"BUY","-"))</f>
        <v>-</v>
      </c>
      <c r="K41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1" s="2" t="str">
        <f>IF(STOCKS[[#This Row],[PreviousClose]]&lt;STOCKS[[#This Row],[LastPrice]],"BUY","SELL")</f>
        <v>SELL</v>
      </c>
    </row>
    <row r="42" spans="1:12" x14ac:dyDescent="0.25">
      <c r="A42" s="2" t="s">
        <v>34</v>
      </c>
      <c r="B42" s="2">
        <v>18180.8</v>
      </c>
      <c r="C42" s="2">
        <v>18221.400000000001</v>
      </c>
      <c r="D42" s="2">
        <v>18100.8</v>
      </c>
      <c r="E42" s="2">
        <v>18159.599999999999</v>
      </c>
      <c r="F42" s="2">
        <v>18167.8</v>
      </c>
      <c r="G42" s="2">
        <v>-8.1999999999999993</v>
      </c>
      <c r="H42" s="2">
        <v>-0.05</v>
      </c>
      <c r="I42" s="2">
        <v>2947</v>
      </c>
      <c r="J42" s="2" t="str">
        <f>IF(AND(STOCKS[[#This Row],[OPEN]]=STOCKS[[#This Row],[DayHigh]]),"SELL",IF(STOCKS[[#This Row],[OPEN]]=STOCKS[[#This Row],[DayLow]],"BUY","-"))</f>
        <v>-</v>
      </c>
      <c r="K42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2" s="2" t="str">
        <f>IF(STOCKS[[#This Row],[PreviousClose]]&lt;STOCKS[[#This Row],[LastPrice]],"BUY","SELL")</f>
        <v>SELL</v>
      </c>
    </row>
    <row r="43" spans="1:12" x14ac:dyDescent="0.25">
      <c r="A43" s="2" t="s">
        <v>16</v>
      </c>
      <c r="B43" s="2">
        <v>2124.9</v>
      </c>
      <c r="C43" s="2">
        <v>2126.1999999999998</v>
      </c>
      <c r="D43" s="2">
        <v>2110</v>
      </c>
      <c r="E43" s="2">
        <v>2114.0500000000002</v>
      </c>
      <c r="F43" s="2">
        <v>2117.3000000000002</v>
      </c>
      <c r="G43" s="2">
        <v>-3.25</v>
      </c>
      <c r="H43" s="2">
        <v>-0.15</v>
      </c>
      <c r="I43" s="2">
        <v>931154</v>
      </c>
      <c r="J43" s="2" t="str">
        <f>IF(AND(STOCKS[[#This Row],[OPEN]]=STOCKS[[#This Row],[DayHigh]]),"SELL",IF(STOCKS[[#This Row],[OPEN]]=STOCKS[[#This Row],[DayLow]],"BUY","-"))</f>
        <v>-</v>
      </c>
      <c r="K43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3" s="2" t="str">
        <f>IF(STOCKS[[#This Row],[PreviousClose]]&lt;STOCKS[[#This Row],[LastPrice]],"BUY","SELL")</f>
        <v>SELL</v>
      </c>
    </row>
    <row r="44" spans="1:12" x14ac:dyDescent="0.25">
      <c r="A44" s="2" t="s">
        <v>11</v>
      </c>
      <c r="B44" s="2">
        <v>753.05</v>
      </c>
      <c r="C44" s="2">
        <v>754.3</v>
      </c>
      <c r="D44" s="2">
        <v>746.05</v>
      </c>
      <c r="E44" s="2">
        <v>747.85</v>
      </c>
      <c r="F44" s="2">
        <v>749.1</v>
      </c>
      <c r="G44" s="2">
        <v>-1.25</v>
      </c>
      <c r="H44" s="2">
        <v>-0.17</v>
      </c>
      <c r="I44" s="2">
        <v>1222306</v>
      </c>
      <c r="J44" s="2" t="str">
        <f>IF(AND(STOCKS[[#This Row],[OPEN]]=STOCKS[[#This Row],[DayHigh]]),"SELL",IF(STOCKS[[#This Row],[OPEN]]=STOCKS[[#This Row],[DayLow]],"BUY","-"))</f>
        <v>-</v>
      </c>
      <c r="K44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4" s="2" t="str">
        <f>IF(STOCKS[[#This Row],[PreviousClose]]&lt;STOCKS[[#This Row],[LastPrice]],"BUY","SELL")</f>
        <v>SELL</v>
      </c>
    </row>
    <row r="45" spans="1:12" x14ac:dyDescent="0.25">
      <c r="A45" s="2" t="s">
        <v>38</v>
      </c>
      <c r="B45" s="2">
        <v>1775.1</v>
      </c>
      <c r="C45" s="2">
        <v>1787.75</v>
      </c>
      <c r="D45" s="2">
        <v>1762</v>
      </c>
      <c r="E45" s="2">
        <v>1777.55</v>
      </c>
      <c r="F45" s="2">
        <v>1780.6</v>
      </c>
      <c r="G45" s="2">
        <v>-3.05</v>
      </c>
      <c r="H45" s="2">
        <v>-0.17</v>
      </c>
      <c r="I45" s="2">
        <v>429819</v>
      </c>
      <c r="J45" s="2" t="str">
        <f>IF(AND(STOCKS[[#This Row],[OPEN]]=STOCKS[[#This Row],[DayHigh]]),"SELL",IF(STOCKS[[#This Row],[OPEN]]=STOCKS[[#This Row],[DayLow]],"BUY","-"))</f>
        <v>-</v>
      </c>
      <c r="K45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5" s="2" t="str">
        <f>IF(STOCKS[[#This Row],[PreviousClose]]&lt;STOCKS[[#This Row],[LastPrice]],"BUY","SELL")</f>
        <v>SELL</v>
      </c>
    </row>
    <row r="46" spans="1:12" x14ac:dyDescent="0.25">
      <c r="A46" s="2" t="s">
        <v>37</v>
      </c>
      <c r="B46" s="2">
        <v>116.1</v>
      </c>
      <c r="C46" s="2">
        <v>117.9</v>
      </c>
      <c r="D46" s="2">
        <v>115.6</v>
      </c>
      <c r="E46" s="2">
        <v>116.75</v>
      </c>
      <c r="F46" s="2">
        <v>117</v>
      </c>
      <c r="G46" s="2">
        <v>-0.25</v>
      </c>
      <c r="H46" s="2">
        <v>-0.21</v>
      </c>
      <c r="I46" s="2">
        <v>3854084</v>
      </c>
      <c r="J46" s="2" t="str">
        <f>IF(AND(STOCKS[[#This Row],[OPEN]]=STOCKS[[#This Row],[DayHigh]]),"SELL",IF(STOCKS[[#This Row],[OPEN]]=STOCKS[[#This Row],[DayLow]],"BUY","-"))</f>
        <v>-</v>
      </c>
      <c r="K46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6" s="2" t="str">
        <f>IF(STOCKS[[#This Row],[PreviousClose]]&lt;STOCKS[[#This Row],[LastPrice]],"BUY","SELL")</f>
        <v>SELL</v>
      </c>
    </row>
    <row r="47" spans="1:12" x14ac:dyDescent="0.25">
      <c r="A47" s="2" t="s">
        <v>109</v>
      </c>
      <c r="B47" s="2">
        <v>4749.3999999999996</v>
      </c>
      <c r="C47" s="2">
        <v>4749.3999999999996</v>
      </c>
      <c r="D47" s="2">
        <v>4703.95</v>
      </c>
      <c r="E47" s="2">
        <v>4733.3</v>
      </c>
      <c r="F47" s="2">
        <v>4744.8500000000004</v>
      </c>
      <c r="G47" s="2">
        <v>-11.55</v>
      </c>
      <c r="H47" s="2">
        <v>-0.24</v>
      </c>
      <c r="I47" s="2">
        <v>118868</v>
      </c>
      <c r="J47" s="2" t="str">
        <f>IF(AND(STOCKS[[#This Row],[OPEN]]=STOCKS[[#This Row],[DayHigh]]),"SELL",IF(STOCKS[[#This Row],[OPEN]]=STOCKS[[#This Row],[DayLow]],"BUY","-"))</f>
        <v>SELL</v>
      </c>
      <c r="K47" s="2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-16.099999999999454</v>
      </c>
      <c r="L47" s="2" t="str">
        <f>IF(STOCKS[[#This Row],[PreviousClose]]&lt;STOCKS[[#This Row],[LastPrice]],"BUY","SELL")</f>
        <v>SELL</v>
      </c>
    </row>
    <row r="48" spans="1:12" x14ac:dyDescent="0.25">
      <c r="A48" s="2" t="s">
        <v>58</v>
      </c>
      <c r="B48" s="2">
        <v>759</v>
      </c>
      <c r="C48" s="2">
        <v>763.4</v>
      </c>
      <c r="D48" s="2">
        <v>756</v>
      </c>
      <c r="E48" s="2">
        <v>758.9</v>
      </c>
      <c r="F48" s="2">
        <v>760.8</v>
      </c>
      <c r="G48" s="2">
        <v>-1.9</v>
      </c>
      <c r="H48" s="2">
        <v>-0.25</v>
      </c>
      <c r="I48" s="2">
        <v>885359</v>
      </c>
      <c r="J48" s="2" t="str">
        <f>IF(AND(STOCKS[[#This Row],[OPEN]]=STOCKS[[#This Row],[DayHigh]]),"SELL",IF(STOCKS[[#This Row],[OPEN]]=STOCKS[[#This Row],[DayLow]],"BUY","-"))</f>
        <v>-</v>
      </c>
      <c r="K48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8" s="2" t="str">
        <f>IF(STOCKS[[#This Row],[PreviousClose]]&lt;STOCKS[[#This Row],[LastPrice]],"BUY","SELL")</f>
        <v>SELL</v>
      </c>
    </row>
    <row r="49" spans="1:12" x14ac:dyDescent="0.25">
      <c r="A49" s="2" t="s">
        <v>47</v>
      </c>
      <c r="B49" s="2">
        <v>3634.4</v>
      </c>
      <c r="C49" s="2">
        <v>3642.95</v>
      </c>
      <c r="D49" s="2">
        <v>3607.5</v>
      </c>
      <c r="E49" s="2">
        <v>3616.1</v>
      </c>
      <c r="F49" s="2">
        <v>3625.5</v>
      </c>
      <c r="G49" s="2">
        <v>-9.4</v>
      </c>
      <c r="H49" s="2">
        <v>-0.26</v>
      </c>
      <c r="I49" s="2">
        <v>32293</v>
      </c>
      <c r="J49" s="2" t="str">
        <f>IF(AND(STOCKS[[#This Row],[OPEN]]=STOCKS[[#This Row],[DayHigh]]),"SELL",IF(STOCKS[[#This Row],[OPEN]]=STOCKS[[#This Row],[DayLow]],"BUY","-"))</f>
        <v>-</v>
      </c>
      <c r="K49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49" s="2" t="str">
        <f>IF(STOCKS[[#This Row],[PreviousClose]]&lt;STOCKS[[#This Row],[LastPrice]],"BUY","SELL")</f>
        <v>SELL</v>
      </c>
    </row>
    <row r="50" spans="1:12" x14ac:dyDescent="0.25">
      <c r="A50" s="2" t="s">
        <v>10</v>
      </c>
      <c r="B50" s="2">
        <v>1436</v>
      </c>
      <c r="C50" s="2">
        <v>1437.3</v>
      </c>
      <c r="D50" s="2">
        <v>1416.55</v>
      </c>
      <c r="E50" s="2">
        <v>1420.6</v>
      </c>
      <c r="F50" s="2">
        <v>1426.2</v>
      </c>
      <c r="G50" s="2">
        <v>-5.6</v>
      </c>
      <c r="H50" s="2">
        <v>-0.39</v>
      </c>
      <c r="I50" s="2">
        <v>3815934</v>
      </c>
      <c r="J50" s="2" t="str">
        <f>IF(AND(STOCKS[[#This Row],[OPEN]]=STOCKS[[#This Row],[DayHigh]]),"SELL",IF(STOCKS[[#This Row],[OPEN]]=STOCKS[[#This Row],[DayLow]],"BUY","-"))</f>
        <v>-</v>
      </c>
      <c r="K50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50" s="2" t="str">
        <f>IF(STOCKS[[#This Row],[PreviousClose]]&lt;STOCKS[[#This Row],[LastPrice]],"BUY","SELL")</f>
        <v>SELL</v>
      </c>
    </row>
    <row r="51" spans="1:12" x14ac:dyDescent="0.25">
      <c r="A51" s="2" t="s">
        <v>56</v>
      </c>
      <c r="B51" s="2">
        <v>1046.45</v>
      </c>
      <c r="C51" s="2">
        <v>1047.1500000000001</v>
      </c>
      <c r="D51" s="2">
        <v>1032.25</v>
      </c>
      <c r="E51" s="2">
        <v>1036.95</v>
      </c>
      <c r="F51" s="2">
        <v>1041.2</v>
      </c>
      <c r="G51" s="2">
        <v>-4.25</v>
      </c>
      <c r="H51" s="2">
        <v>-0.41</v>
      </c>
      <c r="I51" s="2">
        <v>859571</v>
      </c>
      <c r="J51" s="2" t="str">
        <f>IF(AND(STOCKS[[#This Row],[OPEN]]=STOCKS[[#This Row],[DayHigh]]),"SELL",IF(STOCKS[[#This Row],[OPEN]]=STOCKS[[#This Row],[DayLow]],"BUY","-"))</f>
        <v>-</v>
      </c>
      <c r="K51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51" s="2" t="str">
        <f>IF(STOCKS[[#This Row],[PreviousClose]]&lt;STOCKS[[#This Row],[LastPrice]],"BUY","SELL")</f>
        <v>SELL</v>
      </c>
    </row>
    <row r="52" spans="1:12" x14ac:dyDescent="0.25">
      <c r="A52" s="2" t="s">
        <v>20</v>
      </c>
      <c r="B52" s="2">
        <v>2734</v>
      </c>
      <c r="C52" s="2">
        <v>2739.9</v>
      </c>
      <c r="D52" s="2">
        <v>2693</v>
      </c>
      <c r="E52" s="2">
        <v>2707</v>
      </c>
      <c r="F52" s="2">
        <v>2718.25</v>
      </c>
      <c r="G52" s="2">
        <v>-11.25</v>
      </c>
      <c r="H52" s="2">
        <v>-0.41</v>
      </c>
      <c r="I52" s="2">
        <v>177305</v>
      </c>
      <c r="J52" s="2" t="str">
        <f>IF(AND(STOCKS[[#This Row],[OPEN]]=STOCKS[[#This Row],[DayHigh]]),"SELL",IF(STOCKS[[#This Row],[OPEN]]=STOCKS[[#This Row],[DayLow]],"BUY","-"))</f>
        <v>-</v>
      </c>
      <c r="K52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52" s="2" t="str">
        <f>IF(STOCKS[[#This Row],[PreviousClose]]&lt;STOCKS[[#This Row],[LastPrice]],"BUY","SELL")</f>
        <v>SELL</v>
      </c>
    </row>
    <row r="53" spans="1:12" x14ac:dyDescent="0.25">
      <c r="A53" s="2" t="s">
        <v>22</v>
      </c>
      <c r="B53" s="2">
        <v>780</v>
      </c>
      <c r="C53" s="2">
        <v>781.25</v>
      </c>
      <c r="D53" s="2">
        <v>773.15</v>
      </c>
      <c r="E53" s="2">
        <v>775.9</v>
      </c>
      <c r="F53" s="2">
        <v>779.55</v>
      </c>
      <c r="G53" s="2">
        <v>-3.65</v>
      </c>
      <c r="H53" s="2">
        <v>-0.47</v>
      </c>
      <c r="I53" s="2">
        <v>733187</v>
      </c>
      <c r="J53" s="2" t="str">
        <f>IF(AND(STOCKS[[#This Row],[OPEN]]=STOCKS[[#This Row],[DayHigh]]),"SELL",IF(STOCKS[[#This Row],[OPEN]]=STOCKS[[#This Row],[DayLow]],"BUY","-"))</f>
        <v>-</v>
      </c>
      <c r="K53" s="2" t="str">
        <f>IF((STOCKS[[#This Row],[OPEN]]=STOCKS[[#This Row],[DayHigh]]),STOCKS[[#This Row],[LastPrice]]-STOCKS[[#This Row],[DayHigh]],IF(STOCKS[[#This Row],[OPEN]]=STOCKS[[#This Row],[DayLow]],STOCKS[[#This Row],[LastPrice]]-STOCKS[[#This Row],[DayLow]],"-"))</f>
        <v>-</v>
      </c>
      <c r="L53" s="2" t="str">
        <f>IF(STOCKS[[#This Row],[PreviousClose]]&lt;STOCKS[[#This Row],[LastPrice]],"BUY","SELL")</f>
        <v>SELL</v>
      </c>
    </row>
  </sheetData>
  <phoneticPr fontId="9" type="noConversion"/>
  <conditionalFormatting sqref="G1:G1048576">
    <cfRule type="colorScale" priority="3">
      <colorScale>
        <cfvo type="num" val="0"/>
        <cfvo type="num" val="20"/>
        <cfvo type="num" val="50"/>
        <color rgb="FFF8696B"/>
        <color rgb="FFFFEB84"/>
        <color rgb="FF63BE7B"/>
      </colorScale>
    </cfRule>
  </conditionalFormatting>
  <conditionalFormatting sqref="J1:J1048576">
    <cfRule type="cellIs" dxfId="78" priority="1" operator="equal">
      <formula>"SELL"</formula>
    </cfRule>
    <cfRule type="cellIs" dxfId="77" priority="2" operator="equal">
      <formula>"BUY"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0DB7A7C8-D261-4866-BA66-6770F202EA50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0.5</xm:f>
              </x14:cfvo>
            </x14:iconSet>
          </x14:cfRule>
          <xm:sqref>H1:H1048576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EA6A"/>
  </sheetPr>
  <dimension ref="A1:Q72"/>
  <sheetViews>
    <sheetView workbookViewId="0">
      <pane ySplit="2" topLeftCell="A3" activePane="bottomLeft" state="frozen"/>
      <selection pane="bottomLeft" activeCell="C5" sqref="C5"/>
    </sheetView>
  </sheetViews>
  <sheetFormatPr defaultRowHeight="15" x14ac:dyDescent="0.25"/>
  <cols>
    <col min="1" max="1" width="9.140625" style="9"/>
    <col min="2" max="2" width="16.7109375" style="9" bestFit="1" customWidth="1"/>
    <col min="3" max="3" width="11.42578125" style="9" bestFit="1" customWidth="1"/>
    <col min="4" max="4" width="8.7109375" style="9" customWidth="1"/>
    <col min="5" max="5" width="10.85546875" style="9" customWidth="1"/>
    <col min="6" max="6" width="11.140625" style="9" bestFit="1" customWidth="1"/>
    <col min="7" max="7" width="7.42578125" style="9" customWidth="1"/>
    <col min="8" max="8" width="7.85546875" style="9" customWidth="1"/>
    <col min="9" max="9" width="12" style="9" bestFit="1" customWidth="1"/>
    <col min="10" max="10" width="9" style="9" bestFit="1" customWidth="1"/>
    <col min="11" max="11" width="8.7109375" style="9" customWidth="1"/>
    <col min="12" max="12" width="8.7109375" style="9" bestFit="1" customWidth="1"/>
    <col min="13" max="13" width="11.7109375" style="9" customWidth="1"/>
    <col min="14" max="14" width="10" style="9" bestFit="1" customWidth="1"/>
    <col min="15" max="15" width="8.5703125" style="9" customWidth="1"/>
    <col min="16" max="16" width="16.28515625" style="9" bestFit="1" customWidth="1"/>
    <col min="17" max="17" width="9.140625" style="9"/>
    <col min="18" max="16384" width="9.140625" style="4"/>
  </cols>
  <sheetData>
    <row r="1" spans="1:17" ht="18.75" x14ac:dyDescent="0.25">
      <c r="A1" s="6"/>
      <c r="B1" s="27" t="str">
        <f>B4</f>
        <v>NIFTY 50</v>
      </c>
      <c r="C1" s="33" t="s">
        <v>115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</row>
    <row r="2" spans="1:17" x14ac:dyDescent="0.25">
      <c r="A2" s="6"/>
      <c r="B2" s="13" t="s">
        <v>71</v>
      </c>
      <c r="C2" s="13" t="s">
        <v>72</v>
      </c>
      <c r="D2" s="13" t="s">
        <v>79</v>
      </c>
      <c r="E2" s="13" t="s">
        <v>73</v>
      </c>
      <c r="F2" s="13" t="s">
        <v>74</v>
      </c>
      <c r="G2" s="13" t="s">
        <v>75</v>
      </c>
      <c r="H2" s="13" t="s">
        <v>78</v>
      </c>
      <c r="I2" s="13" t="s">
        <v>76</v>
      </c>
      <c r="J2" s="13" t="s">
        <v>78</v>
      </c>
      <c r="K2" s="13" t="s">
        <v>75</v>
      </c>
      <c r="L2" s="13" t="s">
        <v>74</v>
      </c>
      <c r="M2" s="13" t="s">
        <v>73</v>
      </c>
      <c r="N2" s="13" t="s">
        <v>79</v>
      </c>
      <c r="O2" s="13" t="s">
        <v>80</v>
      </c>
      <c r="P2" s="13" t="s">
        <v>71</v>
      </c>
      <c r="Q2" s="6"/>
    </row>
    <row r="3" spans="1:17" x14ac:dyDescent="0.25">
      <c r="A3" s="6"/>
      <c r="B3" s="21" t="s">
        <v>0</v>
      </c>
      <c r="C3" s="21" t="s">
        <v>61</v>
      </c>
      <c r="D3" s="21" t="s">
        <v>62</v>
      </c>
      <c r="E3" s="21" t="s">
        <v>63</v>
      </c>
      <c r="F3" s="21" t="s">
        <v>64</v>
      </c>
      <c r="G3" s="8"/>
      <c r="H3" s="8"/>
      <c r="I3" s="8"/>
      <c r="J3" s="8"/>
      <c r="K3" s="8"/>
      <c r="L3" s="8"/>
      <c r="M3" s="8"/>
      <c r="N3" s="8"/>
      <c r="O3" s="8"/>
      <c r="P3" s="8"/>
      <c r="Q3" s="6"/>
    </row>
    <row r="4" spans="1:17" ht="15" customHeight="1" x14ac:dyDescent="0.25">
      <c r="A4" s="6"/>
      <c r="B4" s="22" t="s">
        <v>9</v>
      </c>
      <c r="C4" s="26" t="s">
        <v>1807</v>
      </c>
      <c r="D4" s="7" t="str">
        <f>Table6[[#Totals],[Instrument]]</f>
        <v>INDICES</v>
      </c>
      <c r="E4" s="7" t="str">
        <f>IF(B4="NIFTY BANK","25","75")</f>
        <v>75</v>
      </c>
      <c r="F4" s="7" t="str">
        <f>IF(B4="NIFTY BANK","100","50")</f>
        <v>50</v>
      </c>
      <c r="G4" s="8"/>
      <c r="H4" s="8"/>
      <c r="I4" s="8"/>
      <c r="J4" s="8"/>
      <c r="K4" s="8"/>
      <c r="L4" s="34" t="s">
        <v>67</v>
      </c>
      <c r="M4" s="35"/>
      <c r="N4" s="8"/>
      <c r="O4" s="34" t="s">
        <v>68</v>
      </c>
      <c r="P4" s="35"/>
      <c r="Q4" s="6"/>
    </row>
    <row r="5" spans="1:17" ht="15" customHeight="1" x14ac:dyDescent="0.25">
      <c r="A5" s="6"/>
      <c r="B5" s="8"/>
      <c r="C5" s="8"/>
      <c r="D5" s="8"/>
      <c r="E5" s="8"/>
      <c r="F5" s="8"/>
      <c r="G5" s="8"/>
      <c r="H5" s="42">
        <f>O40/C40</f>
        <v>0.76988608042341466</v>
      </c>
      <c r="I5" s="8"/>
      <c r="J5" s="42">
        <f>M40/E40</f>
        <v>0.87368159958580283</v>
      </c>
      <c r="K5" s="8"/>
      <c r="L5" s="36" t="str">
        <f>IF($D$40&gt;=$N$40,"BEARISH","BULLISH")</f>
        <v>BEARISH</v>
      </c>
      <c r="M5" s="37"/>
      <c r="N5" s="8"/>
      <c r="O5" s="36" t="str">
        <f>IF($C$40&gt;=$O$40,"BEARISH","BULLISH")</f>
        <v>BEARISH</v>
      </c>
      <c r="P5" s="37"/>
      <c r="Q5" s="6"/>
    </row>
    <row r="6" spans="1:17" ht="10.5" customHeight="1" x14ac:dyDescent="0.25">
      <c r="A6" s="6"/>
      <c r="B6" s="8"/>
      <c r="C6" s="8"/>
      <c r="D6" s="8"/>
      <c r="E6" s="8"/>
      <c r="F6" s="8"/>
      <c r="G6" s="8"/>
      <c r="H6" s="43"/>
      <c r="I6" s="5" t="s">
        <v>69</v>
      </c>
      <c r="J6" s="43"/>
      <c r="K6" s="8"/>
      <c r="L6" s="8"/>
      <c r="M6" s="8"/>
      <c r="N6" s="8"/>
      <c r="O6" s="8"/>
      <c r="P6" s="8"/>
      <c r="Q6" s="6"/>
    </row>
    <row r="7" spans="1:17" ht="17.25" customHeight="1" x14ac:dyDescent="0.25">
      <c r="A7" s="6"/>
      <c r="B7" s="8"/>
      <c r="C7" s="8"/>
      <c r="D7" s="8"/>
      <c r="E7" s="8"/>
      <c r="F7" s="8"/>
      <c r="G7" s="8"/>
      <c r="H7" s="7" t="s">
        <v>65</v>
      </c>
      <c r="I7" s="16">
        <f>NIFTYOIDATA[[#This Row],[Column1.PE.underlyingValue]]</f>
        <v>16450.5</v>
      </c>
      <c r="J7" s="7" t="s">
        <v>66</v>
      </c>
      <c r="K7" s="8"/>
      <c r="L7" s="8"/>
      <c r="M7" s="8"/>
      <c r="N7" s="8"/>
      <c r="O7" s="8"/>
      <c r="P7" s="8"/>
      <c r="Q7" s="6"/>
    </row>
    <row r="8" spans="1:17" x14ac:dyDescent="0.25">
      <c r="A8" s="6"/>
      <c r="B8" s="38" t="s">
        <v>70</v>
      </c>
      <c r="C8" s="38"/>
      <c r="D8" s="38"/>
      <c r="E8" s="38"/>
      <c r="F8" s="38"/>
      <c r="G8" s="38"/>
      <c r="H8" s="38"/>
      <c r="I8" s="12"/>
      <c r="J8" s="39" t="s">
        <v>77</v>
      </c>
      <c r="K8" s="40"/>
      <c r="L8" s="40"/>
      <c r="M8" s="40"/>
      <c r="N8" s="40"/>
      <c r="O8" s="40"/>
      <c r="P8" s="41"/>
      <c r="Q8" s="6"/>
    </row>
    <row r="9" spans="1:17" x14ac:dyDescent="0.25">
      <c r="A9" s="6"/>
      <c r="B9" s="13" t="s">
        <v>71</v>
      </c>
      <c r="C9" s="13" t="s">
        <v>72</v>
      </c>
      <c r="D9" s="13" t="s">
        <v>79</v>
      </c>
      <c r="E9" s="13" t="s">
        <v>73</v>
      </c>
      <c r="F9" s="13" t="s">
        <v>74</v>
      </c>
      <c r="G9" s="13" t="s">
        <v>75</v>
      </c>
      <c r="H9" s="13" t="s">
        <v>78</v>
      </c>
      <c r="I9" s="13" t="s">
        <v>76</v>
      </c>
      <c r="J9" s="13" t="s">
        <v>78</v>
      </c>
      <c r="K9" s="13" t="s">
        <v>75</v>
      </c>
      <c r="L9" s="13" t="s">
        <v>74</v>
      </c>
      <c r="M9" s="13" t="s">
        <v>73</v>
      </c>
      <c r="N9" s="13" t="s">
        <v>79</v>
      </c>
      <c r="O9" s="13" t="s">
        <v>80</v>
      </c>
      <c r="P9" s="13" t="s">
        <v>71</v>
      </c>
      <c r="Q9" s="6"/>
    </row>
    <row r="10" spans="1:17" x14ac:dyDescent="0.25">
      <c r="A10" s="6">
        <v>1</v>
      </c>
      <c r="B10" s="18" t="str">
        <f>IF(AND(D10&gt;0,H10&gt;0),"FRESH LONG",IF(AND(D10&lt;0,H10&lt;0),"LONG UNWIND",IF(AND(D10&gt;0,H10&lt;0),"FRESH SHORT",IF(AND(D10&lt;0,H10&gt;0),"SHORT COVERING","-"))))</f>
        <v>LONG UNWIND</v>
      </c>
      <c r="C10" s="19">
        <f>VLOOKUP($I10,OC_DB!$C$5:$Q$2996,3,0)</f>
        <v>824</v>
      </c>
      <c r="D10" s="19">
        <f>VLOOKUP($I10,OC_DB!$C$5:$Q$2996,4,0)</f>
        <v>-26</v>
      </c>
      <c r="E10" s="19">
        <f>VLOOKUP($I10,OC_DB!$C$5:$Q$2996,5,0)</f>
        <v>127</v>
      </c>
      <c r="F10" s="19">
        <f>VLOOKUP($I10,OC_DB!$C$5:$Q$2996,6,0)</f>
        <v>0</v>
      </c>
      <c r="G10" s="19">
        <f>VLOOKUP($I10,OC_DB!$C$5:$Q$2996,7,0)</f>
        <v>676</v>
      </c>
      <c r="H10" s="19">
        <f>VLOOKUP($I10,OC_DB!$C$5:$Q$2996,8,0)</f>
        <v>-147.89999999999998</v>
      </c>
      <c r="I10" s="14">
        <f>I11-$F$4</f>
        <v>15750</v>
      </c>
      <c r="J10" s="20">
        <f>VLOOKUP($I10,OC_DB!$C$5:$Q$2996,14,0)</f>
        <v>0.95000000000000018</v>
      </c>
      <c r="K10" s="20">
        <f>VLOOKUP($I10,OC_DB!$C$5:$Q$2996,13,0)</f>
        <v>6.4</v>
      </c>
      <c r="L10" s="20">
        <f>VLOOKUP($I10,OC_DB!$C$5:$Q$2996,12,0)</f>
        <v>19.95</v>
      </c>
      <c r="M10" s="20">
        <f>VLOOKUP($I10,OC_DB!$C$5:$Q$2996,11,0)</f>
        <v>19869</v>
      </c>
      <c r="N10" s="20">
        <f>VLOOKUP($I10,OC_DB!$C$5:$Q$2996,10,0)</f>
        <v>2457</v>
      </c>
      <c r="O10" s="20">
        <f>VLOOKUP($I10,OC_DB!$C$5:$Q$2996,9,0)</f>
        <v>5758</v>
      </c>
      <c r="P10" s="18" t="str">
        <f>IF(AND(N10&gt;0,J10&gt;0),"FRESH LONG",IF(AND(N10&lt;0,J10&lt;0),"LONG UNWIND",IF(AND(N10&gt;0,J10&lt;0),"FRESH SHORT",IF(AND(N10&lt;0,J10&gt;0),"SHORT COVERING","-"))))</f>
        <v>FRESH LONG</v>
      </c>
      <c r="Q10" s="6"/>
    </row>
    <row r="11" spans="1:17" x14ac:dyDescent="0.25">
      <c r="A11" s="6">
        <v>2</v>
      </c>
      <c r="B11" s="18" t="str">
        <f t="shared" ref="B11:B39" si="0">IF(AND(D11&gt;0,H11&gt;0),"FRESH LONG",IF(AND(D11&lt;0,H11&lt;0),"LONG UNWIND",IF(AND(D11&gt;0,H11&lt;0),"FRESH SHORT",IF(AND(D11&lt;0,H11&gt;0),"SHORT COVERING","-"))))</f>
        <v>LONG UNWIND</v>
      </c>
      <c r="C11" s="19">
        <f>VLOOKUP($I11,OC_DB!$C$5:$Q$2996,3,0)</f>
        <v>20165</v>
      </c>
      <c r="D11" s="19">
        <f>VLOOKUP($I11,OC_DB!$C$5:$Q$2996,4,0)</f>
        <v>-1430</v>
      </c>
      <c r="E11" s="19">
        <f>VLOOKUP($I11,OC_DB!$C$5:$Q$2996,5,0)</f>
        <v>3099</v>
      </c>
      <c r="F11" s="19">
        <f>VLOOKUP($I11,OC_DB!$C$5:$Q$2996,6,0)</f>
        <v>0</v>
      </c>
      <c r="G11" s="19">
        <f>VLOOKUP($I11,OC_DB!$C$5:$Q$2996,7,0)</f>
        <v>630</v>
      </c>
      <c r="H11" s="19">
        <f>VLOOKUP($I11,OC_DB!$C$5:$Q$2996,8,0)</f>
        <v>-152</v>
      </c>
      <c r="I11" s="14">
        <f>I12-$F$4</f>
        <v>15800</v>
      </c>
      <c r="J11" s="20">
        <f>VLOOKUP($I11,OC_DB!$C$5:$Q$2996,14,0)</f>
        <v>1.2000000000000002</v>
      </c>
      <c r="K11" s="20">
        <f>VLOOKUP($I11,OC_DB!$C$5:$Q$2996,13,0)</f>
        <v>7</v>
      </c>
      <c r="L11" s="20">
        <f>VLOOKUP($I11,OC_DB!$C$5:$Q$2996,12,0)</f>
        <v>19.12</v>
      </c>
      <c r="M11" s="20">
        <f>VLOOKUP($I11,OC_DB!$C$5:$Q$2996,11,0)</f>
        <v>163849</v>
      </c>
      <c r="N11" s="20">
        <f>VLOOKUP($I11,OC_DB!$C$5:$Q$2996,10,0)</f>
        <v>9810</v>
      </c>
      <c r="O11" s="20">
        <f>VLOOKUP($I11,OC_DB!$C$5:$Q$2996,9,0)</f>
        <v>61628</v>
      </c>
      <c r="P11" s="18" t="str">
        <f t="shared" ref="P11:P39" si="1">IF(AND(N11&gt;0,J11&gt;0),"FRESH LONG",IF(AND(N11&lt;0,J11&lt;0),"LONG UNWIND",IF(AND(N11&gt;0,J11&lt;0),"FRESH SHORT",IF(AND(N11&lt;0,J11&gt;0),"SHORT COVERING","-"))))</f>
        <v>FRESH LONG</v>
      </c>
      <c r="Q11" s="6"/>
    </row>
    <row r="12" spans="1:17" x14ac:dyDescent="0.25">
      <c r="A12" s="6">
        <v>3</v>
      </c>
      <c r="B12" s="18" t="str">
        <f t="shared" si="0"/>
        <v>LONG UNWIND</v>
      </c>
      <c r="C12" s="19">
        <f>VLOOKUP($I12,OC_DB!$C$5:$Q$2996,3,0)</f>
        <v>1220</v>
      </c>
      <c r="D12" s="19">
        <f>VLOOKUP($I12,OC_DB!$C$5:$Q$2996,4,0)</f>
        <v>-55</v>
      </c>
      <c r="E12" s="19">
        <f>VLOOKUP($I12,OC_DB!$C$5:$Q$2996,5,0)</f>
        <v>196</v>
      </c>
      <c r="F12" s="19">
        <f>VLOOKUP($I12,OC_DB!$C$5:$Q$2996,6,0)</f>
        <v>0</v>
      </c>
      <c r="G12" s="19">
        <f>VLOOKUP($I12,OC_DB!$C$5:$Q$2996,7,0)</f>
        <v>578</v>
      </c>
      <c r="H12" s="19">
        <f>VLOOKUP($I12,OC_DB!$C$5:$Q$2996,8,0)</f>
        <v>-151.75</v>
      </c>
      <c r="I12" s="14">
        <f t="shared" ref="I12:I20" si="2">I13-$F$4</f>
        <v>15850</v>
      </c>
      <c r="J12" s="20">
        <f>VLOOKUP($I12,OC_DB!$C$5:$Q$2996,14,0)</f>
        <v>1.75</v>
      </c>
      <c r="K12" s="20">
        <f>VLOOKUP($I12,OC_DB!$C$5:$Q$2996,13,0)</f>
        <v>8.15</v>
      </c>
      <c r="L12" s="20">
        <f>VLOOKUP($I12,OC_DB!$C$5:$Q$2996,12,0)</f>
        <v>18.5</v>
      </c>
      <c r="M12" s="20">
        <f>VLOOKUP($I12,OC_DB!$C$5:$Q$2996,11,0)</f>
        <v>27213</v>
      </c>
      <c r="N12" s="20">
        <f>VLOOKUP($I12,OC_DB!$C$5:$Q$2996,10,0)</f>
        <v>2415</v>
      </c>
      <c r="O12" s="20">
        <f>VLOOKUP($I12,OC_DB!$C$5:$Q$2996,9,0)</f>
        <v>7098</v>
      </c>
      <c r="P12" s="18" t="str">
        <f t="shared" si="1"/>
        <v>FRESH LONG</v>
      </c>
      <c r="Q12" s="6"/>
    </row>
    <row r="13" spans="1:17" x14ac:dyDescent="0.25">
      <c r="A13" s="6">
        <v>4</v>
      </c>
      <c r="B13" s="18" t="str">
        <f t="shared" si="0"/>
        <v>LONG UNWIND</v>
      </c>
      <c r="C13" s="19">
        <f>VLOOKUP($I13,OC_DB!$C$5:$Q$2996,3,0)</f>
        <v>8300</v>
      </c>
      <c r="D13" s="19">
        <f>VLOOKUP($I13,OC_DB!$C$5:$Q$2996,4,0)</f>
        <v>-1808</v>
      </c>
      <c r="E13" s="19">
        <f>VLOOKUP($I13,OC_DB!$C$5:$Q$2996,5,0)</f>
        <v>4618</v>
      </c>
      <c r="F13" s="19">
        <f>VLOOKUP($I13,OC_DB!$C$5:$Q$2996,6,0)</f>
        <v>0</v>
      </c>
      <c r="G13" s="19">
        <f>VLOOKUP($I13,OC_DB!$C$5:$Q$2996,7,0)</f>
        <v>528.25</v>
      </c>
      <c r="H13" s="19">
        <f>VLOOKUP($I13,OC_DB!$C$5:$Q$2996,8,0)</f>
        <v>-150.60000000000002</v>
      </c>
      <c r="I13" s="14">
        <f t="shared" si="2"/>
        <v>15900</v>
      </c>
      <c r="J13" s="20">
        <f>VLOOKUP($I13,OC_DB!$C$5:$Q$2996,14,0)</f>
        <v>2</v>
      </c>
      <c r="K13" s="20">
        <f>VLOOKUP($I13,OC_DB!$C$5:$Q$2996,13,0)</f>
        <v>9</v>
      </c>
      <c r="L13" s="20">
        <f>VLOOKUP($I13,OC_DB!$C$5:$Q$2996,12,0)</f>
        <v>17.66</v>
      </c>
      <c r="M13" s="20">
        <f>VLOOKUP($I13,OC_DB!$C$5:$Q$2996,11,0)</f>
        <v>169016</v>
      </c>
      <c r="N13" s="20">
        <f>VLOOKUP($I13,OC_DB!$C$5:$Q$2996,10,0)</f>
        <v>11904</v>
      </c>
      <c r="O13" s="20">
        <f>VLOOKUP($I13,OC_DB!$C$5:$Q$2996,9,0)</f>
        <v>46179</v>
      </c>
      <c r="P13" s="18" t="str">
        <f t="shared" si="1"/>
        <v>FRESH LONG</v>
      </c>
      <c r="Q13" s="6"/>
    </row>
    <row r="14" spans="1:17" x14ac:dyDescent="0.25">
      <c r="A14" s="6">
        <v>5</v>
      </c>
      <c r="B14" s="18" t="str">
        <f t="shared" si="0"/>
        <v>LONG UNWIND</v>
      </c>
      <c r="C14" s="19">
        <f>VLOOKUP($I14,OC_DB!$C$5:$Q$2996,3,0)</f>
        <v>570</v>
      </c>
      <c r="D14" s="19">
        <f>VLOOKUP($I14,OC_DB!$C$5:$Q$2996,4,0)</f>
        <v>-27</v>
      </c>
      <c r="E14" s="19">
        <f>VLOOKUP($I14,OC_DB!$C$5:$Q$2996,5,0)</f>
        <v>359</v>
      </c>
      <c r="F14" s="19">
        <f>VLOOKUP($I14,OC_DB!$C$5:$Q$2996,6,0)</f>
        <v>0</v>
      </c>
      <c r="G14" s="19">
        <f>VLOOKUP($I14,OC_DB!$C$5:$Q$2996,7,0)</f>
        <v>479</v>
      </c>
      <c r="H14" s="19">
        <f>VLOOKUP($I14,OC_DB!$C$5:$Q$2996,8,0)</f>
        <v>-151.39999999999998</v>
      </c>
      <c r="I14" s="14">
        <f t="shared" si="2"/>
        <v>15950</v>
      </c>
      <c r="J14" s="20">
        <f>VLOOKUP($I14,OC_DB!$C$5:$Q$2996,14,0)</f>
        <v>3.9</v>
      </c>
      <c r="K14" s="20">
        <f>VLOOKUP($I14,OC_DB!$C$5:$Q$2996,13,0)</f>
        <v>11.9</v>
      </c>
      <c r="L14" s="20">
        <f>VLOOKUP($I14,OC_DB!$C$5:$Q$2996,12,0)</f>
        <v>17.5</v>
      </c>
      <c r="M14" s="20">
        <f>VLOOKUP($I14,OC_DB!$C$5:$Q$2996,11,0)</f>
        <v>51918</v>
      </c>
      <c r="N14" s="20">
        <f>VLOOKUP($I14,OC_DB!$C$5:$Q$2996,10,0)</f>
        <v>5996</v>
      </c>
      <c r="O14" s="20">
        <f>VLOOKUP($I14,OC_DB!$C$5:$Q$2996,9,0)</f>
        <v>11019</v>
      </c>
      <c r="P14" s="18" t="str">
        <f t="shared" si="1"/>
        <v>FRESH LONG</v>
      </c>
      <c r="Q14" s="6"/>
    </row>
    <row r="15" spans="1:17" x14ac:dyDescent="0.25">
      <c r="A15" s="6">
        <v>6</v>
      </c>
      <c r="B15" s="18" t="str">
        <f>IF(AND(D15&gt;0,H15&gt;0),"FRESH LONG",IF(AND(D15&lt;0,H15&lt;0),"LONG UNWIND",IF(AND(D15&gt;0,H15&lt;0),"FRESH SHORT",IF(AND(D15&lt;0,H15&gt;0),"SHORT COVERING","-"))))</f>
        <v>LONG UNWIND</v>
      </c>
      <c r="C15" s="19">
        <f>VLOOKUP($I15,OC_DB!$C$5:$Q$2996,3,0)</f>
        <v>20545</v>
      </c>
      <c r="D15" s="19">
        <f>VLOOKUP($I15,OC_DB!$C$5:$Q$2996,4,0)</f>
        <v>-1825</v>
      </c>
      <c r="E15" s="19">
        <f>VLOOKUP($I15,OC_DB!$C$5:$Q$2996,5,0)</f>
        <v>32472</v>
      </c>
      <c r="F15" s="19">
        <f>VLOOKUP($I15,OC_DB!$C$5:$Q$2996,6,0)</f>
        <v>0</v>
      </c>
      <c r="G15" s="19">
        <f>VLOOKUP($I15,OC_DB!$C$5:$Q$2996,7,0)</f>
        <v>434</v>
      </c>
      <c r="H15" s="19">
        <f>VLOOKUP($I15,OC_DB!$C$5:$Q$2996,8,0)</f>
        <v>-147.89999999999998</v>
      </c>
      <c r="I15" s="14">
        <f t="shared" si="2"/>
        <v>16000</v>
      </c>
      <c r="J15" s="20">
        <f>VLOOKUP($I15,OC_DB!$C$5:$Q$2996,14,0)</f>
        <v>6.0499999999999989</v>
      </c>
      <c r="K15" s="20">
        <f>VLOOKUP($I15,OC_DB!$C$5:$Q$2996,13,0)</f>
        <v>15.2</v>
      </c>
      <c r="L15" s="20">
        <f>VLOOKUP($I15,OC_DB!$C$5:$Q$2996,12,0)</f>
        <v>17.22</v>
      </c>
      <c r="M15" s="20">
        <f>VLOOKUP($I15,OC_DB!$C$5:$Q$2996,11,0)</f>
        <v>444842</v>
      </c>
      <c r="N15" s="20">
        <f>VLOOKUP($I15,OC_DB!$C$5:$Q$2996,10,0)</f>
        <v>6060</v>
      </c>
      <c r="O15" s="20">
        <f>VLOOKUP($I15,OC_DB!$C$5:$Q$2996,9,0)</f>
        <v>87440</v>
      </c>
      <c r="P15" s="18" t="str">
        <f t="shared" si="1"/>
        <v>FRESH LONG</v>
      </c>
      <c r="Q15" s="6"/>
    </row>
    <row r="16" spans="1:17" x14ac:dyDescent="0.25">
      <c r="A16" s="6">
        <v>7</v>
      </c>
      <c r="B16" s="18" t="str">
        <f t="shared" si="0"/>
        <v>FRESH SHORT</v>
      </c>
      <c r="C16" s="19">
        <f>VLOOKUP($I16,OC_DB!$C$5:$Q$2996,3,0)</f>
        <v>697</v>
      </c>
      <c r="D16" s="19">
        <f>VLOOKUP($I16,OC_DB!$C$5:$Q$2996,4,0)</f>
        <v>4</v>
      </c>
      <c r="E16" s="19">
        <f>VLOOKUP($I16,OC_DB!$C$5:$Q$2996,5,0)</f>
        <v>476</v>
      </c>
      <c r="F16" s="19">
        <f>VLOOKUP($I16,OC_DB!$C$5:$Q$2996,6,0)</f>
        <v>0</v>
      </c>
      <c r="G16" s="19">
        <f>VLOOKUP($I16,OC_DB!$C$5:$Q$2996,7,0)</f>
        <v>381.95</v>
      </c>
      <c r="H16" s="19">
        <f>VLOOKUP($I16,OC_DB!$C$5:$Q$2996,8,0)</f>
        <v>-144.59999999999997</v>
      </c>
      <c r="I16" s="14">
        <f t="shared" si="2"/>
        <v>16050</v>
      </c>
      <c r="J16" s="20">
        <f>VLOOKUP($I16,OC_DB!$C$5:$Q$2996,14,0)</f>
        <v>8.1</v>
      </c>
      <c r="K16" s="20">
        <f>VLOOKUP($I16,OC_DB!$C$5:$Q$2996,13,0)</f>
        <v>18.2</v>
      </c>
      <c r="L16" s="20">
        <f>VLOOKUP($I16,OC_DB!$C$5:$Q$2996,12,0)</f>
        <v>16.649999999999999</v>
      </c>
      <c r="M16" s="20">
        <f>VLOOKUP($I16,OC_DB!$C$5:$Q$2996,11,0)</f>
        <v>75082</v>
      </c>
      <c r="N16" s="20">
        <f>VLOOKUP($I16,OC_DB!$C$5:$Q$2996,10,0)</f>
        <v>2796</v>
      </c>
      <c r="O16" s="20">
        <f>VLOOKUP($I16,OC_DB!$C$5:$Q$2996,9,0)</f>
        <v>9875</v>
      </c>
      <c r="P16" s="18" t="str">
        <f t="shared" si="1"/>
        <v>FRESH LONG</v>
      </c>
      <c r="Q16" s="6"/>
    </row>
    <row r="17" spans="1:17" x14ac:dyDescent="0.25">
      <c r="A17" s="6">
        <v>8</v>
      </c>
      <c r="B17" s="18" t="str">
        <f t="shared" si="0"/>
        <v>LONG UNWIND</v>
      </c>
      <c r="C17" s="19">
        <f>VLOOKUP($I17,OC_DB!$C$5:$Q$2996,3,0)</f>
        <v>7570</v>
      </c>
      <c r="D17" s="19">
        <f>VLOOKUP($I17,OC_DB!$C$5:$Q$2996,4,0)</f>
        <v>-357</v>
      </c>
      <c r="E17" s="19">
        <f>VLOOKUP($I17,OC_DB!$C$5:$Q$2996,5,0)</f>
        <v>9020</v>
      </c>
      <c r="F17" s="19">
        <f>VLOOKUP($I17,OC_DB!$C$5:$Q$2996,6,0)</f>
        <v>9.34</v>
      </c>
      <c r="G17" s="19">
        <f>VLOOKUP($I17,OC_DB!$C$5:$Q$2996,7,0)</f>
        <v>378.9</v>
      </c>
      <c r="H17" s="19">
        <f>VLOOKUP($I17,OC_DB!$C$5:$Q$2996,8,0)</f>
        <v>-104.25</v>
      </c>
      <c r="I17" s="14">
        <f t="shared" si="2"/>
        <v>16100</v>
      </c>
      <c r="J17" s="20">
        <f>VLOOKUP($I17,OC_DB!$C$5:$Q$2996,14,0)</f>
        <v>10.9</v>
      </c>
      <c r="K17" s="20">
        <f>VLOOKUP($I17,OC_DB!$C$5:$Q$2996,13,0)</f>
        <v>22.9</v>
      </c>
      <c r="L17" s="20">
        <f>VLOOKUP($I17,OC_DB!$C$5:$Q$2996,12,0)</f>
        <v>16.3</v>
      </c>
      <c r="M17" s="20">
        <f>VLOOKUP($I17,OC_DB!$C$5:$Q$2996,11,0)</f>
        <v>353015</v>
      </c>
      <c r="N17" s="20">
        <f>VLOOKUP($I17,OC_DB!$C$5:$Q$2996,10,0)</f>
        <v>10882</v>
      </c>
      <c r="O17" s="20">
        <f>VLOOKUP($I17,OC_DB!$C$5:$Q$2996,9,0)</f>
        <v>44403</v>
      </c>
      <c r="P17" s="18" t="str">
        <f t="shared" si="1"/>
        <v>FRESH LONG</v>
      </c>
      <c r="Q17" s="6"/>
    </row>
    <row r="18" spans="1:17" x14ac:dyDescent="0.25">
      <c r="A18" s="6">
        <v>9</v>
      </c>
      <c r="B18" s="18" t="str">
        <f t="shared" si="0"/>
        <v>FRESH SHORT</v>
      </c>
      <c r="C18" s="19">
        <f>VLOOKUP($I18,OC_DB!$C$5:$Q$2996,3,0)</f>
        <v>920</v>
      </c>
      <c r="D18" s="19">
        <f>VLOOKUP($I18,OC_DB!$C$5:$Q$2996,4,0)</f>
        <v>14</v>
      </c>
      <c r="E18" s="19">
        <f>VLOOKUP($I18,OC_DB!$C$5:$Q$2996,5,0)</f>
        <v>1650</v>
      </c>
      <c r="F18" s="19">
        <f>VLOOKUP($I18,OC_DB!$C$5:$Q$2996,6,0)</f>
        <v>0</v>
      </c>
      <c r="G18" s="19">
        <f>VLOOKUP($I18,OC_DB!$C$5:$Q$2996,7,0)</f>
        <v>296.05</v>
      </c>
      <c r="H18" s="19">
        <f>VLOOKUP($I18,OC_DB!$C$5:$Q$2996,8,0)</f>
        <v>-138.80000000000001</v>
      </c>
      <c r="I18" s="14">
        <f t="shared" si="2"/>
        <v>16150</v>
      </c>
      <c r="J18" s="20">
        <f>VLOOKUP($I18,OC_DB!$C$5:$Q$2996,14,0)</f>
        <v>13.25</v>
      </c>
      <c r="K18" s="20">
        <f>VLOOKUP($I18,OC_DB!$C$5:$Q$2996,13,0)</f>
        <v>27.55</v>
      </c>
      <c r="L18" s="20">
        <f>VLOOKUP($I18,OC_DB!$C$5:$Q$2996,12,0)</f>
        <v>15.72</v>
      </c>
      <c r="M18" s="20">
        <f>VLOOKUP($I18,OC_DB!$C$5:$Q$2996,11,0)</f>
        <v>114097</v>
      </c>
      <c r="N18" s="20">
        <f>VLOOKUP($I18,OC_DB!$C$5:$Q$2996,10,0)</f>
        <v>5598</v>
      </c>
      <c r="O18" s="20">
        <f>VLOOKUP($I18,OC_DB!$C$5:$Q$2996,9,0)</f>
        <v>10839</v>
      </c>
      <c r="P18" s="18" t="str">
        <f t="shared" si="1"/>
        <v>FRESH LONG</v>
      </c>
      <c r="Q18" s="6"/>
    </row>
    <row r="19" spans="1:17" x14ac:dyDescent="0.25">
      <c r="A19" s="6">
        <v>10</v>
      </c>
      <c r="B19" s="18" t="str">
        <f t="shared" si="0"/>
        <v>LONG UNWIND</v>
      </c>
      <c r="C19" s="19">
        <f>VLOOKUP($I19,OC_DB!$C$5:$Q$2996,3,0)</f>
        <v>12732</v>
      </c>
      <c r="D19" s="19">
        <f>VLOOKUP($I19,OC_DB!$C$5:$Q$2996,4,0)</f>
        <v>-1339</v>
      </c>
      <c r="E19" s="19">
        <f>VLOOKUP($I19,OC_DB!$C$5:$Q$2996,5,0)</f>
        <v>52433</v>
      </c>
      <c r="F19" s="19">
        <f>VLOOKUP($I19,OC_DB!$C$5:$Q$2996,6,0)</f>
        <v>0</v>
      </c>
      <c r="G19" s="19">
        <f>VLOOKUP($I19,OC_DB!$C$5:$Q$2996,7,0)</f>
        <v>259.45</v>
      </c>
      <c r="H19" s="19">
        <f>VLOOKUP($I19,OC_DB!$C$5:$Q$2996,8,0)</f>
        <v>-129.94999999999999</v>
      </c>
      <c r="I19" s="14">
        <f t="shared" si="2"/>
        <v>16200</v>
      </c>
      <c r="J19" s="20">
        <f>VLOOKUP($I19,OC_DB!$C$5:$Q$2996,14,0)</f>
        <v>17.099999999999998</v>
      </c>
      <c r="K19" s="20">
        <f>VLOOKUP($I19,OC_DB!$C$5:$Q$2996,13,0)</f>
        <v>34.799999999999997</v>
      </c>
      <c r="L19" s="20">
        <f>VLOOKUP($I19,OC_DB!$C$5:$Q$2996,12,0)</f>
        <v>15.41</v>
      </c>
      <c r="M19" s="20">
        <f>VLOOKUP($I19,OC_DB!$C$5:$Q$2996,11,0)</f>
        <v>648358</v>
      </c>
      <c r="N19" s="20">
        <f>VLOOKUP($I19,OC_DB!$C$5:$Q$2996,10,0)</f>
        <v>7958</v>
      </c>
      <c r="O19" s="20">
        <f>VLOOKUP($I19,OC_DB!$C$5:$Q$2996,9,0)</f>
        <v>57538</v>
      </c>
      <c r="P19" s="18" t="str">
        <f t="shared" si="1"/>
        <v>FRESH LONG</v>
      </c>
      <c r="Q19" s="6"/>
    </row>
    <row r="20" spans="1:17" x14ac:dyDescent="0.25">
      <c r="A20" s="6">
        <v>11</v>
      </c>
      <c r="B20" s="18" t="str">
        <f t="shared" si="0"/>
        <v>FRESH SHORT</v>
      </c>
      <c r="C20" s="19">
        <f>VLOOKUP($I20,OC_DB!$C$5:$Q$2996,3,0)</f>
        <v>3079</v>
      </c>
      <c r="D20" s="19">
        <f>VLOOKUP($I20,OC_DB!$C$5:$Q$2996,4,0)</f>
        <v>35</v>
      </c>
      <c r="E20" s="19">
        <f>VLOOKUP($I20,OC_DB!$C$5:$Q$2996,5,0)</f>
        <v>11080</v>
      </c>
      <c r="F20" s="19">
        <f>VLOOKUP($I20,OC_DB!$C$5:$Q$2996,6,0)</f>
        <v>0</v>
      </c>
      <c r="G20" s="19">
        <f>VLOOKUP($I20,OC_DB!$C$5:$Q$2996,7,0)</f>
        <v>215.8</v>
      </c>
      <c r="H20" s="19">
        <f>VLOOKUP($I20,OC_DB!$C$5:$Q$2996,8,0)</f>
        <v>-125.2</v>
      </c>
      <c r="I20" s="14">
        <f t="shared" si="2"/>
        <v>16250</v>
      </c>
      <c r="J20" s="20">
        <f>VLOOKUP($I20,OC_DB!$C$5:$Q$2996,14,0)</f>
        <v>23.299999999999997</v>
      </c>
      <c r="K20" s="20">
        <f>VLOOKUP($I20,OC_DB!$C$5:$Q$2996,13,0)</f>
        <v>44.65</v>
      </c>
      <c r="L20" s="20">
        <f>VLOOKUP($I20,OC_DB!$C$5:$Q$2996,12,0)</f>
        <v>15.23</v>
      </c>
      <c r="M20" s="20">
        <f>VLOOKUP($I20,OC_DB!$C$5:$Q$2996,11,0)</f>
        <v>299194</v>
      </c>
      <c r="N20" s="20">
        <f>VLOOKUP($I20,OC_DB!$C$5:$Q$2996,10,0)</f>
        <v>8383</v>
      </c>
      <c r="O20" s="20">
        <f>VLOOKUP($I20,OC_DB!$C$5:$Q$2996,9,0)</f>
        <v>17933</v>
      </c>
      <c r="P20" s="18" t="str">
        <f t="shared" si="1"/>
        <v>FRESH LONG</v>
      </c>
      <c r="Q20" s="6"/>
    </row>
    <row r="21" spans="1:17" x14ac:dyDescent="0.25">
      <c r="A21" s="6">
        <v>12</v>
      </c>
      <c r="B21" s="18" t="str">
        <f t="shared" si="0"/>
        <v>FRESH SHORT</v>
      </c>
      <c r="C21" s="19">
        <f>VLOOKUP($I21,OC_DB!$C$5:$Q$2996,3,0)</f>
        <v>20591</v>
      </c>
      <c r="D21" s="19">
        <f>VLOOKUP($I21,OC_DB!$C$5:$Q$2996,4,0)</f>
        <v>751</v>
      </c>
      <c r="E21" s="19">
        <f>VLOOKUP($I21,OC_DB!$C$5:$Q$2996,5,0)</f>
        <v>162915</v>
      </c>
      <c r="F21" s="19">
        <f>VLOOKUP($I21,OC_DB!$C$5:$Q$2996,6,0)</f>
        <v>0</v>
      </c>
      <c r="G21" s="19">
        <f>VLOOKUP($I21,OC_DB!$C$5:$Q$2996,7,0)</f>
        <v>177</v>
      </c>
      <c r="H21" s="19">
        <f>VLOOKUP($I21,OC_DB!$C$5:$Q$2996,8,0)</f>
        <v>-123.14999999999998</v>
      </c>
      <c r="I21" s="14">
        <f>I22-$F$4</f>
        <v>16300</v>
      </c>
      <c r="J21" s="20">
        <f>VLOOKUP($I21,OC_DB!$C$5:$Q$2996,14,0)</f>
        <v>28.25</v>
      </c>
      <c r="K21" s="20">
        <f>VLOOKUP($I21,OC_DB!$C$5:$Q$2996,13,0)</f>
        <v>55.15</v>
      </c>
      <c r="L21" s="20">
        <f>VLOOKUP($I21,OC_DB!$C$5:$Q$2996,12,0)</f>
        <v>14.84</v>
      </c>
      <c r="M21" s="20">
        <f>VLOOKUP($I21,OC_DB!$C$5:$Q$2996,11,0)</f>
        <v>989600</v>
      </c>
      <c r="N21" s="20">
        <f>VLOOKUP($I21,OC_DB!$C$5:$Q$2996,10,0)</f>
        <v>17419</v>
      </c>
      <c r="O21" s="20">
        <f>VLOOKUP($I21,OC_DB!$C$5:$Q$2996,9,0)</f>
        <v>66673</v>
      </c>
      <c r="P21" s="18" t="str">
        <f t="shared" si="1"/>
        <v>FRESH LONG</v>
      </c>
      <c r="Q21" s="6"/>
    </row>
    <row r="22" spans="1:17" x14ac:dyDescent="0.25">
      <c r="A22" s="6">
        <v>13</v>
      </c>
      <c r="B22" s="18" t="str">
        <f t="shared" si="0"/>
        <v>FRESH SHORT</v>
      </c>
      <c r="C22" s="19">
        <f>VLOOKUP($I22,OC_DB!$C$5:$Q$2996,3,0)</f>
        <v>4705</v>
      </c>
      <c r="D22" s="19">
        <f>VLOOKUP($I22,OC_DB!$C$5:$Q$2996,4,0)</f>
        <v>2161</v>
      </c>
      <c r="E22" s="19">
        <f>VLOOKUP($I22,OC_DB!$C$5:$Q$2996,5,0)</f>
        <v>80526</v>
      </c>
      <c r="F22" s="19">
        <f>VLOOKUP($I22,OC_DB!$C$5:$Q$2996,6,0)</f>
        <v>6.45</v>
      </c>
      <c r="G22" s="19">
        <f>VLOOKUP($I22,OC_DB!$C$5:$Q$2996,7,0)</f>
        <v>140</v>
      </c>
      <c r="H22" s="19">
        <f>VLOOKUP($I22,OC_DB!$C$5:$Q$2996,8,0)</f>
        <v>-115.5</v>
      </c>
      <c r="I22" s="14">
        <f>I23-$F$4</f>
        <v>16350</v>
      </c>
      <c r="J22" s="20">
        <f>VLOOKUP($I22,OC_DB!$C$5:$Q$2996,14,0)</f>
        <v>39.450000000000003</v>
      </c>
      <c r="K22" s="20">
        <f>VLOOKUP($I22,OC_DB!$C$5:$Q$2996,13,0)</f>
        <v>73.05</v>
      </c>
      <c r="L22" s="20">
        <f>VLOOKUP($I22,OC_DB!$C$5:$Q$2996,12,0)</f>
        <v>15.11</v>
      </c>
      <c r="M22" s="20">
        <f>VLOOKUP($I22,OC_DB!$C$5:$Q$2996,11,0)</f>
        <v>470432</v>
      </c>
      <c r="N22" s="20">
        <f>VLOOKUP($I22,OC_DB!$C$5:$Q$2996,10,0)</f>
        <v>5972</v>
      </c>
      <c r="O22" s="20">
        <f>VLOOKUP($I22,OC_DB!$C$5:$Q$2996,9,0)</f>
        <v>16369</v>
      </c>
      <c r="P22" s="18" t="str">
        <f t="shared" si="1"/>
        <v>FRESH LONG</v>
      </c>
      <c r="Q22" s="6"/>
    </row>
    <row r="23" spans="1:17" x14ac:dyDescent="0.25">
      <c r="A23" s="6">
        <v>14</v>
      </c>
      <c r="B23" s="18" t="str">
        <f t="shared" si="0"/>
        <v>FRESH SHORT</v>
      </c>
      <c r="C23" s="19">
        <f>VLOOKUP($I23,OC_DB!$C$5:$Q$2996,3,0)</f>
        <v>55932</v>
      </c>
      <c r="D23" s="19">
        <f>VLOOKUP($I23,OC_DB!$C$5:$Q$2996,4,0)</f>
        <v>38517</v>
      </c>
      <c r="E23" s="19">
        <f>VLOOKUP($I23,OC_DB!$C$5:$Q$2996,5,0)</f>
        <v>826478</v>
      </c>
      <c r="F23" s="19">
        <f>VLOOKUP($I23,OC_DB!$C$5:$Q$2996,6,0)</f>
        <v>7.89</v>
      </c>
      <c r="G23" s="19">
        <f>VLOOKUP($I23,OC_DB!$C$5:$Q$2996,7,0)</f>
        <v>112</v>
      </c>
      <c r="H23" s="19">
        <f>VLOOKUP($I23,OC_DB!$C$5:$Q$2996,8,0)</f>
        <v>-104.25</v>
      </c>
      <c r="I23" s="14">
        <f>I24-$F$4</f>
        <v>16400</v>
      </c>
      <c r="J23" s="20">
        <f>VLOOKUP($I23,OC_DB!$C$5:$Q$2996,14,0)</f>
        <v>45.149999999999991</v>
      </c>
      <c r="K23" s="20">
        <f>VLOOKUP($I23,OC_DB!$C$5:$Q$2996,13,0)</f>
        <v>88.35</v>
      </c>
      <c r="L23" s="20">
        <f>VLOOKUP($I23,OC_DB!$C$5:$Q$2996,12,0)</f>
        <v>14.68</v>
      </c>
      <c r="M23" s="20">
        <f>VLOOKUP($I23,OC_DB!$C$5:$Q$2996,11,0)</f>
        <v>1584674</v>
      </c>
      <c r="N23" s="20">
        <f>VLOOKUP($I23,OC_DB!$C$5:$Q$2996,10,0)</f>
        <v>26318</v>
      </c>
      <c r="O23" s="20">
        <f>VLOOKUP($I23,OC_DB!$C$5:$Q$2996,9,0)</f>
        <v>85589</v>
      </c>
      <c r="P23" s="18" t="str">
        <f t="shared" si="1"/>
        <v>FRESH LONG</v>
      </c>
      <c r="Q23" s="6"/>
    </row>
    <row r="24" spans="1:17" x14ac:dyDescent="0.25">
      <c r="A24" s="6">
        <v>15</v>
      </c>
      <c r="B24" s="18" t="str">
        <f t="shared" si="0"/>
        <v>FRESH SHORT</v>
      </c>
      <c r="C24" s="19">
        <f>VLOOKUP($I24,OC_DB!$C$5:$Q$2996,3,0)</f>
        <v>22175</v>
      </c>
      <c r="D24" s="19">
        <f>VLOOKUP($I24,OC_DB!$C$5:$Q$2996,4,0)</f>
        <v>19470</v>
      </c>
      <c r="E24" s="19">
        <f>VLOOKUP($I24,OC_DB!$C$5:$Q$2996,5,0)</f>
        <v>641576</v>
      </c>
      <c r="F24" s="19">
        <f>VLOOKUP($I24,OC_DB!$C$5:$Q$2996,6,0)</f>
        <v>8.17</v>
      </c>
      <c r="G24" s="19">
        <f>VLOOKUP($I24,OC_DB!$C$5:$Q$2996,7,0)</f>
        <v>83.35</v>
      </c>
      <c r="H24" s="19">
        <f>VLOOKUP($I24,OC_DB!$C$5:$Q$2996,8,0)</f>
        <v>-92.55</v>
      </c>
      <c r="I24" s="15">
        <f>ROUND(I7/F4,0)*F4</f>
        <v>16450</v>
      </c>
      <c r="J24" s="20">
        <f>VLOOKUP($I24,OC_DB!$C$5:$Q$2996,14,0)</f>
        <v>58.3</v>
      </c>
      <c r="K24" s="20">
        <f>VLOOKUP($I24,OC_DB!$C$5:$Q$2996,13,0)</f>
        <v>113.6</v>
      </c>
      <c r="L24" s="20">
        <f>VLOOKUP($I24,OC_DB!$C$5:$Q$2996,12,0)</f>
        <v>15.09</v>
      </c>
      <c r="M24" s="20">
        <f>VLOOKUP($I24,OC_DB!$C$5:$Q$2996,11,0)</f>
        <v>673174</v>
      </c>
      <c r="N24" s="20">
        <f>VLOOKUP($I24,OC_DB!$C$5:$Q$2996,10,0)</f>
        <v>8188</v>
      </c>
      <c r="O24" s="20">
        <f>VLOOKUP($I24,OC_DB!$C$5:$Q$2996,9,0)</f>
        <v>20088</v>
      </c>
      <c r="P24" s="18" t="str">
        <f t="shared" si="1"/>
        <v>FRESH LONG</v>
      </c>
      <c r="Q24" s="6"/>
    </row>
    <row r="25" spans="1:17" x14ac:dyDescent="0.25">
      <c r="A25" s="6">
        <v>16</v>
      </c>
      <c r="B25" s="18" t="str">
        <f t="shared" si="0"/>
        <v>FRESH SHORT</v>
      </c>
      <c r="C25" s="20">
        <f>VLOOKUP($I25,OC_DB!$C$5:$Q$2996,3,0)</f>
        <v>99550</v>
      </c>
      <c r="D25" s="20">
        <f>VLOOKUP($I25,OC_DB!$C$5:$Q$2996,4,0)</f>
        <v>47232</v>
      </c>
      <c r="E25" s="20">
        <f>VLOOKUP($I25,OC_DB!$C$5:$Q$2996,5,0)</f>
        <v>1668023</v>
      </c>
      <c r="F25" s="20">
        <f>VLOOKUP($I25,OC_DB!$C$5:$Q$2996,6,0)</f>
        <v>8.6199999999999992</v>
      </c>
      <c r="G25" s="20">
        <f>VLOOKUP($I25,OC_DB!$C$5:$Q$2996,7,0)</f>
        <v>61.95</v>
      </c>
      <c r="H25" s="20">
        <f>VLOOKUP($I25,OC_DB!$C$5:$Q$2996,8,0)</f>
        <v>-82.600000000000009</v>
      </c>
      <c r="I25" s="14">
        <f>I24+$F$4</f>
        <v>16500</v>
      </c>
      <c r="J25" s="19">
        <f>VLOOKUP($I25,OC_DB!$C$5:$Q$2996,14,0)</f>
        <v>67.049999999999983</v>
      </c>
      <c r="K25" s="19">
        <f>VLOOKUP($I25,OC_DB!$C$5:$Q$2996,13,0)</f>
        <v>137.94999999999999</v>
      </c>
      <c r="L25" s="19">
        <f>VLOOKUP($I25,OC_DB!$C$5:$Q$2996,12,0)</f>
        <v>15.02</v>
      </c>
      <c r="M25" s="19">
        <f>VLOOKUP($I25,OC_DB!$C$5:$Q$2996,11,0)</f>
        <v>1029640</v>
      </c>
      <c r="N25" s="19">
        <f>VLOOKUP($I25,OC_DB!$C$5:$Q$2996,10,0)</f>
        <v>-21083</v>
      </c>
      <c r="O25" s="19">
        <f>VLOOKUP($I25,OC_DB!$C$5:$Q$2996,9,0)</f>
        <v>70670</v>
      </c>
      <c r="P25" s="18" t="str">
        <f t="shared" si="1"/>
        <v>SHORT COVERING</v>
      </c>
      <c r="Q25" s="6"/>
    </row>
    <row r="26" spans="1:17" x14ac:dyDescent="0.25">
      <c r="A26" s="6">
        <v>17</v>
      </c>
      <c r="B26" s="18" t="str">
        <f t="shared" si="0"/>
        <v>FRESH SHORT</v>
      </c>
      <c r="C26" s="20">
        <f>VLOOKUP($I26,OC_DB!$C$5:$Q$2996,3,0)</f>
        <v>29760</v>
      </c>
      <c r="D26" s="20">
        <f>VLOOKUP($I26,OC_DB!$C$5:$Q$2996,4,0)</f>
        <v>18590</v>
      </c>
      <c r="E26" s="20">
        <f>VLOOKUP($I26,OC_DB!$C$5:$Q$2996,5,0)</f>
        <v>552057</v>
      </c>
      <c r="F26" s="20">
        <f>VLOOKUP($I26,OC_DB!$C$5:$Q$2996,6,0)</f>
        <v>8.92</v>
      </c>
      <c r="G26" s="20">
        <f>VLOOKUP($I26,OC_DB!$C$5:$Q$2996,7,0)</f>
        <v>44.5</v>
      </c>
      <c r="H26" s="20">
        <f>VLOOKUP($I26,OC_DB!$C$5:$Q$2996,8,0)</f>
        <v>-67.7</v>
      </c>
      <c r="I26" s="14">
        <f t="shared" ref="I26:I39" si="3">I25+$F$4</f>
        <v>16550</v>
      </c>
      <c r="J26" s="19">
        <f>VLOOKUP($I26,OC_DB!$C$5:$Q$2996,14,0)</f>
        <v>79.75</v>
      </c>
      <c r="K26" s="19">
        <f>VLOOKUP($I26,OC_DB!$C$5:$Q$2996,13,0)</f>
        <v>169</v>
      </c>
      <c r="L26" s="19">
        <f>VLOOKUP($I26,OC_DB!$C$5:$Q$2996,12,0)</f>
        <v>15.37</v>
      </c>
      <c r="M26" s="19">
        <f>VLOOKUP($I26,OC_DB!$C$5:$Q$2996,11,0)</f>
        <v>137610</v>
      </c>
      <c r="N26" s="19">
        <f>VLOOKUP($I26,OC_DB!$C$5:$Q$2996,10,0)</f>
        <v>-5590</v>
      </c>
      <c r="O26" s="19">
        <f>VLOOKUP($I26,OC_DB!$C$5:$Q$2996,9,0)</f>
        <v>7461</v>
      </c>
      <c r="P26" s="18" t="str">
        <f t="shared" si="1"/>
        <v>SHORT COVERING</v>
      </c>
      <c r="Q26" s="6"/>
    </row>
    <row r="27" spans="1:17" x14ac:dyDescent="0.25">
      <c r="A27" s="6">
        <v>18</v>
      </c>
      <c r="B27" s="18" t="str">
        <f t="shared" si="0"/>
        <v>FRESH SHORT</v>
      </c>
      <c r="C27" s="20">
        <f>VLOOKUP($I27,OC_DB!$C$5:$Q$2996,3,0)</f>
        <v>88100</v>
      </c>
      <c r="D27" s="20">
        <f>VLOOKUP($I27,OC_DB!$C$5:$Q$2996,4,0)</f>
        <v>27431</v>
      </c>
      <c r="E27" s="20">
        <f>VLOOKUP($I27,OC_DB!$C$5:$Q$2996,5,0)</f>
        <v>1087600</v>
      </c>
      <c r="F27" s="20">
        <f>VLOOKUP($I27,OC_DB!$C$5:$Q$2996,6,0)</f>
        <v>9.19</v>
      </c>
      <c r="G27" s="20">
        <f>VLOOKUP($I27,OC_DB!$C$5:$Q$2996,7,0)</f>
        <v>31.3</v>
      </c>
      <c r="H27" s="20">
        <f>VLOOKUP($I27,OC_DB!$C$5:$Q$2996,8,0)</f>
        <v>-54.5</v>
      </c>
      <c r="I27" s="14">
        <f t="shared" si="3"/>
        <v>16600</v>
      </c>
      <c r="J27" s="19">
        <f>VLOOKUP($I27,OC_DB!$C$5:$Q$2996,14,0)</f>
        <v>99.25</v>
      </c>
      <c r="K27" s="19">
        <f>VLOOKUP($I27,OC_DB!$C$5:$Q$2996,13,0)</f>
        <v>210.4</v>
      </c>
      <c r="L27" s="19">
        <f>VLOOKUP($I27,OC_DB!$C$5:$Q$2996,12,0)</f>
        <v>16.690000000000001</v>
      </c>
      <c r="M27" s="19">
        <f>VLOOKUP($I27,OC_DB!$C$5:$Q$2996,11,0)</f>
        <v>267059</v>
      </c>
      <c r="N27" s="19">
        <f>VLOOKUP($I27,OC_DB!$C$5:$Q$2996,10,0)</f>
        <v>-23458</v>
      </c>
      <c r="O27" s="19">
        <f>VLOOKUP($I27,OC_DB!$C$5:$Q$2996,9,0)</f>
        <v>15395</v>
      </c>
      <c r="P27" s="18" t="str">
        <f t="shared" si="1"/>
        <v>SHORT COVERING</v>
      </c>
      <c r="Q27" s="6"/>
    </row>
    <row r="28" spans="1:17" x14ac:dyDescent="0.25">
      <c r="A28" s="6">
        <v>19</v>
      </c>
      <c r="B28" s="18" t="str">
        <f t="shared" si="0"/>
        <v>FRESH SHORT</v>
      </c>
      <c r="C28" s="20">
        <f>VLOOKUP($I28,OC_DB!$C$5:$Q$2996,3,0)</f>
        <v>28279</v>
      </c>
      <c r="D28" s="20">
        <f>VLOOKUP($I28,OC_DB!$C$5:$Q$2996,4,0)</f>
        <v>10329</v>
      </c>
      <c r="E28" s="20">
        <f>VLOOKUP($I28,OC_DB!$C$5:$Q$2996,5,0)</f>
        <v>392789</v>
      </c>
      <c r="F28" s="20">
        <f>VLOOKUP($I28,OC_DB!$C$5:$Q$2996,6,0)</f>
        <v>9.43</v>
      </c>
      <c r="G28" s="20">
        <f>VLOOKUP($I28,OC_DB!$C$5:$Q$2996,7,0)</f>
        <v>21.55</v>
      </c>
      <c r="H28" s="20">
        <f>VLOOKUP($I28,OC_DB!$C$5:$Q$2996,8,0)</f>
        <v>-41.5</v>
      </c>
      <c r="I28" s="14">
        <f t="shared" si="3"/>
        <v>16650</v>
      </c>
      <c r="J28" s="19">
        <f>VLOOKUP($I28,OC_DB!$C$5:$Q$2996,14,0)</f>
        <v>106.85</v>
      </c>
      <c r="K28" s="19">
        <f>VLOOKUP($I28,OC_DB!$C$5:$Q$2996,13,0)</f>
        <v>246.2</v>
      </c>
      <c r="L28" s="19">
        <f>VLOOKUP($I28,OC_DB!$C$5:$Q$2996,12,0)</f>
        <v>17.03</v>
      </c>
      <c r="M28" s="19">
        <f>VLOOKUP($I28,OC_DB!$C$5:$Q$2996,11,0)</f>
        <v>21959</v>
      </c>
      <c r="N28" s="19">
        <f>VLOOKUP($I28,OC_DB!$C$5:$Q$2996,10,0)</f>
        <v>-2007</v>
      </c>
      <c r="O28" s="19">
        <f>VLOOKUP($I28,OC_DB!$C$5:$Q$2996,9,0)</f>
        <v>2785</v>
      </c>
      <c r="P28" s="18" t="str">
        <f t="shared" si="1"/>
        <v>SHORT COVERING</v>
      </c>
      <c r="Q28" s="6"/>
    </row>
    <row r="29" spans="1:17" x14ac:dyDescent="0.25">
      <c r="A29" s="6">
        <v>20</v>
      </c>
      <c r="B29" s="18" t="str">
        <f t="shared" si="0"/>
        <v>FRESH SHORT</v>
      </c>
      <c r="C29" s="20">
        <f>VLOOKUP($I29,OC_DB!$C$5:$Q$2996,3,0)</f>
        <v>82212</v>
      </c>
      <c r="D29" s="20">
        <f>VLOOKUP($I29,OC_DB!$C$5:$Q$2996,4,0)</f>
        <v>18224</v>
      </c>
      <c r="E29" s="20">
        <f>VLOOKUP($I29,OC_DB!$C$5:$Q$2996,5,0)</f>
        <v>848219</v>
      </c>
      <c r="F29" s="20">
        <f>VLOOKUP($I29,OC_DB!$C$5:$Q$2996,6,0)</f>
        <v>9.75</v>
      </c>
      <c r="G29" s="20">
        <f>VLOOKUP($I29,OC_DB!$C$5:$Q$2996,7,0)</f>
        <v>15</v>
      </c>
      <c r="H29" s="20">
        <f>VLOOKUP($I29,OC_DB!$C$5:$Q$2996,8,0)</f>
        <v>-30.200000000000003</v>
      </c>
      <c r="I29" s="14">
        <f t="shared" si="3"/>
        <v>16700</v>
      </c>
      <c r="J29" s="19">
        <f>VLOOKUP($I29,OC_DB!$C$5:$Q$2996,14,0)</f>
        <v>124.9</v>
      </c>
      <c r="K29" s="19">
        <f>VLOOKUP($I29,OC_DB!$C$5:$Q$2996,13,0)</f>
        <v>295</v>
      </c>
      <c r="L29" s="19">
        <f>VLOOKUP($I29,OC_DB!$C$5:$Q$2996,12,0)</f>
        <v>18.89</v>
      </c>
      <c r="M29" s="19">
        <f>VLOOKUP($I29,OC_DB!$C$5:$Q$2996,11,0)</f>
        <v>85997</v>
      </c>
      <c r="N29" s="19">
        <f>VLOOKUP($I29,OC_DB!$C$5:$Q$2996,10,0)</f>
        <v>-7749</v>
      </c>
      <c r="O29" s="19">
        <f>VLOOKUP($I29,OC_DB!$C$5:$Q$2996,9,0)</f>
        <v>13641</v>
      </c>
      <c r="P29" s="18" t="str">
        <f t="shared" si="1"/>
        <v>SHORT COVERING</v>
      </c>
      <c r="Q29" s="6"/>
    </row>
    <row r="30" spans="1:17" x14ac:dyDescent="0.25">
      <c r="A30" s="6">
        <v>21</v>
      </c>
      <c r="B30" s="18" t="str">
        <f t="shared" si="0"/>
        <v>FRESH SHORT</v>
      </c>
      <c r="C30" s="20">
        <f>VLOOKUP($I30,OC_DB!$C$5:$Q$2996,3,0)</f>
        <v>26006</v>
      </c>
      <c r="D30" s="20">
        <f>VLOOKUP($I30,OC_DB!$C$5:$Q$2996,4,0)</f>
        <v>10453</v>
      </c>
      <c r="E30" s="20">
        <f>VLOOKUP($I30,OC_DB!$C$5:$Q$2996,5,0)</f>
        <v>284334</v>
      </c>
      <c r="F30" s="20">
        <f>VLOOKUP($I30,OC_DB!$C$5:$Q$2996,6,0)</f>
        <v>9.93</v>
      </c>
      <c r="G30" s="20">
        <f>VLOOKUP($I30,OC_DB!$C$5:$Q$2996,7,0)</f>
        <v>9.85</v>
      </c>
      <c r="H30" s="20">
        <f>VLOOKUP($I30,OC_DB!$C$5:$Q$2996,8,0)</f>
        <v>-22.15</v>
      </c>
      <c r="I30" s="14">
        <f t="shared" si="3"/>
        <v>16750</v>
      </c>
      <c r="J30" s="19">
        <f>VLOOKUP($I30,OC_DB!$C$5:$Q$2996,14,0)</f>
        <v>132.9</v>
      </c>
      <c r="K30" s="19">
        <f>VLOOKUP($I30,OC_DB!$C$5:$Q$2996,13,0)</f>
        <v>342.5</v>
      </c>
      <c r="L30" s="19">
        <f>VLOOKUP($I30,OC_DB!$C$5:$Q$2996,12,0)</f>
        <v>20.47</v>
      </c>
      <c r="M30" s="19">
        <f>VLOOKUP($I30,OC_DB!$C$5:$Q$2996,11,0)</f>
        <v>3124</v>
      </c>
      <c r="N30" s="19">
        <f>VLOOKUP($I30,OC_DB!$C$5:$Q$2996,10,0)</f>
        <v>-292</v>
      </c>
      <c r="O30" s="19">
        <f>VLOOKUP($I30,OC_DB!$C$5:$Q$2996,9,0)</f>
        <v>553</v>
      </c>
      <c r="P30" s="18" t="str">
        <f t="shared" si="1"/>
        <v>SHORT COVERING</v>
      </c>
      <c r="Q30" s="6"/>
    </row>
    <row r="31" spans="1:17" x14ac:dyDescent="0.25">
      <c r="A31" s="6">
        <v>22</v>
      </c>
      <c r="B31" s="18" t="str">
        <f t="shared" si="0"/>
        <v>FRESH SHORT</v>
      </c>
      <c r="C31" s="20">
        <f>VLOOKUP($I31,OC_DB!$C$5:$Q$2996,3,0)</f>
        <v>73378</v>
      </c>
      <c r="D31" s="20">
        <f>VLOOKUP($I31,OC_DB!$C$5:$Q$2996,4,0)</f>
        <v>33714</v>
      </c>
      <c r="E31" s="20">
        <f>VLOOKUP($I31,OC_DB!$C$5:$Q$2996,5,0)</f>
        <v>571951</v>
      </c>
      <c r="F31" s="20">
        <f>VLOOKUP($I31,OC_DB!$C$5:$Q$2996,6,0)</f>
        <v>10.26</v>
      </c>
      <c r="G31" s="20">
        <f>VLOOKUP($I31,OC_DB!$C$5:$Q$2996,7,0)</f>
        <v>6.8</v>
      </c>
      <c r="H31" s="20">
        <f>VLOOKUP($I31,OC_DB!$C$5:$Q$2996,8,0)</f>
        <v>-15.4</v>
      </c>
      <c r="I31" s="14">
        <f t="shared" si="3"/>
        <v>16800</v>
      </c>
      <c r="J31" s="19">
        <f>VLOOKUP($I31,OC_DB!$C$5:$Q$2996,14,0)</f>
        <v>132.15</v>
      </c>
      <c r="K31" s="19">
        <f>VLOOKUP($I31,OC_DB!$C$5:$Q$2996,13,0)</f>
        <v>383</v>
      </c>
      <c r="L31" s="19">
        <f>VLOOKUP($I31,OC_DB!$C$5:$Q$2996,12,0)</f>
        <v>20.89</v>
      </c>
      <c r="M31" s="19">
        <f>VLOOKUP($I31,OC_DB!$C$5:$Q$2996,11,0)</f>
        <v>20875</v>
      </c>
      <c r="N31" s="19">
        <f>VLOOKUP($I31,OC_DB!$C$5:$Q$2996,10,0)</f>
        <v>-3817</v>
      </c>
      <c r="O31" s="19">
        <f>VLOOKUP($I31,OC_DB!$C$5:$Q$2996,9,0)</f>
        <v>3642</v>
      </c>
      <c r="P31" s="18" t="str">
        <f t="shared" si="1"/>
        <v>SHORT COVERING</v>
      </c>
      <c r="Q31" s="6"/>
    </row>
    <row r="32" spans="1:17" x14ac:dyDescent="0.25">
      <c r="A32" s="6">
        <v>23</v>
      </c>
      <c r="B32" s="18" t="str">
        <f t="shared" si="0"/>
        <v>FRESH SHORT</v>
      </c>
      <c r="C32" s="20">
        <f>VLOOKUP($I32,OC_DB!$C$5:$Q$2996,3,0)</f>
        <v>15888</v>
      </c>
      <c r="D32" s="20">
        <f>VLOOKUP($I32,OC_DB!$C$5:$Q$2996,4,0)</f>
        <v>5239</v>
      </c>
      <c r="E32" s="20">
        <f>VLOOKUP($I32,OC_DB!$C$5:$Q$2996,5,0)</f>
        <v>206775</v>
      </c>
      <c r="F32" s="20">
        <f>VLOOKUP($I32,OC_DB!$C$5:$Q$2996,6,0)</f>
        <v>10.72</v>
      </c>
      <c r="G32" s="20">
        <f>VLOOKUP($I32,OC_DB!$C$5:$Q$2996,7,0)</f>
        <v>5</v>
      </c>
      <c r="H32" s="20">
        <f>VLOOKUP($I32,OC_DB!$C$5:$Q$2996,8,0)</f>
        <v>-9.9</v>
      </c>
      <c r="I32" s="14">
        <f t="shared" si="3"/>
        <v>16850</v>
      </c>
      <c r="J32" s="19">
        <f>VLOOKUP($I32,OC_DB!$C$5:$Q$2996,14,0)</f>
        <v>147.19999999999999</v>
      </c>
      <c r="K32" s="19">
        <f>VLOOKUP($I32,OC_DB!$C$5:$Q$2996,13,0)</f>
        <v>439.9</v>
      </c>
      <c r="L32" s="19">
        <f>VLOOKUP($I32,OC_DB!$C$5:$Q$2996,12,0)</f>
        <v>23.72</v>
      </c>
      <c r="M32" s="19">
        <f>VLOOKUP($I32,OC_DB!$C$5:$Q$2996,11,0)</f>
        <v>478</v>
      </c>
      <c r="N32" s="19">
        <f>VLOOKUP($I32,OC_DB!$C$5:$Q$2996,10,0)</f>
        <v>-65</v>
      </c>
      <c r="O32" s="19">
        <f>VLOOKUP($I32,OC_DB!$C$5:$Q$2996,9,0)</f>
        <v>231</v>
      </c>
      <c r="P32" s="18" t="str">
        <f t="shared" si="1"/>
        <v>SHORT COVERING</v>
      </c>
      <c r="Q32" s="6"/>
    </row>
    <row r="33" spans="1:17" x14ac:dyDescent="0.25">
      <c r="A33" s="6">
        <v>24</v>
      </c>
      <c r="B33" s="18" t="str">
        <f t="shared" si="0"/>
        <v>FRESH SHORT</v>
      </c>
      <c r="C33" s="20">
        <f>VLOOKUP($I33,OC_DB!$C$5:$Q$2996,3,0)</f>
        <v>54959</v>
      </c>
      <c r="D33" s="20">
        <f>VLOOKUP($I33,OC_DB!$C$5:$Q$2996,4,0)</f>
        <v>16485</v>
      </c>
      <c r="E33" s="20">
        <f>VLOOKUP($I33,OC_DB!$C$5:$Q$2996,5,0)</f>
        <v>395263</v>
      </c>
      <c r="F33" s="20">
        <f>VLOOKUP($I33,OC_DB!$C$5:$Q$2996,6,0)</f>
        <v>11.34</v>
      </c>
      <c r="G33" s="20">
        <f>VLOOKUP($I33,OC_DB!$C$5:$Q$2996,7,0)</f>
        <v>4</v>
      </c>
      <c r="H33" s="20">
        <f>VLOOKUP($I33,OC_DB!$C$5:$Q$2996,8,0)</f>
        <v>-6.3000000000000007</v>
      </c>
      <c r="I33" s="14">
        <f t="shared" si="3"/>
        <v>16900</v>
      </c>
      <c r="J33" s="19">
        <f>VLOOKUP($I33,OC_DB!$C$5:$Q$2996,14,0)</f>
        <v>140.84999999999997</v>
      </c>
      <c r="K33" s="19">
        <f>VLOOKUP($I33,OC_DB!$C$5:$Q$2996,13,0)</f>
        <v>480.4</v>
      </c>
      <c r="L33" s="19">
        <f>VLOOKUP($I33,OC_DB!$C$5:$Q$2996,12,0)</f>
        <v>23.91</v>
      </c>
      <c r="M33" s="19">
        <f>VLOOKUP($I33,OC_DB!$C$5:$Q$2996,11,0)</f>
        <v>4775</v>
      </c>
      <c r="N33" s="19">
        <f>VLOOKUP($I33,OC_DB!$C$5:$Q$2996,10,0)</f>
        <v>-105</v>
      </c>
      <c r="O33" s="19">
        <f>VLOOKUP($I33,OC_DB!$C$5:$Q$2996,9,0)</f>
        <v>7633</v>
      </c>
      <c r="P33" s="18" t="str">
        <f t="shared" si="1"/>
        <v>SHORT COVERING</v>
      </c>
      <c r="Q33" s="6"/>
    </row>
    <row r="34" spans="1:17" x14ac:dyDescent="0.25">
      <c r="A34" s="6">
        <v>25</v>
      </c>
      <c r="B34" s="18" t="str">
        <f t="shared" si="0"/>
        <v>FRESH SHORT</v>
      </c>
      <c r="C34" s="20">
        <f>VLOOKUP($I34,OC_DB!$C$5:$Q$2996,3,0)</f>
        <v>13048</v>
      </c>
      <c r="D34" s="20">
        <f>VLOOKUP($I34,OC_DB!$C$5:$Q$2996,4,0)</f>
        <v>4357</v>
      </c>
      <c r="E34" s="20">
        <f>VLOOKUP($I34,OC_DB!$C$5:$Q$2996,5,0)</f>
        <v>104710</v>
      </c>
      <c r="F34" s="20">
        <f>VLOOKUP($I34,OC_DB!$C$5:$Q$2996,6,0)</f>
        <v>11.91</v>
      </c>
      <c r="G34" s="20">
        <f>VLOOKUP($I34,OC_DB!$C$5:$Q$2996,7,0)</f>
        <v>3.2</v>
      </c>
      <c r="H34" s="20">
        <f>VLOOKUP($I34,OC_DB!$C$5:$Q$2996,8,0)</f>
        <v>-4.3</v>
      </c>
      <c r="I34" s="14">
        <f t="shared" si="3"/>
        <v>16950</v>
      </c>
      <c r="J34" s="19">
        <f>VLOOKUP($I34,OC_DB!$C$5:$Q$2996,14,0)</f>
        <v>155.5</v>
      </c>
      <c r="K34" s="19">
        <f>VLOOKUP($I34,OC_DB!$C$5:$Q$2996,13,0)</f>
        <v>537.85</v>
      </c>
      <c r="L34" s="19">
        <f>VLOOKUP($I34,OC_DB!$C$5:$Q$2996,12,0)</f>
        <v>26.8</v>
      </c>
      <c r="M34" s="19">
        <f>VLOOKUP($I34,OC_DB!$C$5:$Q$2996,11,0)</f>
        <v>149</v>
      </c>
      <c r="N34" s="19">
        <f>VLOOKUP($I34,OC_DB!$C$5:$Q$2996,10,0)</f>
        <v>12</v>
      </c>
      <c r="O34" s="19">
        <f>VLOOKUP($I34,OC_DB!$C$5:$Q$2996,9,0)</f>
        <v>109</v>
      </c>
      <c r="P34" s="18" t="str">
        <f t="shared" si="1"/>
        <v>FRESH LONG</v>
      </c>
      <c r="Q34" s="6"/>
    </row>
    <row r="35" spans="1:17" x14ac:dyDescent="0.25">
      <c r="A35" s="6">
        <v>26</v>
      </c>
      <c r="B35" s="18" t="str">
        <f t="shared" si="0"/>
        <v>FRESH SHORT</v>
      </c>
      <c r="C35" s="20">
        <f>VLOOKUP($I35,OC_DB!$C$5:$Q$2996,3,0)</f>
        <v>85191</v>
      </c>
      <c r="D35" s="20">
        <f>VLOOKUP($I35,OC_DB!$C$5:$Q$2996,4,0)</f>
        <v>16420</v>
      </c>
      <c r="E35" s="20">
        <f>VLOOKUP($I35,OC_DB!$C$5:$Q$2996,5,0)</f>
        <v>407558</v>
      </c>
      <c r="F35" s="20">
        <f>VLOOKUP($I35,OC_DB!$C$5:$Q$2996,6,0)</f>
        <v>12.75</v>
      </c>
      <c r="G35" s="20">
        <f>VLOOKUP($I35,OC_DB!$C$5:$Q$2996,7,0)</f>
        <v>2.95</v>
      </c>
      <c r="H35" s="20">
        <f>VLOOKUP($I35,OC_DB!$C$5:$Q$2996,8,0)</f>
        <v>-2.95</v>
      </c>
      <c r="I35" s="14">
        <f t="shared" si="3"/>
        <v>17000</v>
      </c>
      <c r="J35" s="19">
        <f>VLOOKUP($I35,OC_DB!$C$5:$Q$2996,14,0)</f>
        <v>150.80000000000001</v>
      </c>
      <c r="K35" s="19">
        <f>VLOOKUP($I35,OC_DB!$C$5:$Q$2996,13,0)</f>
        <v>584.6</v>
      </c>
      <c r="L35" s="19">
        <f>VLOOKUP($I35,OC_DB!$C$5:$Q$2996,12,0)</f>
        <v>27.89</v>
      </c>
      <c r="M35" s="19">
        <f>VLOOKUP($I35,OC_DB!$C$5:$Q$2996,11,0)</f>
        <v>4825</v>
      </c>
      <c r="N35" s="19">
        <f>VLOOKUP($I35,OC_DB!$C$5:$Q$2996,10,0)</f>
        <v>-787</v>
      </c>
      <c r="O35" s="19">
        <f>VLOOKUP($I35,OC_DB!$C$5:$Q$2996,9,0)</f>
        <v>8502</v>
      </c>
      <c r="P35" s="18" t="str">
        <f t="shared" si="1"/>
        <v>SHORT COVERING</v>
      </c>
      <c r="Q35" s="6"/>
    </row>
    <row r="36" spans="1:17" x14ac:dyDescent="0.25">
      <c r="A36" s="6">
        <v>27</v>
      </c>
      <c r="B36" s="18" t="str">
        <f t="shared" si="0"/>
        <v>LONG UNWIND</v>
      </c>
      <c r="C36" s="20">
        <f>VLOOKUP($I36,OC_DB!$C$5:$Q$2996,3,0)</f>
        <v>5919</v>
      </c>
      <c r="D36" s="20">
        <f>VLOOKUP($I36,OC_DB!$C$5:$Q$2996,4,0)</f>
        <v>-1885</v>
      </c>
      <c r="E36" s="20">
        <f>VLOOKUP($I36,OC_DB!$C$5:$Q$2996,5,0)</f>
        <v>39876</v>
      </c>
      <c r="F36" s="20">
        <f>VLOOKUP($I36,OC_DB!$C$5:$Q$2996,6,0)</f>
        <v>13.7</v>
      </c>
      <c r="G36" s="20">
        <f>VLOOKUP($I36,OC_DB!$C$5:$Q$2996,7,0)</f>
        <v>2.9</v>
      </c>
      <c r="H36" s="20">
        <f>VLOOKUP($I36,OC_DB!$C$5:$Q$2996,8,0)</f>
        <v>-1.5500000000000005</v>
      </c>
      <c r="I36" s="14">
        <f t="shared" si="3"/>
        <v>17050</v>
      </c>
      <c r="J36" s="19">
        <f>VLOOKUP($I36,OC_DB!$C$5:$Q$2996,14,0)</f>
        <v>157.99999999999994</v>
      </c>
      <c r="K36" s="19">
        <f>VLOOKUP($I36,OC_DB!$C$5:$Q$2996,13,0)</f>
        <v>639.79999999999995</v>
      </c>
      <c r="L36" s="19">
        <f>VLOOKUP($I36,OC_DB!$C$5:$Q$2996,12,0)</f>
        <v>30.38</v>
      </c>
      <c r="M36" s="19">
        <f>VLOOKUP($I36,OC_DB!$C$5:$Q$2996,11,0)</f>
        <v>12</v>
      </c>
      <c r="N36" s="19">
        <f>VLOOKUP($I36,OC_DB!$C$5:$Q$2996,10,0)</f>
        <v>-3</v>
      </c>
      <c r="O36" s="19">
        <f>VLOOKUP($I36,OC_DB!$C$5:$Q$2996,9,0)</f>
        <v>73</v>
      </c>
      <c r="P36" s="18" t="str">
        <f t="shared" si="1"/>
        <v>SHORT COVERING</v>
      </c>
      <c r="Q36" s="6"/>
    </row>
    <row r="37" spans="1:17" x14ac:dyDescent="0.25">
      <c r="A37" s="6">
        <v>28</v>
      </c>
      <c r="B37" s="18" t="str">
        <f t="shared" si="0"/>
        <v>FRESH SHORT</v>
      </c>
      <c r="C37" s="20">
        <f>VLOOKUP($I37,OC_DB!$C$5:$Q$2996,3,0)</f>
        <v>66343</v>
      </c>
      <c r="D37" s="20">
        <f>VLOOKUP($I37,OC_DB!$C$5:$Q$2996,4,0)</f>
        <v>43055</v>
      </c>
      <c r="E37" s="20">
        <f>VLOOKUP($I37,OC_DB!$C$5:$Q$2996,5,0)</f>
        <v>248357</v>
      </c>
      <c r="F37" s="20">
        <f>VLOOKUP($I37,OC_DB!$C$5:$Q$2996,6,0)</f>
        <v>14.25</v>
      </c>
      <c r="G37" s="20">
        <f>VLOOKUP($I37,OC_DB!$C$5:$Q$2996,7,0)</f>
        <v>2.4</v>
      </c>
      <c r="H37" s="20">
        <f>VLOOKUP($I37,OC_DB!$C$5:$Q$2996,8,0)</f>
        <v>-1.3000000000000005</v>
      </c>
      <c r="I37" s="14">
        <f t="shared" si="3"/>
        <v>17100</v>
      </c>
      <c r="J37" s="19">
        <f>VLOOKUP($I37,OC_DB!$C$5:$Q$2996,14,0)</f>
        <v>158.75</v>
      </c>
      <c r="K37" s="19">
        <f>VLOOKUP($I37,OC_DB!$C$5:$Q$2996,13,0)</f>
        <v>687</v>
      </c>
      <c r="L37" s="19">
        <f>VLOOKUP($I37,OC_DB!$C$5:$Q$2996,12,0)</f>
        <v>31.47</v>
      </c>
      <c r="M37" s="19">
        <f>VLOOKUP($I37,OC_DB!$C$5:$Q$2996,11,0)</f>
        <v>140</v>
      </c>
      <c r="N37" s="19">
        <f>VLOOKUP($I37,OC_DB!$C$5:$Q$2996,10,0)</f>
        <v>-13</v>
      </c>
      <c r="O37" s="19">
        <f>VLOOKUP($I37,OC_DB!$C$5:$Q$2996,9,0)</f>
        <v>195</v>
      </c>
      <c r="P37" s="18" t="str">
        <f t="shared" si="1"/>
        <v>SHORT COVERING</v>
      </c>
      <c r="Q37" s="6"/>
    </row>
    <row r="38" spans="1:17" x14ac:dyDescent="0.25">
      <c r="A38" s="6">
        <v>29</v>
      </c>
      <c r="B38" s="18" t="str">
        <f t="shared" si="0"/>
        <v>LONG UNWIND</v>
      </c>
      <c r="C38" s="20">
        <f>VLOOKUP($I38,OC_DB!$C$5:$Q$2996,3,0)</f>
        <v>2345</v>
      </c>
      <c r="D38" s="20">
        <f>VLOOKUP($I38,OC_DB!$C$5:$Q$2996,4,0)</f>
        <v>-71</v>
      </c>
      <c r="E38" s="20">
        <f>VLOOKUP($I38,OC_DB!$C$5:$Q$2996,5,0)</f>
        <v>13071</v>
      </c>
      <c r="F38" s="20">
        <f>VLOOKUP($I38,OC_DB!$C$5:$Q$2996,6,0)</f>
        <v>14.89</v>
      </c>
      <c r="G38" s="20">
        <f>VLOOKUP($I38,OC_DB!$C$5:$Q$2996,7,0)</f>
        <v>2.1</v>
      </c>
      <c r="H38" s="20">
        <f>VLOOKUP($I38,OC_DB!$C$5:$Q$2996,8,0)</f>
        <v>-1.1000000000000001</v>
      </c>
      <c r="I38" s="14">
        <f t="shared" si="3"/>
        <v>17150</v>
      </c>
      <c r="J38" s="19">
        <f>VLOOKUP($I38,OC_DB!$C$5:$Q$2996,14,0)</f>
        <v>150</v>
      </c>
      <c r="K38" s="19">
        <f>VLOOKUP($I38,OC_DB!$C$5:$Q$2996,13,0)</f>
        <v>720</v>
      </c>
      <c r="L38" s="19">
        <f>VLOOKUP($I38,OC_DB!$C$5:$Q$2996,12,0)</f>
        <v>29.77</v>
      </c>
      <c r="M38" s="19">
        <f>VLOOKUP($I38,OC_DB!$C$5:$Q$2996,11,0)</f>
        <v>3</v>
      </c>
      <c r="N38" s="19">
        <f>VLOOKUP($I38,OC_DB!$C$5:$Q$2996,10,0)</f>
        <v>1</v>
      </c>
      <c r="O38" s="19">
        <f>VLOOKUP($I38,OC_DB!$C$5:$Q$2996,9,0)</f>
        <v>12</v>
      </c>
      <c r="P38" s="18" t="str">
        <f t="shared" si="1"/>
        <v>FRESH LONG</v>
      </c>
      <c r="Q38" s="6"/>
    </row>
    <row r="39" spans="1:17" x14ac:dyDescent="0.25">
      <c r="A39" s="6">
        <v>30</v>
      </c>
      <c r="B39" s="18" t="str">
        <f t="shared" si="0"/>
        <v>FRESH SHORT</v>
      </c>
      <c r="C39" s="20">
        <f>VLOOKUP($I39,OC_DB!$C$5:$Q$2996,3,0)</f>
        <v>31725</v>
      </c>
      <c r="D39" s="20">
        <f>VLOOKUP($I39,OC_DB!$C$5:$Q$2996,4,0)</f>
        <v>3688</v>
      </c>
      <c r="E39" s="20">
        <f>VLOOKUP($I39,OC_DB!$C$5:$Q$2996,5,0)</f>
        <v>121162</v>
      </c>
      <c r="F39" s="20">
        <f>VLOOKUP($I39,OC_DB!$C$5:$Q$2996,6,0)</f>
        <v>15.46</v>
      </c>
      <c r="G39" s="20">
        <f>VLOOKUP($I39,OC_DB!$C$5:$Q$2996,7,0)</f>
        <v>1.8</v>
      </c>
      <c r="H39" s="20">
        <f>VLOOKUP($I39,OC_DB!$C$5:$Q$2996,8,0)</f>
        <v>-1.1000000000000001</v>
      </c>
      <c r="I39" s="14">
        <f t="shared" si="3"/>
        <v>17200</v>
      </c>
      <c r="J39" s="19">
        <f>VLOOKUP($I39,OC_DB!$C$5:$Q$2996,14,0)</f>
        <v>160.75</v>
      </c>
      <c r="K39" s="19">
        <f>VLOOKUP($I39,OC_DB!$C$5:$Q$2996,13,0)</f>
        <v>782.9</v>
      </c>
      <c r="L39" s="19">
        <f>VLOOKUP($I39,OC_DB!$C$5:$Q$2996,12,0)</f>
        <v>33.770000000000003</v>
      </c>
      <c r="M39" s="19">
        <f>VLOOKUP($I39,OC_DB!$C$5:$Q$2996,11,0)</f>
        <v>134</v>
      </c>
      <c r="N39" s="19">
        <f>VLOOKUP($I39,OC_DB!$C$5:$Q$2996,10,0)</f>
        <v>-27</v>
      </c>
      <c r="O39" s="19">
        <f>VLOOKUP($I39,OC_DB!$C$5:$Q$2996,9,0)</f>
        <v>269</v>
      </c>
      <c r="P39" s="18" t="str">
        <f t="shared" si="1"/>
        <v>SHORT COVERING</v>
      </c>
      <c r="Q39" s="6"/>
    </row>
    <row r="40" spans="1:17" x14ac:dyDescent="0.25">
      <c r="A40" s="6"/>
      <c r="B40" s="17" t="s">
        <v>81</v>
      </c>
      <c r="C40" s="17">
        <f>SUM(C10:C39)</f>
        <v>882728</v>
      </c>
      <c r="D40" s="17">
        <f t="shared" ref="D40" si="4">SUM(D10:D39)</f>
        <v>307346</v>
      </c>
      <c r="E40" s="17">
        <f>SUM(E10:E39)</f>
        <v>8768770</v>
      </c>
      <c r="F40" s="17"/>
      <c r="G40" s="17"/>
      <c r="H40" s="17"/>
      <c r="I40" s="17"/>
      <c r="J40" s="17"/>
      <c r="K40" s="17"/>
      <c r="L40" s="17"/>
      <c r="M40" s="17">
        <f t="shared" ref="M40:N40" si="5">SUM(M10:M39)</f>
        <v>7661113</v>
      </c>
      <c r="N40" s="17">
        <f t="shared" si="5"/>
        <v>67173</v>
      </c>
      <c r="O40" s="17">
        <f t="shared" ref="O40" si="6">SUM(O10:O39)</f>
        <v>679600</v>
      </c>
      <c r="P40" s="17"/>
      <c r="Q40" s="6"/>
    </row>
    <row r="41" spans="1:17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spans="1:17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spans="1:17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spans="1:17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spans="1:17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spans="1:17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spans="1:17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spans="1:17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spans="1:17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spans="1:17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spans="1:17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spans="1:17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1:17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spans="1:17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1:17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spans="1:17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spans="1:17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spans="1:17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spans="1:17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7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7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7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spans="1:17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spans="1:17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spans="1:17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spans="1:17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</sheetData>
  <mergeCells count="9">
    <mergeCell ref="C1:Q1"/>
    <mergeCell ref="L4:M4"/>
    <mergeCell ref="O4:P4"/>
    <mergeCell ref="O5:P5"/>
    <mergeCell ref="B8:H8"/>
    <mergeCell ref="J8:P8"/>
    <mergeCell ref="H5:H6"/>
    <mergeCell ref="J5:J6"/>
    <mergeCell ref="L5:M5"/>
  </mergeCells>
  <conditionalFormatting sqref="B10:B39">
    <cfRule type="cellIs" dxfId="62" priority="21" operator="equal">
      <formula>"FRESH LONG"</formula>
    </cfRule>
    <cfRule type="cellIs" dxfId="61" priority="22" operator="equal">
      <formula>"SHORT COVERING"</formula>
    </cfRule>
    <cfRule type="cellIs" dxfId="60" priority="32" operator="equal">
      <formula>"FRESH SHORT"</formula>
    </cfRule>
  </conditionalFormatting>
  <conditionalFormatting sqref="P10:P39">
    <cfRule type="cellIs" dxfId="59" priority="16" operator="equal">
      <formula>"FRESH LONG"</formula>
    </cfRule>
    <cfRule type="cellIs" dxfId="58" priority="17" operator="equal">
      <formula>"LONG UNWIND"</formula>
    </cfRule>
    <cfRule type="cellIs" dxfId="57" priority="30" operator="equal">
      <formula>"SHORT COVERING"</formula>
    </cfRule>
    <cfRule type="cellIs" dxfId="56" priority="31" operator="equal">
      <formula>"FRESH SHORT"</formula>
    </cfRule>
  </conditionalFormatting>
  <conditionalFormatting sqref="L5">
    <cfRule type="cellIs" dxfId="55" priority="23" operator="equal">
      <formula>"BULLISH"</formula>
    </cfRule>
    <cfRule type="cellIs" dxfId="54" priority="24" operator="equal">
      <formula>"BEARISH"</formula>
    </cfRule>
  </conditionalFormatting>
  <conditionalFormatting sqref="B15:B39">
    <cfRule type="cellIs" dxfId="53" priority="18" operator="equal">
      <formula>"LONG UNWIND"</formula>
    </cfRule>
  </conditionalFormatting>
  <conditionalFormatting sqref="B10:B11">
    <cfRule type="cellIs" dxfId="52" priority="14" operator="equal">
      <formula>"LONG UNWIND"</formula>
    </cfRule>
  </conditionalFormatting>
  <conditionalFormatting sqref="C10:C39">
    <cfRule type="top10" dxfId="51" priority="7" rank="3"/>
    <cfRule type="dataBar" priority="8">
      <dataBar>
        <cfvo type="min"/>
        <cfvo type="max"/>
        <color rgb="FFFC7C7C"/>
      </dataBar>
      <extLst>
        <ext xmlns:x14="http://schemas.microsoft.com/office/spreadsheetml/2009/9/main" uri="{B025F937-C7B1-47D3-B67F-A62EFF666E3E}">
          <x14:id>{EB769142-65C3-4C86-AE3D-7817652D2263}</x14:id>
        </ext>
      </extLst>
    </cfRule>
  </conditionalFormatting>
  <conditionalFormatting sqref="O10:O39">
    <cfRule type="top10" dxfId="50" priority="9" rank="3"/>
    <cfRule type="dataBar" priority="10">
      <dataBar>
        <cfvo type="min"/>
        <cfvo type="max"/>
        <color rgb="FF83CF9C"/>
      </dataBar>
      <extLst>
        <ext xmlns:x14="http://schemas.microsoft.com/office/spreadsheetml/2009/9/main" uri="{B025F937-C7B1-47D3-B67F-A62EFF666E3E}">
          <x14:id>{010BCF85-A66D-4D80-84DF-6C2B3E30D9E2}</x14:id>
        </ext>
      </extLst>
    </cfRule>
  </conditionalFormatting>
  <conditionalFormatting sqref="O5">
    <cfRule type="cellIs" dxfId="49" priority="1" operator="equal">
      <formula>"BULLISH"</formula>
    </cfRule>
    <cfRule type="cellIs" dxfId="48" priority="2" operator="equal">
      <formula>"BEARISH"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Cookescopy">
                <anchor moveWithCells="1" sizeWithCells="1">
                  <from>
                    <xdr:col>8</xdr:col>
                    <xdr:colOff>504825</xdr:colOff>
                    <xdr:row>2</xdr:row>
                    <xdr:rowOff>47625</xdr:rowOff>
                  </from>
                  <to>
                    <xdr:col>10</xdr:col>
                    <xdr:colOff>161925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769142-65C3-4C86-AE3D-7817652D226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C10:C39</xm:sqref>
        </x14:conditionalFormatting>
        <x14:conditionalFormatting xmlns:xm="http://schemas.microsoft.com/office/excel/2006/main">
          <x14:cfRule type="dataBar" id="{010BCF85-A66D-4D80-84DF-6C2B3E30D9E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O10:O39</xm:sqref>
        </x14:conditionalFormatting>
        <x14:conditionalFormatting xmlns:xm="http://schemas.microsoft.com/office/excel/2006/main">
          <x14:cfRule type="iconSet" priority="15" id="{640B1B62-19BB-4901-925A-09F2DE187A5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0"/>
              <x14:cfIcon iconSet="3Arrows" iconId="2"/>
            </x14:iconSet>
          </x14:cfRule>
          <xm:sqref>D10:D39 H10:H39 J10:J39 N10:N39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correct Symbol" error="Please Select from drop down" xr:uid="{92C392FF-DAEA-4145-846B-B516AD537CC7}">
          <x14:formula1>
            <xm:f>STOCKLIST!$A$2:$A$2000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C1:Q91"/>
  <sheetViews>
    <sheetView topLeftCell="C1" workbookViewId="0">
      <selection activeCell="E13" sqref="E13"/>
    </sheetView>
  </sheetViews>
  <sheetFormatPr defaultRowHeight="15" x14ac:dyDescent="0.25"/>
  <cols>
    <col min="1" max="2" width="9.140625" style="10"/>
    <col min="3" max="3" width="19.140625" style="10" bestFit="1" customWidth="1"/>
    <col min="4" max="4" width="19.42578125" style="10" bestFit="1" customWidth="1"/>
    <col min="5" max="5" width="24.140625" style="10" bestFit="1" customWidth="1"/>
    <col min="6" max="6" width="32.7109375" style="10" bestFit="1" customWidth="1"/>
    <col min="7" max="7" width="30.140625" style="10" bestFit="1" customWidth="1"/>
    <col min="8" max="8" width="27.7109375" style="10" bestFit="1" customWidth="1"/>
    <col min="9" max="9" width="20" style="10" bestFit="1" customWidth="1"/>
    <col min="10" max="10" width="18.7109375" style="10" bestFit="1" customWidth="1"/>
    <col min="11" max="11" width="24.140625" style="10" bestFit="1" customWidth="1"/>
    <col min="12" max="12" width="32.7109375" style="10" bestFit="1" customWidth="1"/>
    <col min="13" max="13" width="30.140625" style="10" bestFit="1" customWidth="1"/>
    <col min="14" max="14" width="27.7109375" style="10" bestFit="1" customWidth="1"/>
    <col min="15" max="15" width="20" style="10" bestFit="1" customWidth="1"/>
    <col min="16" max="16" width="18.7109375" style="10" bestFit="1" customWidth="1"/>
    <col min="17" max="17" width="27.42578125" style="10" bestFit="1" customWidth="1"/>
    <col min="18" max="16384" width="9.140625" style="10"/>
  </cols>
  <sheetData>
    <row r="1" spans="3:17" x14ac:dyDescent="0.25">
      <c r="C1" s="10" t="s">
        <v>69</v>
      </c>
      <c r="D1" s="10" t="s">
        <v>64</v>
      </c>
      <c r="E1" s="10" t="s">
        <v>85</v>
      </c>
      <c r="F1" s="8" t="s">
        <v>84</v>
      </c>
      <c r="G1" s="10" t="s">
        <v>83</v>
      </c>
      <c r="I1" s="10" t="s">
        <v>101</v>
      </c>
    </row>
    <row r="2" spans="3:17" x14ac:dyDescent="0.25">
      <c r="C2" s="10">
        <f>$Q$12</f>
        <v>16450.5</v>
      </c>
      <c r="D2" s="10">
        <f>MROUND(C10,100)</f>
        <v>14100</v>
      </c>
      <c r="E2" s="10" t="str">
        <f>'OPTION CHAIN'!B4</f>
        <v>NIFTY 50</v>
      </c>
      <c r="F2" s="8" t="str">
        <f>IF(OR(G$2="BANKNIFTY",G$2="NIFTY"),"indices","equities")</f>
        <v>indices</v>
      </c>
      <c r="G2" s="10" t="str">
        <f>IF(E2="NIFTY BANK","BANKNIFTY",IF(E2="NIFTY 50","NIFTY",E2))</f>
        <v>NIFTY</v>
      </c>
      <c r="H2" s="24"/>
      <c r="I2" s="25" t="str">
        <f>'OPTION CHAIN'!C4</f>
        <v>26-Aug-2021</v>
      </c>
    </row>
    <row r="3" spans="3:17" x14ac:dyDescent="0.25">
      <c r="F3" s="23" t="str">
        <f>IF(F2="equities","EQUITY","INDICES")</f>
        <v>INDICES</v>
      </c>
    </row>
    <row r="4" spans="3:17" x14ac:dyDescent="0.25">
      <c r="C4" s="10">
        <v>1</v>
      </c>
      <c r="D4" s="10">
        <v>2</v>
      </c>
      <c r="E4" s="10">
        <v>3</v>
      </c>
      <c r="F4" s="10">
        <v>4</v>
      </c>
      <c r="G4" s="10">
        <v>5</v>
      </c>
      <c r="H4" s="10">
        <v>6</v>
      </c>
      <c r="I4" s="10">
        <v>7</v>
      </c>
      <c r="J4" s="10">
        <v>8</v>
      </c>
      <c r="K4" s="10">
        <v>9</v>
      </c>
      <c r="L4" s="10">
        <v>10</v>
      </c>
      <c r="M4" s="10">
        <v>11</v>
      </c>
      <c r="N4" s="10">
        <v>12</v>
      </c>
      <c r="O4" s="10">
        <v>13</v>
      </c>
      <c r="P4" s="10">
        <v>14</v>
      </c>
      <c r="Q4" s="10">
        <v>15</v>
      </c>
    </row>
    <row r="5" spans="3:17" x14ac:dyDescent="0.25">
      <c r="C5" s="11" t="s">
        <v>59</v>
      </c>
      <c r="D5" s="11" t="s">
        <v>60</v>
      </c>
      <c r="E5" s="11" t="s">
        <v>88</v>
      </c>
      <c r="F5" s="11" t="s">
        <v>89</v>
      </c>
      <c r="G5" s="11" t="s">
        <v>90</v>
      </c>
      <c r="H5" s="11" t="s">
        <v>91</v>
      </c>
      <c r="I5" s="11" t="s">
        <v>92</v>
      </c>
      <c r="J5" s="11" t="s">
        <v>93</v>
      </c>
      <c r="K5" s="11" t="s">
        <v>94</v>
      </c>
      <c r="L5" s="11" t="s">
        <v>95</v>
      </c>
      <c r="M5" s="11" t="s">
        <v>96</v>
      </c>
      <c r="N5" s="11" t="s">
        <v>97</v>
      </c>
      <c r="O5" s="11" t="s">
        <v>98</v>
      </c>
      <c r="P5" s="11" t="s">
        <v>99</v>
      </c>
      <c r="Q5" s="11" t="s">
        <v>100</v>
      </c>
    </row>
    <row r="6" spans="3:17" x14ac:dyDescent="0.25">
      <c r="C6" s="11">
        <v>13850</v>
      </c>
      <c r="D6" s="11" t="s">
        <v>1807</v>
      </c>
      <c r="E6" s="11">
        <v>462</v>
      </c>
      <c r="F6" s="11">
        <v>-2</v>
      </c>
      <c r="G6" s="11">
        <v>73</v>
      </c>
      <c r="H6" s="11">
        <v>0</v>
      </c>
      <c r="I6" s="11">
        <v>2562.5500000000002</v>
      </c>
      <c r="J6" s="11">
        <v>-133.44999999999982</v>
      </c>
      <c r="K6" s="11">
        <v>5173</v>
      </c>
      <c r="L6" s="11">
        <v>1760</v>
      </c>
      <c r="M6" s="11">
        <v>6363</v>
      </c>
      <c r="N6" s="11">
        <v>50.04</v>
      </c>
      <c r="O6" s="11">
        <v>1</v>
      </c>
      <c r="P6" s="11">
        <v>-0.5</v>
      </c>
      <c r="Q6" s="11">
        <v>16450.5</v>
      </c>
    </row>
    <row r="7" spans="3:17" x14ac:dyDescent="0.25">
      <c r="C7" s="10">
        <v>13900</v>
      </c>
      <c r="D7" s="10" t="s">
        <v>1807</v>
      </c>
      <c r="E7" s="10">
        <v>317</v>
      </c>
      <c r="F7" s="10">
        <v>-13</v>
      </c>
      <c r="G7" s="10">
        <v>23</v>
      </c>
      <c r="H7" s="10">
        <v>0</v>
      </c>
      <c r="I7" s="10">
        <v>2508.1</v>
      </c>
      <c r="J7" s="10">
        <v>-166.90000000000009</v>
      </c>
      <c r="K7" s="10">
        <v>1636</v>
      </c>
      <c r="L7" s="10">
        <v>390</v>
      </c>
      <c r="M7" s="10">
        <v>5844</v>
      </c>
      <c r="N7" s="10">
        <v>48.3</v>
      </c>
      <c r="O7" s="10">
        <v>0.85</v>
      </c>
      <c r="P7" s="10">
        <v>-0.79999999999999993</v>
      </c>
      <c r="Q7" s="10">
        <v>16450.5</v>
      </c>
    </row>
    <row r="8" spans="3:17" x14ac:dyDescent="0.25">
      <c r="C8" s="10">
        <v>13950</v>
      </c>
      <c r="D8" s="10" t="s">
        <v>1807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28</v>
      </c>
      <c r="L8" s="10">
        <v>20</v>
      </c>
      <c r="M8" s="10">
        <v>768</v>
      </c>
      <c r="N8" s="10">
        <v>49.49</v>
      </c>
      <c r="O8" s="10">
        <v>1.3</v>
      </c>
      <c r="P8" s="10">
        <v>-9.9999999999999881E-2</v>
      </c>
      <c r="Q8" s="10">
        <v>16450.5</v>
      </c>
    </row>
    <row r="9" spans="3:17" x14ac:dyDescent="0.25">
      <c r="C9" s="10">
        <v>14000</v>
      </c>
      <c r="D9" s="10" t="s">
        <v>1807</v>
      </c>
      <c r="E9" s="10">
        <v>16983</v>
      </c>
      <c r="F9" s="10">
        <v>-1146</v>
      </c>
      <c r="G9" s="10">
        <v>1762</v>
      </c>
      <c r="H9" s="10">
        <v>0</v>
      </c>
      <c r="I9" s="10">
        <v>2412.8000000000002</v>
      </c>
      <c r="J9" s="10">
        <v>-158.89999999999964</v>
      </c>
      <c r="K9" s="10">
        <v>35298</v>
      </c>
      <c r="L9" s="10">
        <v>9664</v>
      </c>
      <c r="M9" s="10">
        <v>35748</v>
      </c>
      <c r="N9" s="10">
        <v>47.91</v>
      </c>
      <c r="O9" s="10">
        <v>1.1499999999999999</v>
      </c>
      <c r="P9" s="10">
        <v>-0.30000000000000004</v>
      </c>
      <c r="Q9" s="10">
        <v>16450.5</v>
      </c>
    </row>
    <row r="10" spans="3:17" x14ac:dyDescent="0.25">
      <c r="C10" s="10">
        <v>14050</v>
      </c>
      <c r="D10" s="10" t="s">
        <v>1807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2</v>
      </c>
      <c r="L10" s="10">
        <v>2</v>
      </c>
      <c r="M10" s="10">
        <v>1491</v>
      </c>
      <c r="N10" s="10">
        <v>46.28</v>
      </c>
      <c r="O10" s="10">
        <v>1</v>
      </c>
      <c r="P10" s="10">
        <v>-277.89999999999998</v>
      </c>
      <c r="Q10" s="10">
        <v>16450.5</v>
      </c>
    </row>
    <row r="11" spans="3:17" x14ac:dyDescent="0.25">
      <c r="C11" s="10">
        <v>14100</v>
      </c>
      <c r="D11" s="10" t="s">
        <v>1807</v>
      </c>
      <c r="E11" s="10">
        <v>25</v>
      </c>
      <c r="F11" s="10">
        <v>0</v>
      </c>
      <c r="G11" s="10">
        <v>0</v>
      </c>
      <c r="H11" s="10">
        <v>0</v>
      </c>
      <c r="I11" s="10">
        <v>2180</v>
      </c>
      <c r="J11" s="10">
        <v>0</v>
      </c>
      <c r="K11" s="10">
        <v>1988</v>
      </c>
      <c r="L11" s="10">
        <v>1673</v>
      </c>
      <c r="M11" s="10">
        <v>4665</v>
      </c>
      <c r="N11" s="10">
        <v>46.61</v>
      </c>
      <c r="O11" s="10">
        <v>1.3</v>
      </c>
      <c r="P11" s="10">
        <v>-0.34999999999999987</v>
      </c>
      <c r="Q11" s="10">
        <v>16450.5</v>
      </c>
    </row>
    <row r="12" spans="3:17" x14ac:dyDescent="0.25">
      <c r="C12" s="10">
        <v>14150</v>
      </c>
      <c r="D12" s="10" t="s">
        <v>1807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70</v>
      </c>
      <c r="L12" s="10">
        <v>70</v>
      </c>
      <c r="M12" s="10">
        <v>1223</v>
      </c>
      <c r="N12" s="10">
        <v>45.07</v>
      </c>
      <c r="O12" s="10">
        <v>1.1499999999999999</v>
      </c>
      <c r="P12" s="10">
        <v>-304.20000000000005</v>
      </c>
      <c r="Q12" s="10">
        <v>16450.5</v>
      </c>
    </row>
    <row r="13" spans="3:17" x14ac:dyDescent="0.25">
      <c r="C13" s="10">
        <v>14200</v>
      </c>
      <c r="D13" s="10" t="s">
        <v>1807</v>
      </c>
      <c r="E13" s="10">
        <v>215</v>
      </c>
      <c r="F13" s="10">
        <v>-5</v>
      </c>
      <c r="G13" s="10">
        <v>23</v>
      </c>
      <c r="H13" s="10">
        <v>0</v>
      </c>
      <c r="I13" s="10">
        <v>2211.65</v>
      </c>
      <c r="J13" s="10">
        <v>-190.5</v>
      </c>
      <c r="K13" s="10">
        <v>11243</v>
      </c>
      <c r="L13" s="10">
        <v>-4544</v>
      </c>
      <c r="M13" s="10">
        <v>21420</v>
      </c>
      <c r="N13" s="10">
        <v>44.71</v>
      </c>
      <c r="O13" s="10">
        <v>1.3</v>
      </c>
      <c r="P13" s="10">
        <v>-0.5</v>
      </c>
      <c r="Q13" s="10">
        <v>16450.5</v>
      </c>
    </row>
    <row r="14" spans="3:17" x14ac:dyDescent="0.25">
      <c r="C14" s="10">
        <v>14250</v>
      </c>
      <c r="D14" s="10" t="s">
        <v>1807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268</v>
      </c>
      <c r="L14" s="10">
        <v>264</v>
      </c>
      <c r="M14" s="10">
        <v>1339</v>
      </c>
      <c r="N14" s="10">
        <v>43.57</v>
      </c>
      <c r="O14" s="10">
        <v>1.25</v>
      </c>
      <c r="P14" s="10">
        <v>-1.25</v>
      </c>
      <c r="Q14" s="10">
        <v>16450.5</v>
      </c>
    </row>
    <row r="15" spans="3:17" x14ac:dyDescent="0.25">
      <c r="C15" s="10">
        <v>14300</v>
      </c>
      <c r="D15" s="10" t="s">
        <v>1807</v>
      </c>
      <c r="E15" s="10">
        <v>181</v>
      </c>
      <c r="F15" s="10">
        <v>-7</v>
      </c>
      <c r="G15" s="10">
        <v>11</v>
      </c>
      <c r="H15" s="10">
        <v>0</v>
      </c>
      <c r="I15" s="10">
        <v>2130.1</v>
      </c>
      <c r="J15" s="10">
        <v>-129.90000000000009</v>
      </c>
      <c r="K15" s="10">
        <v>1311</v>
      </c>
      <c r="L15" s="10">
        <v>798</v>
      </c>
      <c r="M15" s="10">
        <v>8262</v>
      </c>
      <c r="N15" s="10">
        <v>42.04</v>
      </c>
      <c r="O15" s="10">
        <v>1.1000000000000001</v>
      </c>
      <c r="P15" s="10">
        <v>-0.59999999999999987</v>
      </c>
      <c r="Q15" s="10">
        <v>16450.5</v>
      </c>
    </row>
    <row r="16" spans="3:17" x14ac:dyDescent="0.25">
      <c r="C16" s="10">
        <v>14350</v>
      </c>
      <c r="D16" s="10" t="s">
        <v>1807</v>
      </c>
      <c r="E16" s="10">
        <v>6</v>
      </c>
      <c r="F16" s="10">
        <v>4</v>
      </c>
      <c r="G16" s="10">
        <v>20</v>
      </c>
      <c r="H16" s="10">
        <v>0</v>
      </c>
      <c r="I16" s="10">
        <v>2114.85</v>
      </c>
      <c r="J16" s="10">
        <v>196.29999999999995</v>
      </c>
      <c r="K16" s="10">
        <v>199</v>
      </c>
      <c r="L16" s="10">
        <v>154</v>
      </c>
      <c r="M16" s="10">
        <v>1496</v>
      </c>
      <c r="N16" s="10">
        <v>41.68</v>
      </c>
      <c r="O16" s="10">
        <v>1.25</v>
      </c>
      <c r="P16" s="10">
        <v>-1</v>
      </c>
      <c r="Q16" s="10">
        <v>16450.5</v>
      </c>
    </row>
    <row r="17" spans="3:17" x14ac:dyDescent="0.25">
      <c r="C17" s="10">
        <v>14400</v>
      </c>
      <c r="D17" s="10" t="s">
        <v>1807</v>
      </c>
      <c r="E17" s="10">
        <v>103</v>
      </c>
      <c r="F17" s="10">
        <v>1</v>
      </c>
      <c r="G17" s="10">
        <v>4</v>
      </c>
      <c r="H17" s="10">
        <v>0</v>
      </c>
      <c r="I17" s="10">
        <v>2060.5500000000002</v>
      </c>
      <c r="J17" s="10">
        <v>-176.19999999999982</v>
      </c>
      <c r="K17" s="10">
        <v>3402</v>
      </c>
      <c r="L17" s="10">
        <v>748</v>
      </c>
      <c r="M17" s="10">
        <v>7944</v>
      </c>
      <c r="N17" s="10">
        <v>40.909999999999997</v>
      </c>
      <c r="O17" s="10">
        <v>1.3</v>
      </c>
      <c r="P17" s="10">
        <v>-0.55000000000000004</v>
      </c>
      <c r="Q17" s="10">
        <v>16450.5</v>
      </c>
    </row>
    <row r="18" spans="3:17" x14ac:dyDescent="0.25">
      <c r="C18" s="10">
        <v>14450</v>
      </c>
      <c r="D18" s="10" t="s">
        <v>1807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48</v>
      </c>
      <c r="L18" s="10">
        <v>31</v>
      </c>
      <c r="M18" s="10">
        <v>700</v>
      </c>
      <c r="N18" s="10">
        <v>39.24</v>
      </c>
      <c r="O18" s="10">
        <v>1.1000000000000001</v>
      </c>
      <c r="P18" s="10">
        <v>-1.6999999999999995</v>
      </c>
      <c r="Q18" s="10">
        <v>16450.5</v>
      </c>
    </row>
    <row r="19" spans="3:17" x14ac:dyDescent="0.25">
      <c r="C19" s="10">
        <v>14500</v>
      </c>
      <c r="D19" s="10" t="s">
        <v>1807</v>
      </c>
      <c r="E19" s="10">
        <v>6315</v>
      </c>
      <c r="F19" s="10">
        <v>-237</v>
      </c>
      <c r="G19" s="10">
        <v>1118</v>
      </c>
      <c r="H19" s="10">
        <v>0</v>
      </c>
      <c r="I19" s="10">
        <v>1912.35</v>
      </c>
      <c r="J19" s="10">
        <v>-150.25</v>
      </c>
      <c r="K19" s="10">
        <v>27297</v>
      </c>
      <c r="L19" s="10">
        <v>288</v>
      </c>
      <c r="M19" s="10">
        <v>65192</v>
      </c>
      <c r="N19" s="10">
        <v>38.85</v>
      </c>
      <c r="O19" s="10">
        <v>1.25</v>
      </c>
      <c r="P19" s="10">
        <v>-0.55000000000000004</v>
      </c>
      <c r="Q19" s="10">
        <v>16450.5</v>
      </c>
    </row>
    <row r="20" spans="3:17" x14ac:dyDescent="0.25">
      <c r="C20" s="10">
        <v>14550</v>
      </c>
      <c r="D20" s="10" t="s">
        <v>1807</v>
      </c>
      <c r="E20" s="10">
        <v>1</v>
      </c>
      <c r="F20" s="10">
        <v>0</v>
      </c>
      <c r="G20" s="10">
        <v>0</v>
      </c>
      <c r="H20" s="10">
        <v>0</v>
      </c>
      <c r="I20" s="10">
        <v>1754.95</v>
      </c>
      <c r="J20" s="10">
        <v>0</v>
      </c>
      <c r="K20" s="10">
        <v>44</v>
      </c>
      <c r="L20" s="10">
        <v>27</v>
      </c>
      <c r="M20" s="10">
        <v>3674</v>
      </c>
      <c r="N20" s="10">
        <v>38.08</v>
      </c>
      <c r="O20" s="10">
        <v>1.3</v>
      </c>
      <c r="P20" s="10">
        <v>-3.45</v>
      </c>
      <c r="Q20" s="10">
        <v>16450.5</v>
      </c>
    </row>
    <row r="21" spans="3:17" x14ac:dyDescent="0.25">
      <c r="C21" s="10">
        <v>14600</v>
      </c>
      <c r="D21" s="10" t="s">
        <v>1807</v>
      </c>
      <c r="E21" s="10">
        <v>193</v>
      </c>
      <c r="F21" s="10">
        <v>-2</v>
      </c>
      <c r="G21" s="10">
        <v>13</v>
      </c>
      <c r="H21" s="10">
        <v>0</v>
      </c>
      <c r="I21" s="10">
        <v>1840</v>
      </c>
      <c r="J21" s="10">
        <v>-237</v>
      </c>
      <c r="K21" s="10">
        <v>4301</v>
      </c>
      <c r="L21" s="10">
        <v>658</v>
      </c>
      <c r="M21" s="10">
        <v>10785</v>
      </c>
      <c r="N21" s="10">
        <v>38.020000000000003</v>
      </c>
      <c r="O21" s="10">
        <v>1.6</v>
      </c>
      <c r="P21" s="10">
        <v>-0.44999999999999973</v>
      </c>
      <c r="Q21" s="10">
        <v>16450.5</v>
      </c>
    </row>
    <row r="22" spans="3:17" x14ac:dyDescent="0.25">
      <c r="C22" s="10">
        <v>14650</v>
      </c>
      <c r="D22" s="10" t="s">
        <v>1807</v>
      </c>
      <c r="E22" s="10">
        <v>1</v>
      </c>
      <c r="F22" s="10">
        <v>0</v>
      </c>
      <c r="G22" s="10">
        <v>0</v>
      </c>
      <c r="H22" s="10">
        <v>0</v>
      </c>
      <c r="I22" s="10">
        <v>1906.75</v>
      </c>
      <c r="J22" s="10">
        <v>0</v>
      </c>
      <c r="K22" s="10">
        <v>129</v>
      </c>
      <c r="L22" s="10">
        <v>69</v>
      </c>
      <c r="M22" s="10">
        <v>506</v>
      </c>
      <c r="N22" s="10">
        <v>36.79</v>
      </c>
      <c r="O22" s="10">
        <v>1.5</v>
      </c>
      <c r="P22" s="10">
        <v>-0.30000000000000004</v>
      </c>
      <c r="Q22" s="10">
        <v>16450.5</v>
      </c>
    </row>
    <row r="23" spans="3:17" x14ac:dyDescent="0.25">
      <c r="C23" s="10">
        <v>14700</v>
      </c>
      <c r="D23" s="10" t="s">
        <v>1807</v>
      </c>
      <c r="E23" s="10">
        <v>223</v>
      </c>
      <c r="F23" s="10">
        <v>-5</v>
      </c>
      <c r="G23" s="10">
        <v>45</v>
      </c>
      <c r="H23" s="10">
        <v>0</v>
      </c>
      <c r="I23" s="10">
        <v>1724.45</v>
      </c>
      <c r="J23" s="10">
        <v>-161.04999999999995</v>
      </c>
      <c r="K23" s="10">
        <v>7128</v>
      </c>
      <c r="L23" s="10">
        <v>-708</v>
      </c>
      <c r="M23" s="10">
        <v>26673</v>
      </c>
      <c r="N23" s="10">
        <v>35.549999999999997</v>
      </c>
      <c r="O23" s="10">
        <v>1.4</v>
      </c>
      <c r="P23" s="10">
        <v>-0.70000000000000018</v>
      </c>
      <c r="Q23" s="10">
        <v>16450.5</v>
      </c>
    </row>
    <row r="24" spans="3:17" x14ac:dyDescent="0.25">
      <c r="C24" s="10">
        <v>14750</v>
      </c>
      <c r="D24" s="10" t="s">
        <v>1807</v>
      </c>
      <c r="E24" s="10">
        <v>3</v>
      </c>
      <c r="F24" s="10">
        <v>0</v>
      </c>
      <c r="G24" s="10">
        <v>0</v>
      </c>
      <c r="H24" s="10">
        <v>0</v>
      </c>
      <c r="I24" s="10">
        <v>1782.1</v>
      </c>
      <c r="J24" s="10">
        <v>0</v>
      </c>
      <c r="K24" s="10">
        <v>184</v>
      </c>
      <c r="L24" s="10">
        <v>40</v>
      </c>
      <c r="M24" s="10">
        <v>609</v>
      </c>
      <c r="N24" s="10">
        <v>35.270000000000003</v>
      </c>
      <c r="O24" s="10">
        <v>1.65</v>
      </c>
      <c r="P24" s="10">
        <v>-0.85000000000000009</v>
      </c>
      <c r="Q24" s="10">
        <v>16450.5</v>
      </c>
    </row>
    <row r="25" spans="3:17" x14ac:dyDescent="0.25">
      <c r="C25" s="10">
        <v>14800</v>
      </c>
      <c r="D25" s="10" t="s">
        <v>1807</v>
      </c>
      <c r="E25" s="10">
        <v>574</v>
      </c>
      <c r="F25" s="10">
        <v>-53</v>
      </c>
      <c r="G25" s="10">
        <v>124</v>
      </c>
      <c r="H25" s="10">
        <v>0</v>
      </c>
      <c r="I25" s="10">
        <v>1643.85</v>
      </c>
      <c r="J25" s="10">
        <v>-115.30000000000018</v>
      </c>
      <c r="K25" s="10">
        <v>7880</v>
      </c>
      <c r="L25" s="10">
        <v>202</v>
      </c>
      <c r="M25" s="10">
        <v>25314</v>
      </c>
      <c r="N25" s="10">
        <v>33.229999999999997</v>
      </c>
      <c r="O25" s="10">
        <v>1.25</v>
      </c>
      <c r="P25" s="10">
        <v>-1.1499999999999999</v>
      </c>
      <c r="Q25" s="10">
        <v>16450.5</v>
      </c>
    </row>
    <row r="26" spans="3:17" x14ac:dyDescent="0.25">
      <c r="C26" s="10">
        <v>14850</v>
      </c>
      <c r="D26" s="10" t="s">
        <v>1807</v>
      </c>
      <c r="E26" s="10">
        <v>5</v>
      </c>
      <c r="F26" s="10">
        <v>0</v>
      </c>
      <c r="G26" s="10">
        <v>0</v>
      </c>
      <c r="H26" s="10">
        <v>0</v>
      </c>
      <c r="I26" s="10">
        <v>1381.15</v>
      </c>
      <c r="J26" s="10">
        <v>0</v>
      </c>
      <c r="K26" s="10">
        <v>115</v>
      </c>
      <c r="L26" s="10">
        <v>-23</v>
      </c>
      <c r="M26" s="10">
        <v>527</v>
      </c>
      <c r="N26" s="10">
        <v>33.71</v>
      </c>
      <c r="O26" s="10">
        <v>1.8</v>
      </c>
      <c r="P26" s="10">
        <v>-0.8</v>
      </c>
      <c r="Q26" s="10">
        <v>16450.5</v>
      </c>
    </row>
    <row r="27" spans="3:17" x14ac:dyDescent="0.25">
      <c r="C27" s="10">
        <v>14900</v>
      </c>
      <c r="D27" s="10" t="s">
        <v>1807</v>
      </c>
      <c r="E27" s="10">
        <v>96</v>
      </c>
      <c r="F27" s="10">
        <v>0</v>
      </c>
      <c r="G27" s="10">
        <v>2</v>
      </c>
      <c r="H27" s="10">
        <v>50.62</v>
      </c>
      <c r="I27" s="10">
        <v>1601.45</v>
      </c>
      <c r="J27" s="10">
        <v>-58.549999999999955</v>
      </c>
      <c r="K27" s="10">
        <v>7886</v>
      </c>
      <c r="L27" s="10">
        <v>803</v>
      </c>
      <c r="M27" s="10">
        <v>22216</v>
      </c>
      <c r="N27" s="10">
        <v>32.520000000000003</v>
      </c>
      <c r="O27" s="10">
        <v>1.7</v>
      </c>
      <c r="P27" s="10">
        <v>-0.90000000000000013</v>
      </c>
      <c r="Q27" s="10">
        <v>16450.5</v>
      </c>
    </row>
    <row r="28" spans="3:17" x14ac:dyDescent="0.25">
      <c r="C28" s="10">
        <v>14950</v>
      </c>
      <c r="D28" s="10" t="s">
        <v>1807</v>
      </c>
      <c r="E28" s="10">
        <v>6</v>
      </c>
      <c r="F28" s="10">
        <v>0</v>
      </c>
      <c r="G28" s="10">
        <v>0</v>
      </c>
      <c r="H28" s="10">
        <v>0</v>
      </c>
      <c r="I28" s="10">
        <v>1590</v>
      </c>
      <c r="J28" s="10">
        <v>0</v>
      </c>
      <c r="K28" s="10">
        <v>715</v>
      </c>
      <c r="L28" s="10">
        <v>445</v>
      </c>
      <c r="M28" s="10">
        <v>2780</v>
      </c>
      <c r="N28" s="10">
        <v>32.090000000000003</v>
      </c>
      <c r="O28" s="10">
        <v>1.95</v>
      </c>
      <c r="P28" s="10">
        <v>-0.7</v>
      </c>
      <c r="Q28" s="10">
        <v>16450.5</v>
      </c>
    </row>
    <row r="29" spans="3:17" x14ac:dyDescent="0.25">
      <c r="C29" s="10">
        <v>15000</v>
      </c>
      <c r="D29" s="10" t="s">
        <v>1807</v>
      </c>
      <c r="E29" s="10">
        <v>6555</v>
      </c>
      <c r="F29" s="10">
        <v>-600</v>
      </c>
      <c r="G29" s="10">
        <v>1244</v>
      </c>
      <c r="H29" s="10">
        <v>0</v>
      </c>
      <c r="I29" s="10">
        <v>1420</v>
      </c>
      <c r="J29" s="10">
        <v>-156.25</v>
      </c>
      <c r="K29" s="10">
        <v>80343</v>
      </c>
      <c r="L29" s="10">
        <v>-2253</v>
      </c>
      <c r="M29" s="10">
        <v>267312</v>
      </c>
      <c r="N29" s="10">
        <v>31.5</v>
      </c>
      <c r="O29" s="10">
        <v>2.15</v>
      </c>
      <c r="P29" s="10">
        <v>-0.64999999999999991</v>
      </c>
      <c r="Q29" s="10">
        <v>16450.5</v>
      </c>
    </row>
    <row r="30" spans="3:17" x14ac:dyDescent="0.25">
      <c r="C30" s="10">
        <v>15050</v>
      </c>
      <c r="D30" s="10" t="s">
        <v>1807</v>
      </c>
      <c r="E30" s="10">
        <v>23</v>
      </c>
      <c r="F30" s="10">
        <v>0</v>
      </c>
      <c r="G30" s="10">
        <v>0</v>
      </c>
      <c r="H30" s="10">
        <v>0</v>
      </c>
      <c r="I30" s="10">
        <v>1213.75</v>
      </c>
      <c r="J30" s="10">
        <v>0</v>
      </c>
      <c r="K30" s="10">
        <v>538</v>
      </c>
      <c r="L30" s="10">
        <v>-117</v>
      </c>
      <c r="M30" s="10">
        <v>1889</v>
      </c>
      <c r="N30" s="10">
        <v>30.24</v>
      </c>
      <c r="O30" s="10">
        <v>2</v>
      </c>
      <c r="P30" s="10">
        <v>-0.89999999999999991</v>
      </c>
      <c r="Q30" s="10">
        <v>16450.5</v>
      </c>
    </row>
    <row r="31" spans="3:17" x14ac:dyDescent="0.25">
      <c r="C31" s="10">
        <v>15100</v>
      </c>
      <c r="D31" s="10" t="s">
        <v>1807</v>
      </c>
      <c r="E31" s="10">
        <v>232</v>
      </c>
      <c r="F31" s="10">
        <v>-20</v>
      </c>
      <c r="G31" s="10">
        <v>38</v>
      </c>
      <c r="H31" s="10">
        <v>0</v>
      </c>
      <c r="I31" s="10">
        <v>1321.15</v>
      </c>
      <c r="J31" s="10">
        <v>-163.84999999999991</v>
      </c>
      <c r="K31" s="10">
        <v>5740</v>
      </c>
      <c r="L31" s="10">
        <v>442</v>
      </c>
      <c r="M31" s="10">
        <v>34214</v>
      </c>
      <c r="N31" s="10">
        <v>29.71</v>
      </c>
      <c r="O31" s="10">
        <v>2.25</v>
      </c>
      <c r="P31" s="10">
        <v>-0.70000000000000018</v>
      </c>
      <c r="Q31" s="10">
        <v>16450.5</v>
      </c>
    </row>
    <row r="32" spans="3:17" x14ac:dyDescent="0.25">
      <c r="C32" s="10">
        <v>15150</v>
      </c>
      <c r="D32" s="10" t="s">
        <v>1807</v>
      </c>
      <c r="E32" s="10">
        <v>16</v>
      </c>
      <c r="F32" s="10">
        <v>-2</v>
      </c>
      <c r="G32" s="10">
        <v>5</v>
      </c>
      <c r="H32" s="10">
        <v>0</v>
      </c>
      <c r="I32" s="10">
        <v>1270.6500000000001</v>
      </c>
      <c r="J32" s="10">
        <v>-215.54999999999995</v>
      </c>
      <c r="K32" s="10">
        <v>253</v>
      </c>
      <c r="L32" s="10">
        <v>-15</v>
      </c>
      <c r="M32" s="10">
        <v>1339</v>
      </c>
      <c r="N32" s="10">
        <v>29.21</v>
      </c>
      <c r="O32" s="10">
        <v>2.5499999999999998</v>
      </c>
      <c r="P32" s="10">
        <v>-0.60000000000000009</v>
      </c>
      <c r="Q32" s="10">
        <v>16450.5</v>
      </c>
    </row>
    <row r="33" spans="3:17" x14ac:dyDescent="0.25">
      <c r="C33" s="10">
        <v>15200</v>
      </c>
      <c r="D33" s="10" t="s">
        <v>1807</v>
      </c>
      <c r="E33" s="10">
        <v>1392</v>
      </c>
      <c r="F33" s="10">
        <v>-21</v>
      </c>
      <c r="G33" s="10">
        <v>102</v>
      </c>
      <c r="H33" s="10">
        <v>0</v>
      </c>
      <c r="I33" s="10">
        <v>1219.8499999999999</v>
      </c>
      <c r="J33" s="10">
        <v>-165.45000000000005</v>
      </c>
      <c r="K33" s="10">
        <v>11442</v>
      </c>
      <c r="L33" s="10">
        <v>1352</v>
      </c>
      <c r="M33" s="10">
        <v>44193</v>
      </c>
      <c r="N33" s="10">
        <v>28.28</v>
      </c>
      <c r="O33" s="10">
        <v>2.6</v>
      </c>
      <c r="P33" s="10">
        <v>-0.60000000000000009</v>
      </c>
      <c r="Q33" s="10">
        <v>16450.5</v>
      </c>
    </row>
    <row r="34" spans="3:17" x14ac:dyDescent="0.25">
      <c r="C34" s="10">
        <v>15250</v>
      </c>
      <c r="D34" s="10" t="s">
        <v>1807</v>
      </c>
      <c r="E34" s="10">
        <v>54</v>
      </c>
      <c r="F34" s="10">
        <v>1</v>
      </c>
      <c r="G34" s="10">
        <v>8</v>
      </c>
      <c r="H34" s="10">
        <v>0</v>
      </c>
      <c r="I34" s="10">
        <v>1169.95</v>
      </c>
      <c r="J34" s="10">
        <v>-226.79999999999995</v>
      </c>
      <c r="K34" s="10">
        <v>954</v>
      </c>
      <c r="L34" s="10">
        <v>652</v>
      </c>
      <c r="M34" s="10">
        <v>2840</v>
      </c>
      <c r="N34" s="10">
        <v>27.82</v>
      </c>
      <c r="O34" s="10">
        <v>3</v>
      </c>
      <c r="P34" s="10">
        <v>-0.20000000000000015</v>
      </c>
      <c r="Q34" s="10">
        <v>16450.5</v>
      </c>
    </row>
    <row r="35" spans="3:17" x14ac:dyDescent="0.25">
      <c r="C35" s="10">
        <v>15300</v>
      </c>
      <c r="D35" s="10" t="s">
        <v>1807</v>
      </c>
      <c r="E35" s="10">
        <v>589</v>
      </c>
      <c r="F35" s="10">
        <v>-31</v>
      </c>
      <c r="G35" s="10">
        <v>74</v>
      </c>
      <c r="H35" s="10">
        <v>0</v>
      </c>
      <c r="I35" s="10">
        <v>1119.3</v>
      </c>
      <c r="J35" s="10">
        <v>-166.20000000000005</v>
      </c>
      <c r="K35" s="10">
        <v>18095</v>
      </c>
      <c r="L35" s="10">
        <v>5140</v>
      </c>
      <c r="M35" s="10">
        <v>76895</v>
      </c>
      <c r="N35" s="10">
        <v>26.74</v>
      </c>
      <c r="O35" s="10">
        <v>2.95</v>
      </c>
      <c r="P35" s="10">
        <v>-0.19999999999999973</v>
      </c>
      <c r="Q35" s="10">
        <v>16450.5</v>
      </c>
    </row>
    <row r="36" spans="3:17" x14ac:dyDescent="0.25">
      <c r="C36" s="10">
        <v>15350</v>
      </c>
      <c r="D36" s="10" t="s">
        <v>1807</v>
      </c>
      <c r="E36" s="10">
        <v>54</v>
      </c>
      <c r="F36" s="10">
        <v>7</v>
      </c>
      <c r="G36" s="10">
        <v>12</v>
      </c>
      <c r="H36" s="10">
        <v>0</v>
      </c>
      <c r="I36" s="10">
        <v>1114.55</v>
      </c>
      <c r="J36" s="10">
        <v>212.29999999999995</v>
      </c>
      <c r="K36" s="10">
        <v>7199</v>
      </c>
      <c r="L36" s="10">
        <v>76</v>
      </c>
      <c r="M36" s="10">
        <v>10228</v>
      </c>
      <c r="N36" s="10">
        <v>26.2</v>
      </c>
      <c r="O36" s="10">
        <v>3.35</v>
      </c>
      <c r="P36" s="10">
        <v>-0.19999999999999973</v>
      </c>
      <c r="Q36" s="10">
        <v>16450.5</v>
      </c>
    </row>
    <row r="37" spans="3:17" x14ac:dyDescent="0.25">
      <c r="C37" s="10">
        <v>15400</v>
      </c>
      <c r="D37" s="10" t="s">
        <v>1807</v>
      </c>
      <c r="E37" s="10">
        <v>1794</v>
      </c>
      <c r="F37" s="10">
        <v>-47</v>
      </c>
      <c r="G37" s="10">
        <v>802</v>
      </c>
      <c r="H37" s="10">
        <v>0</v>
      </c>
      <c r="I37" s="10">
        <v>1020</v>
      </c>
      <c r="J37" s="10">
        <v>-164.15000000000009</v>
      </c>
      <c r="K37" s="10">
        <v>25106</v>
      </c>
      <c r="L37" s="10">
        <v>10104</v>
      </c>
      <c r="M37" s="10">
        <v>88281</v>
      </c>
      <c r="N37" s="10">
        <v>25.38</v>
      </c>
      <c r="O37" s="10">
        <v>3.55</v>
      </c>
      <c r="P37" s="10">
        <v>0.14999999999999991</v>
      </c>
      <c r="Q37" s="10">
        <v>16450.5</v>
      </c>
    </row>
    <row r="38" spans="3:17" x14ac:dyDescent="0.25">
      <c r="C38" s="10">
        <v>15450</v>
      </c>
      <c r="D38" s="10" t="s">
        <v>1807</v>
      </c>
      <c r="E38" s="10">
        <v>69</v>
      </c>
      <c r="F38" s="10">
        <v>-1</v>
      </c>
      <c r="G38" s="10">
        <v>8</v>
      </c>
      <c r="H38" s="10">
        <v>0</v>
      </c>
      <c r="I38" s="10">
        <v>977.75</v>
      </c>
      <c r="J38" s="10">
        <v>-104.59999999999992</v>
      </c>
      <c r="K38" s="10">
        <v>2144</v>
      </c>
      <c r="L38" s="10">
        <v>814</v>
      </c>
      <c r="M38" s="10">
        <v>6324</v>
      </c>
      <c r="N38" s="10">
        <v>24.54</v>
      </c>
      <c r="O38" s="10">
        <v>3.75</v>
      </c>
      <c r="P38" s="10">
        <v>4.9999999999999822E-2</v>
      </c>
      <c r="Q38" s="10">
        <v>16450.5</v>
      </c>
    </row>
    <row r="39" spans="3:17" x14ac:dyDescent="0.25">
      <c r="C39" s="10">
        <v>15500</v>
      </c>
      <c r="D39" s="10" t="s">
        <v>1807</v>
      </c>
      <c r="E39" s="10">
        <v>5602</v>
      </c>
      <c r="F39" s="10">
        <v>-875</v>
      </c>
      <c r="G39" s="10">
        <v>3449</v>
      </c>
      <c r="H39" s="10">
        <v>0</v>
      </c>
      <c r="I39" s="10">
        <v>917.8</v>
      </c>
      <c r="J39" s="10">
        <v>-154.45000000000005</v>
      </c>
      <c r="K39" s="10">
        <v>106280</v>
      </c>
      <c r="L39" s="10">
        <v>46791</v>
      </c>
      <c r="M39" s="10">
        <v>285784</v>
      </c>
      <c r="N39" s="10">
        <v>24.04</v>
      </c>
      <c r="O39" s="10">
        <v>4.3499999999999996</v>
      </c>
      <c r="P39" s="10">
        <v>0.44999999999999973</v>
      </c>
      <c r="Q39" s="10">
        <v>16450.5</v>
      </c>
    </row>
    <row r="40" spans="3:17" x14ac:dyDescent="0.25">
      <c r="C40" s="10">
        <v>15550</v>
      </c>
      <c r="D40" s="10" t="s">
        <v>1807</v>
      </c>
      <c r="E40" s="10">
        <v>193</v>
      </c>
      <c r="F40" s="10">
        <v>12</v>
      </c>
      <c r="G40" s="10">
        <v>80</v>
      </c>
      <c r="H40" s="10">
        <v>0</v>
      </c>
      <c r="I40" s="10">
        <v>876.45</v>
      </c>
      <c r="J40" s="10">
        <v>-136.54999999999995</v>
      </c>
      <c r="K40" s="10">
        <v>3567</v>
      </c>
      <c r="L40" s="10">
        <v>1553</v>
      </c>
      <c r="M40" s="10">
        <v>10523</v>
      </c>
      <c r="N40" s="10">
        <v>23.09</v>
      </c>
      <c r="O40" s="10">
        <v>4.5</v>
      </c>
      <c r="P40" s="10">
        <v>0.4000000000000003</v>
      </c>
      <c r="Q40" s="10">
        <v>16450.5</v>
      </c>
    </row>
    <row r="41" spans="3:17" x14ac:dyDescent="0.25">
      <c r="C41" s="10">
        <v>15600</v>
      </c>
      <c r="D41" s="10" t="s">
        <v>1807</v>
      </c>
      <c r="E41" s="10">
        <v>2241</v>
      </c>
      <c r="F41" s="10">
        <v>-303</v>
      </c>
      <c r="G41" s="10">
        <v>884</v>
      </c>
      <c r="H41" s="10">
        <v>0</v>
      </c>
      <c r="I41" s="10">
        <v>821.5</v>
      </c>
      <c r="J41" s="10">
        <v>-159</v>
      </c>
      <c r="K41" s="10">
        <v>31381</v>
      </c>
      <c r="L41" s="10">
        <v>14296</v>
      </c>
      <c r="M41" s="10">
        <v>108641</v>
      </c>
      <c r="N41" s="10">
        <v>21.84</v>
      </c>
      <c r="O41" s="10">
        <v>4.3</v>
      </c>
      <c r="P41" s="10">
        <v>4.9999999999999822E-2</v>
      </c>
      <c r="Q41" s="10">
        <v>16450.5</v>
      </c>
    </row>
    <row r="42" spans="3:17" x14ac:dyDescent="0.25">
      <c r="C42" s="10">
        <v>15650</v>
      </c>
      <c r="D42" s="10" t="s">
        <v>1807</v>
      </c>
      <c r="E42" s="10">
        <v>224</v>
      </c>
      <c r="F42" s="10">
        <v>-3</v>
      </c>
      <c r="G42" s="10">
        <v>72</v>
      </c>
      <c r="H42" s="10">
        <v>0</v>
      </c>
      <c r="I42" s="10">
        <v>774.1</v>
      </c>
      <c r="J42" s="10">
        <v>-154.29999999999995</v>
      </c>
      <c r="K42" s="10">
        <v>2711</v>
      </c>
      <c r="L42" s="10">
        <v>1033</v>
      </c>
      <c r="M42" s="10">
        <v>10600</v>
      </c>
      <c r="N42" s="10">
        <v>21.26</v>
      </c>
      <c r="O42" s="10">
        <v>4.95</v>
      </c>
      <c r="P42" s="10">
        <v>0.35000000000000053</v>
      </c>
      <c r="Q42" s="10">
        <v>16450.5</v>
      </c>
    </row>
    <row r="43" spans="3:17" x14ac:dyDescent="0.25">
      <c r="C43" s="10">
        <v>15700</v>
      </c>
      <c r="D43" s="10" t="s">
        <v>1807</v>
      </c>
      <c r="E43" s="10">
        <v>4106</v>
      </c>
      <c r="F43" s="10">
        <v>-684</v>
      </c>
      <c r="G43" s="10">
        <v>1540</v>
      </c>
      <c r="H43" s="10">
        <v>0</v>
      </c>
      <c r="I43" s="10">
        <v>723.45</v>
      </c>
      <c r="J43" s="10">
        <v>-158.54999999999995</v>
      </c>
      <c r="K43" s="10">
        <v>27376</v>
      </c>
      <c r="L43" s="10">
        <v>4450</v>
      </c>
      <c r="M43" s="10">
        <v>110166</v>
      </c>
      <c r="N43" s="10">
        <v>20.53</v>
      </c>
      <c r="O43" s="10">
        <v>5.5</v>
      </c>
      <c r="P43" s="10">
        <v>0.65000000000000036</v>
      </c>
      <c r="Q43" s="10">
        <v>16450.5</v>
      </c>
    </row>
    <row r="44" spans="3:17" x14ac:dyDescent="0.25">
      <c r="C44" s="10">
        <v>15750</v>
      </c>
      <c r="D44" s="10" t="s">
        <v>1807</v>
      </c>
      <c r="E44" s="10">
        <v>824</v>
      </c>
      <c r="F44" s="10">
        <v>-26</v>
      </c>
      <c r="G44" s="10">
        <v>127</v>
      </c>
      <c r="H44" s="10">
        <v>0</v>
      </c>
      <c r="I44" s="10">
        <v>676</v>
      </c>
      <c r="J44" s="10">
        <v>-147.89999999999998</v>
      </c>
      <c r="K44" s="10">
        <v>5758</v>
      </c>
      <c r="L44" s="10">
        <v>2457</v>
      </c>
      <c r="M44" s="10">
        <v>19869</v>
      </c>
      <c r="N44" s="10">
        <v>19.95</v>
      </c>
      <c r="O44" s="10">
        <v>6.4</v>
      </c>
      <c r="P44" s="10">
        <v>0.95000000000000018</v>
      </c>
      <c r="Q44" s="10">
        <v>16450.5</v>
      </c>
    </row>
    <row r="45" spans="3:17" x14ac:dyDescent="0.25">
      <c r="C45" s="10">
        <v>15800</v>
      </c>
      <c r="D45" s="10" t="s">
        <v>1807</v>
      </c>
      <c r="E45" s="10">
        <v>20165</v>
      </c>
      <c r="F45" s="10">
        <v>-1430</v>
      </c>
      <c r="G45" s="10">
        <v>3099</v>
      </c>
      <c r="H45" s="10">
        <v>0</v>
      </c>
      <c r="I45" s="10">
        <v>630</v>
      </c>
      <c r="J45" s="10">
        <v>-152</v>
      </c>
      <c r="K45" s="10">
        <v>61628</v>
      </c>
      <c r="L45" s="10">
        <v>9810</v>
      </c>
      <c r="M45" s="10">
        <v>163849</v>
      </c>
      <c r="N45" s="10">
        <v>19.12</v>
      </c>
      <c r="O45" s="10">
        <v>7</v>
      </c>
      <c r="P45" s="10">
        <v>1.2000000000000002</v>
      </c>
      <c r="Q45" s="10">
        <v>16450.5</v>
      </c>
    </row>
    <row r="46" spans="3:17" x14ac:dyDescent="0.25">
      <c r="C46" s="10">
        <v>15850</v>
      </c>
      <c r="D46" s="10" t="s">
        <v>1807</v>
      </c>
      <c r="E46" s="10">
        <v>1220</v>
      </c>
      <c r="F46" s="10">
        <v>-55</v>
      </c>
      <c r="G46" s="10">
        <v>196</v>
      </c>
      <c r="H46" s="10">
        <v>0</v>
      </c>
      <c r="I46" s="10">
        <v>578</v>
      </c>
      <c r="J46" s="10">
        <v>-151.75</v>
      </c>
      <c r="K46" s="10">
        <v>7098</v>
      </c>
      <c r="L46" s="10">
        <v>2415</v>
      </c>
      <c r="M46" s="10">
        <v>27213</v>
      </c>
      <c r="N46" s="10">
        <v>18.5</v>
      </c>
      <c r="O46" s="10">
        <v>8.15</v>
      </c>
      <c r="P46" s="10">
        <v>1.75</v>
      </c>
      <c r="Q46" s="10">
        <v>16450.5</v>
      </c>
    </row>
    <row r="47" spans="3:17" x14ac:dyDescent="0.25">
      <c r="C47" s="10">
        <v>15900</v>
      </c>
      <c r="D47" s="10" t="s">
        <v>1807</v>
      </c>
      <c r="E47" s="10">
        <v>8300</v>
      </c>
      <c r="F47" s="10">
        <v>-1808</v>
      </c>
      <c r="G47" s="10">
        <v>4618</v>
      </c>
      <c r="H47" s="10">
        <v>0</v>
      </c>
      <c r="I47" s="10">
        <v>528.25</v>
      </c>
      <c r="J47" s="10">
        <v>-150.60000000000002</v>
      </c>
      <c r="K47" s="10">
        <v>46179</v>
      </c>
      <c r="L47" s="10">
        <v>11904</v>
      </c>
      <c r="M47" s="10">
        <v>169016</v>
      </c>
      <c r="N47" s="10">
        <v>17.66</v>
      </c>
      <c r="O47" s="10">
        <v>9</v>
      </c>
      <c r="P47" s="10">
        <v>2</v>
      </c>
      <c r="Q47" s="10">
        <v>16450.5</v>
      </c>
    </row>
    <row r="48" spans="3:17" x14ac:dyDescent="0.25">
      <c r="C48" s="10">
        <v>15950</v>
      </c>
      <c r="D48" s="10" t="s">
        <v>1807</v>
      </c>
      <c r="E48" s="10">
        <v>570</v>
      </c>
      <c r="F48" s="10">
        <v>-27</v>
      </c>
      <c r="G48" s="10">
        <v>359</v>
      </c>
      <c r="H48" s="10">
        <v>0</v>
      </c>
      <c r="I48" s="10">
        <v>479</v>
      </c>
      <c r="J48" s="10">
        <v>-151.39999999999998</v>
      </c>
      <c r="K48" s="10">
        <v>11019</v>
      </c>
      <c r="L48" s="10">
        <v>5996</v>
      </c>
      <c r="M48" s="10">
        <v>51918</v>
      </c>
      <c r="N48" s="10">
        <v>17.5</v>
      </c>
      <c r="O48" s="10">
        <v>11.9</v>
      </c>
      <c r="P48" s="10">
        <v>3.9</v>
      </c>
      <c r="Q48" s="10">
        <v>16450.5</v>
      </c>
    </row>
    <row r="49" spans="3:17" x14ac:dyDescent="0.25">
      <c r="C49" s="10">
        <v>16000</v>
      </c>
      <c r="D49" s="10" t="s">
        <v>1807</v>
      </c>
      <c r="E49" s="10">
        <v>20545</v>
      </c>
      <c r="F49" s="10">
        <v>-1825</v>
      </c>
      <c r="G49" s="10">
        <v>32472</v>
      </c>
      <c r="H49" s="10">
        <v>0</v>
      </c>
      <c r="I49" s="10">
        <v>434</v>
      </c>
      <c r="J49" s="10">
        <v>-147.89999999999998</v>
      </c>
      <c r="K49" s="10">
        <v>87440</v>
      </c>
      <c r="L49" s="10">
        <v>6060</v>
      </c>
      <c r="M49" s="10">
        <v>444842</v>
      </c>
      <c r="N49" s="10">
        <v>17.22</v>
      </c>
      <c r="O49" s="10">
        <v>15.2</v>
      </c>
      <c r="P49" s="10">
        <v>6.0499999999999989</v>
      </c>
      <c r="Q49" s="10">
        <v>16450.5</v>
      </c>
    </row>
    <row r="50" spans="3:17" x14ac:dyDescent="0.25">
      <c r="C50" s="10">
        <v>16050</v>
      </c>
      <c r="D50" s="10" t="s">
        <v>1807</v>
      </c>
      <c r="E50" s="10">
        <v>697</v>
      </c>
      <c r="F50" s="10">
        <v>4</v>
      </c>
      <c r="G50" s="10">
        <v>476</v>
      </c>
      <c r="H50" s="10">
        <v>0</v>
      </c>
      <c r="I50" s="10">
        <v>381.95</v>
      </c>
      <c r="J50" s="10">
        <v>-144.59999999999997</v>
      </c>
      <c r="K50" s="10">
        <v>9875</v>
      </c>
      <c r="L50" s="10">
        <v>2796</v>
      </c>
      <c r="M50" s="10">
        <v>75082</v>
      </c>
      <c r="N50" s="10">
        <v>16.649999999999999</v>
      </c>
      <c r="O50" s="10">
        <v>18.2</v>
      </c>
      <c r="P50" s="10">
        <v>8.1</v>
      </c>
      <c r="Q50" s="10">
        <v>16450.5</v>
      </c>
    </row>
    <row r="51" spans="3:17" x14ac:dyDescent="0.25">
      <c r="C51" s="10">
        <v>16100</v>
      </c>
      <c r="D51" s="10" t="s">
        <v>1807</v>
      </c>
      <c r="E51" s="10">
        <v>7570</v>
      </c>
      <c r="F51" s="10">
        <v>-357</v>
      </c>
      <c r="G51" s="10">
        <v>9020</v>
      </c>
      <c r="H51" s="10">
        <v>9.34</v>
      </c>
      <c r="I51" s="10">
        <v>378.9</v>
      </c>
      <c r="J51" s="10">
        <v>-104.25</v>
      </c>
      <c r="K51" s="10">
        <v>44403</v>
      </c>
      <c r="L51" s="10">
        <v>10882</v>
      </c>
      <c r="M51" s="10">
        <v>353015</v>
      </c>
      <c r="N51" s="10">
        <v>16.3</v>
      </c>
      <c r="O51" s="10">
        <v>22.9</v>
      </c>
      <c r="P51" s="10">
        <v>10.9</v>
      </c>
      <c r="Q51" s="10">
        <v>16450.5</v>
      </c>
    </row>
    <row r="52" spans="3:17" x14ac:dyDescent="0.25">
      <c r="C52" s="10">
        <v>16150</v>
      </c>
      <c r="D52" s="10" t="s">
        <v>1807</v>
      </c>
      <c r="E52" s="10">
        <v>920</v>
      </c>
      <c r="F52" s="10">
        <v>14</v>
      </c>
      <c r="G52" s="10">
        <v>1650</v>
      </c>
      <c r="H52" s="10">
        <v>0</v>
      </c>
      <c r="I52" s="10">
        <v>296.05</v>
      </c>
      <c r="J52" s="10">
        <v>-138.80000000000001</v>
      </c>
      <c r="K52" s="10">
        <v>10839</v>
      </c>
      <c r="L52" s="10">
        <v>5598</v>
      </c>
      <c r="M52" s="10">
        <v>114097</v>
      </c>
      <c r="N52" s="10">
        <v>15.72</v>
      </c>
      <c r="O52" s="10">
        <v>27.55</v>
      </c>
      <c r="P52" s="10">
        <v>13.25</v>
      </c>
      <c r="Q52" s="10">
        <v>16450.5</v>
      </c>
    </row>
    <row r="53" spans="3:17" x14ac:dyDescent="0.25">
      <c r="C53" s="10">
        <v>16200</v>
      </c>
      <c r="D53" s="10" t="s">
        <v>1807</v>
      </c>
      <c r="E53" s="10">
        <v>12732</v>
      </c>
      <c r="F53" s="10">
        <v>-1339</v>
      </c>
      <c r="G53" s="10">
        <v>52433</v>
      </c>
      <c r="H53" s="10">
        <v>0</v>
      </c>
      <c r="I53" s="10">
        <v>259.45</v>
      </c>
      <c r="J53" s="10">
        <v>-129.94999999999999</v>
      </c>
      <c r="K53" s="10">
        <v>57538</v>
      </c>
      <c r="L53" s="10">
        <v>7958</v>
      </c>
      <c r="M53" s="10">
        <v>648358</v>
      </c>
      <c r="N53" s="10">
        <v>15.41</v>
      </c>
      <c r="O53" s="10">
        <v>34.799999999999997</v>
      </c>
      <c r="P53" s="10">
        <v>17.099999999999998</v>
      </c>
      <c r="Q53" s="10">
        <v>16450.5</v>
      </c>
    </row>
    <row r="54" spans="3:17" x14ac:dyDescent="0.25">
      <c r="C54" s="10">
        <v>16250</v>
      </c>
      <c r="D54" s="10" t="s">
        <v>1807</v>
      </c>
      <c r="E54" s="10">
        <v>3079</v>
      </c>
      <c r="F54" s="10">
        <v>35</v>
      </c>
      <c r="G54" s="10">
        <v>11080</v>
      </c>
      <c r="H54" s="10">
        <v>0</v>
      </c>
      <c r="I54" s="10">
        <v>215.8</v>
      </c>
      <c r="J54" s="10">
        <v>-125.2</v>
      </c>
      <c r="K54" s="10">
        <v>17933</v>
      </c>
      <c r="L54" s="10">
        <v>8383</v>
      </c>
      <c r="M54" s="10">
        <v>299194</v>
      </c>
      <c r="N54" s="10">
        <v>15.23</v>
      </c>
      <c r="O54" s="10">
        <v>44.65</v>
      </c>
      <c r="P54" s="10">
        <v>23.299999999999997</v>
      </c>
      <c r="Q54" s="10">
        <v>16450.5</v>
      </c>
    </row>
    <row r="55" spans="3:17" x14ac:dyDescent="0.25">
      <c r="C55" s="10">
        <v>16300</v>
      </c>
      <c r="D55" s="10" t="s">
        <v>1807</v>
      </c>
      <c r="E55" s="10">
        <v>20591</v>
      </c>
      <c r="F55" s="10">
        <v>751</v>
      </c>
      <c r="G55" s="10">
        <v>162915</v>
      </c>
      <c r="H55" s="10">
        <v>0</v>
      </c>
      <c r="I55" s="10">
        <v>177</v>
      </c>
      <c r="J55" s="10">
        <v>-123.14999999999998</v>
      </c>
      <c r="K55" s="10">
        <v>66673</v>
      </c>
      <c r="L55" s="10">
        <v>17419</v>
      </c>
      <c r="M55" s="10">
        <v>989600</v>
      </c>
      <c r="N55" s="10">
        <v>14.84</v>
      </c>
      <c r="O55" s="10">
        <v>55.15</v>
      </c>
      <c r="P55" s="10">
        <v>28.25</v>
      </c>
      <c r="Q55" s="10">
        <v>16450.5</v>
      </c>
    </row>
    <row r="56" spans="3:17" x14ac:dyDescent="0.25">
      <c r="C56" s="10">
        <v>16350</v>
      </c>
      <c r="D56" s="10" t="s">
        <v>1807</v>
      </c>
      <c r="E56" s="10">
        <v>4705</v>
      </c>
      <c r="F56" s="10">
        <v>2161</v>
      </c>
      <c r="G56" s="10">
        <v>80526</v>
      </c>
      <c r="H56" s="10">
        <v>6.45</v>
      </c>
      <c r="I56" s="10">
        <v>140</v>
      </c>
      <c r="J56" s="10">
        <v>-115.5</v>
      </c>
      <c r="K56" s="10">
        <v>16369</v>
      </c>
      <c r="L56" s="10">
        <v>5972</v>
      </c>
      <c r="M56" s="10">
        <v>470432</v>
      </c>
      <c r="N56" s="10">
        <v>15.11</v>
      </c>
      <c r="O56" s="10">
        <v>73.05</v>
      </c>
      <c r="P56" s="10">
        <v>39.450000000000003</v>
      </c>
      <c r="Q56" s="10">
        <v>16450.5</v>
      </c>
    </row>
    <row r="57" spans="3:17" x14ac:dyDescent="0.25">
      <c r="C57" s="10">
        <v>16400</v>
      </c>
      <c r="D57" s="10" t="s">
        <v>1807</v>
      </c>
      <c r="E57" s="10">
        <v>55932</v>
      </c>
      <c r="F57" s="10">
        <v>38517</v>
      </c>
      <c r="G57" s="10">
        <v>826478</v>
      </c>
      <c r="H57" s="10">
        <v>7.89</v>
      </c>
      <c r="I57" s="10">
        <v>112</v>
      </c>
      <c r="J57" s="10">
        <v>-104.25</v>
      </c>
      <c r="K57" s="10">
        <v>85589</v>
      </c>
      <c r="L57" s="10">
        <v>26318</v>
      </c>
      <c r="M57" s="10">
        <v>1584674</v>
      </c>
      <c r="N57" s="10">
        <v>14.68</v>
      </c>
      <c r="O57" s="10">
        <v>88.35</v>
      </c>
      <c r="P57" s="10">
        <v>45.149999999999991</v>
      </c>
      <c r="Q57" s="10">
        <v>16450.5</v>
      </c>
    </row>
    <row r="58" spans="3:17" x14ac:dyDescent="0.25">
      <c r="C58" s="10">
        <v>16450</v>
      </c>
      <c r="D58" s="10" t="s">
        <v>1807</v>
      </c>
      <c r="E58" s="10">
        <v>22175</v>
      </c>
      <c r="F58" s="10">
        <v>19470</v>
      </c>
      <c r="G58" s="10">
        <v>641576</v>
      </c>
      <c r="H58" s="10">
        <v>8.17</v>
      </c>
      <c r="I58" s="10">
        <v>83.35</v>
      </c>
      <c r="J58" s="10">
        <v>-92.55</v>
      </c>
      <c r="K58" s="10">
        <v>20088</v>
      </c>
      <c r="L58" s="10">
        <v>8188</v>
      </c>
      <c r="M58" s="10">
        <v>673174</v>
      </c>
      <c r="N58" s="10">
        <v>15.09</v>
      </c>
      <c r="O58" s="10">
        <v>113.6</v>
      </c>
      <c r="P58" s="10">
        <v>58.3</v>
      </c>
      <c r="Q58" s="10">
        <v>16450.5</v>
      </c>
    </row>
    <row r="59" spans="3:17" x14ac:dyDescent="0.25">
      <c r="C59" s="10">
        <v>16500</v>
      </c>
      <c r="D59" s="10" t="s">
        <v>1807</v>
      </c>
      <c r="E59" s="10">
        <v>99550</v>
      </c>
      <c r="F59" s="10">
        <v>47232</v>
      </c>
      <c r="G59" s="10">
        <v>1668023</v>
      </c>
      <c r="H59" s="10">
        <v>8.6199999999999992</v>
      </c>
      <c r="I59" s="10">
        <v>61.95</v>
      </c>
      <c r="J59" s="10">
        <v>-82.600000000000009</v>
      </c>
      <c r="K59" s="10">
        <v>70670</v>
      </c>
      <c r="L59" s="10">
        <v>-21083</v>
      </c>
      <c r="M59" s="10">
        <v>1029640</v>
      </c>
      <c r="N59" s="10">
        <v>15.02</v>
      </c>
      <c r="O59" s="10">
        <v>137.94999999999999</v>
      </c>
      <c r="P59" s="10">
        <v>67.049999999999983</v>
      </c>
      <c r="Q59" s="10">
        <v>16450.5</v>
      </c>
    </row>
    <row r="60" spans="3:17" x14ac:dyDescent="0.25">
      <c r="C60" s="10">
        <v>16550</v>
      </c>
      <c r="D60" s="10" t="s">
        <v>1807</v>
      </c>
      <c r="E60" s="10">
        <v>29760</v>
      </c>
      <c r="F60" s="10">
        <v>18590</v>
      </c>
      <c r="G60" s="10">
        <v>552057</v>
      </c>
      <c r="H60" s="10">
        <v>8.92</v>
      </c>
      <c r="I60" s="10">
        <v>44.5</v>
      </c>
      <c r="J60" s="10">
        <v>-67.7</v>
      </c>
      <c r="K60" s="10">
        <v>7461</v>
      </c>
      <c r="L60" s="10">
        <v>-5590</v>
      </c>
      <c r="M60" s="10">
        <v>137610</v>
      </c>
      <c r="N60" s="10">
        <v>15.37</v>
      </c>
      <c r="O60" s="10">
        <v>169</v>
      </c>
      <c r="P60" s="10">
        <v>79.75</v>
      </c>
      <c r="Q60" s="10">
        <v>16450.5</v>
      </c>
    </row>
    <row r="61" spans="3:17" x14ac:dyDescent="0.25">
      <c r="C61" s="10">
        <v>16600</v>
      </c>
      <c r="D61" s="10" t="s">
        <v>1807</v>
      </c>
      <c r="E61" s="10">
        <v>88100</v>
      </c>
      <c r="F61" s="10">
        <v>27431</v>
      </c>
      <c r="G61" s="10">
        <v>1087600</v>
      </c>
      <c r="H61" s="10">
        <v>9.19</v>
      </c>
      <c r="I61" s="10">
        <v>31.3</v>
      </c>
      <c r="J61" s="10">
        <v>-54.5</v>
      </c>
      <c r="K61" s="10">
        <v>15395</v>
      </c>
      <c r="L61" s="10">
        <v>-23458</v>
      </c>
      <c r="M61" s="10">
        <v>267059</v>
      </c>
      <c r="N61" s="10">
        <v>16.690000000000001</v>
      </c>
      <c r="O61" s="10">
        <v>210.4</v>
      </c>
      <c r="P61" s="10">
        <v>99.25</v>
      </c>
      <c r="Q61" s="10">
        <v>16450.5</v>
      </c>
    </row>
    <row r="62" spans="3:17" x14ac:dyDescent="0.25">
      <c r="C62" s="10">
        <v>16650</v>
      </c>
      <c r="D62" s="10" t="s">
        <v>1807</v>
      </c>
      <c r="E62" s="10">
        <v>28279</v>
      </c>
      <c r="F62" s="10">
        <v>10329</v>
      </c>
      <c r="G62" s="10">
        <v>392789</v>
      </c>
      <c r="H62" s="10">
        <v>9.43</v>
      </c>
      <c r="I62" s="10">
        <v>21.55</v>
      </c>
      <c r="J62" s="10">
        <v>-41.5</v>
      </c>
      <c r="K62" s="10">
        <v>2785</v>
      </c>
      <c r="L62" s="10">
        <v>-2007</v>
      </c>
      <c r="M62" s="10">
        <v>21959</v>
      </c>
      <c r="N62" s="10">
        <v>17.03</v>
      </c>
      <c r="O62" s="10">
        <v>246.2</v>
      </c>
      <c r="P62" s="10">
        <v>106.85</v>
      </c>
      <c r="Q62" s="10">
        <v>16450.5</v>
      </c>
    </row>
    <row r="63" spans="3:17" x14ac:dyDescent="0.25">
      <c r="C63" s="10">
        <v>16700</v>
      </c>
      <c r="D63" s="10" t="s">
        <v>1807</v>
      </c>
      <c r="E63" s="10">
        <v>82212</v>
      </c>
      <c r="F63" s="10">
        <v>18224</v>
      </c>
      <c r="G63" s="10">
        <v>848219</v>
      </c>
      <c r="H63" s="10">
        <v>9.75</v>
      </c>
      <c r="I63" s="10">
        <v>15</v>
      </c>
      <c r="J63" s="10">
        <v>-30.200000000000003</v>
      </c>
      <c r="K63" s="10">
        <v>13641</v>
      </c>
      <c r="L63" s="10">
        <v>-7749</v>
      </c>
      <c r="M63" s="10">
        <v>85997</v>
      </c>
      <c r="N63" s="10">
        <v>18.89</v>
      </c>
      <c r="O63" s="10">
        <v>295</v>
      </c>
      <c r="P63" s="10">
        <v>124.9</v>
      </c>
      <c r="Q63" s="10">
        <v>16450.5</v>
      </c>
    </row>
    <row r="64" spans="3:17" x14ac:dyDescent="0.25">
      <c r="C64" s="10">
        <v>16750</v>
      </c>
      <c r="D64" s="10" t="s">
        <v>1807</v>
      </c>
      <c r="E64" s="10">
        <v>26006</v>
      </c>
      <c r="F64" s="10">
        <v>10453</v>
      </c>
      <c r="G64" s="10">
        <v>284334</v>
      </c>
      <c r="H64" s="10">
        <v>9.93</v>
      </c>
      <c r="I64" s="10">
        <v>9.85</v>
      </c>
      <c r="J64" s="10">
        <v>-22.15</v>
      </c>
      <c r="K64" s="10">
        <v>553</v>
      </c>
      <c r="L64" s="10">
        <v>-292</v>
      </c>
      <c r="M64" s="10">
        <v>3124</v>
      </c>
      <c r="N64" s="10">
        <v>20.47</v>
      </c>
      <c r="O64" s="10">
        <v>342.5</v>
      </c>
      <c r="P64" s="10">
        <v>132.9</v>
      </c>
      <c r="Q64" s="10">
        <v>16450.5</v>
      </c>
    </row>
    <row r="65" spans="3:17" x14ac:dyDescent="0.25">
      <c r="C65" s="10">
        <v>16800</v>
      </c>
      <c r="D65" s="10" t="s">
        <v>1807</v>
      </c>
      <c r="E65" s="10">
        <v>73378</v>
      </c>
      <c r="F65" s="10">
        <v>33714</v>
      </c>
      <c r="G65" s="10">
        <v>571951</v>
      </c>
      <c r="H65" s="10">
        <v>10.26</v>
      </c>
      <c r="I65" s="10">
        <v>6.8</v>
      </c>
      <c r="J65" s="10">
        <v>-15.4</v>
      </c>
      <c r="K65" s="10">
        <v>3642</v>
      </c>
      <c r="L65" s="10">
        <v>-3817</v>
      </c>
      <c r="M65" s="10">
        <v>20875</v>
      </c>
      <c r="N65" s="10">
        <v>20.89</v>
      </c>
      <c r="O65" s="10">
        <v>383</v>
      </c>
      <c r="P65" s="10">
        <v>132.15</v>
      </c>
      <c r="Q65" s="10">
        <v>16450.5</v>
      </c>
    </row>
    <row r="66" spans="3:17" x14ac:dyDescent="0.25">
      <c r="C66" s="10">
        <v>16850</v>
      </c>
      <c r="D66" s="10" t="s">
        <v>1807</v>
      </c>
      <c r="E66" s="10">
        <v>15888</v>
      </c>
      <c r="F66" s="10">
        <v>5239</v>
      </c>
      <c r="G66" s="10">
        <v>206775</v>
      </c>
      <c r="H66" s="10">
        <v>10.72</v>
      </c>
      <c r="I66" s="10">
        <v>5</v>
      </c>
      <c r="J66" s="10">
        <v>-9.9</v>
      </c>
      <c r="K66" s="10">
        <v>231</v>
      </c>
      <c r="L66" s="10">
        <v>-65</v>
      </c>
      <c r="M66" s="10">
        <v>478</v>
      </c>
      <c r="N66" s="10">
        <v>23.72</v>
      </c>
      <c r="O66" s="10">
        <v>439.9</v>
      </c>
      <c r="P66" s="10">
        <v>147.19999999999999</v>
      </c>
      <c r="Q66" s="10">
        <v>16450.5</v>
      </c>
    </row>
    <row r="67" spans="3:17" x14ac:dyDescent="0.25">
      <c r="C67" s="10">
        <v>16900</v>
      </c>
      <c r="D67" s="10" t="s">
        <v>1807</v>
      </c>
      <c r="E67" s="10">
        <v>54959</v>
      </c>
      <c r="F67" s="10">
        <v>16485</v>
      </c>
      <c r="G67" s="10">
        <v>395263</v>
      </c>
      <c r="H67" s="10">
        <v>11.34</v>
      </c>
      <c r="I67" s="10">
        <v>4</v>
      </c>
      <c r="J67" s="10">
        <v>-6.3000000000000007</v>
      </c>
      <c r="K67" s="10">
        <v>7633</v>
      </c>
      <c r="L67" s="10">
        <v>-105</v>
      </c>
      <c r="M67" s="10">
        <v>4775</v>
      </c>
      <c r="N67" s="10">
        <v>23.91</v>
      </c>
      <c r="O67" s="10">
        <v>480.4</v>
      </c>
      <c r="P67" s="10">
        <v>140.84999999999997</v>
      </c>
      <c r="Q67" s="10">
        <v>16450.5</v>
      </c>
    </row>
    <row r="68" spans="3:17" x14ac:dyDescent="0.25">
      <c r="C68" s="10">
        <v>16950</v>
      </c>
      <c r="D68" s="10" t="s">
        <v>1807</v>
      </c>
      <c r="E68" s="10">
        <v>13048</v>
      </c>
      <c r="F68" s="10">
        <v>4357</v>
      </c>
      <c r="G68" s="10">
        <v>104710</v>
      </c>
      <c r="H68" s="10">
        <v>11.91</v>
      </c>
      <c r="I68" s="10">
        <v>3.2</v>
      </c>
      <c r="J68" s="10">
        <v>-4.3</v>
      </c>
      <c r="K68" s="10">
        <v>109</v>
      </c>
      <c r="L68" s="10">
        <v>12</v>
      </c>
      <c r="M68" s="10">
        <v>149</v>
      </c>
      <c r="N68" s="10">
        <v>26.8</v>
      </c>
      <c r="O68" s="10">
        <v>537.85</v>
      </c>
      <c r="P68" s="10">
        <v>155.5</v>
      </c>
      <c r="Q68" s="10">
        <v>16450.5</v>
      </c>
    </row>
    <row r="69" spans="3:17" x14ac:dyDescent="0.25">
      <c r="C69" s="10">
        <v>17000</v>
      </c>
      <c r="D69" s="10" t="s">
        <v>1807</v>
      </c>
      <c r="E69" s="10">
        <v>85191</v>
      </c>
      <c r="F69" s="10">
        <v>16420</v>
      </c>
      <c r="G69" s="10">
        <v>407558</v>
      </c>
      <c r="H69" s="10">
        <v>12.75</v>
      </c>
      <c r="I69" s="10">
        <v>2.95</v>
      </c>
      <c r="J69" s="10">
        <v>-2.95</v>
      </c>
      <c r="K69" s="10">
        <v>8502</v>
      </c>
      <c r="L69" s="10">
        <v>-787</v>
      </c>
      <c r="M69" s="10">
        <v>4825</v>
      </c>
      <c r="N69" s="10">
        <v>27.89</v>
      </c>
      <c r="O69" s="10">
        <v>584.6</v>
      </c>
      <c r="P69" s="10">
        <v>150.80000000000001</v>
      </c>
      <c r="Q69" s="10">
        <v>16450.5</v>
      </c>
    </row>
    <row r="70" spans="3:17" x14ac:dyDescent="0.25">
      <c r="C70" s="10">
        <v>17050</v>
      </c>
      <c r="D70" s="10" t="s">
        <v>1807</v>
      </c>
      <c r="E70" s="10">
        <v>5919</v>
      </c>
      <c r="F70" s="10">
        <v>-1885</v>
      </c>
      <c r="G70" s="10">
        <v>39876</v>
      </c>
      <c r="H70" s="10">
        <v>13.7</v>
      </c>
      <c r="I70" s="10">
        <v>2.9</v>
      </c>
      <c r="J70" s="10">
        <v>-1.5500000000000005</v>
      </c>
      <c r="K70" s="10">
        <v>73</v>
      </c>
      <c r="L70" s="10">
        <v>-3</v>
      </c>
      <c r="M70" s="10">
        <v>12</v>
      </c>
      <c r="N70" s="10">
        <v>30.38</v>
      </c>
      <c r="O70" s="10">
        <v>639.79999999999995</v>
      </c>
      <c r="P70" s="10">
        <v>157.99999999999994</v>
      </c>
      <c r="Q70" s="10">
        <v>16450.5</v>
      </c>
    </row>
    <row r="71" spans="3:17" x14ac:dyDescent="0.25">
      <c r="C71" s="10">
        <v>17100</v>
      </c>
      <c r="D71" s="10" t="s">
        <v>1807</v>
      </c>
      <c r="E71" s="10">
        <v>66343</v>
      </c>
      <c r="F71" s="10">
        <v>43055</v>
      </c>
      <c r="G71" s="10">
        <v>248357</v>
      </c>
      <c r="H71" s="10">
        <v>14.25</v>
      </c>
      <c r="I71" s="10">
        <v>2.4</v>
      </c>
      <c r="J71" s="10">
        <v>-1.3000000000000005</v>
      </c>
      <c r="K71" s="10">
        <v>195</v>
      </c>
      <c r="L71" s="10">
        <v>-13</v>
      </c>
      <c r="M71" s="10">
        <v>140</v>
      </c>
      <c r="N71" s="10">
        <v>31.47</v>
      </c>
      <c r="O71" s="10">
        <v>687</v>
      </c>
      <c r="P71" s="10">
        <v>158.75</v>
      </c>
      <c r="Q71" s="10">
        <v>16450.5</v>
      </c>
    </row>
    <row r="72" spans="3:17" x14ac:dyDescent="0.25">
      <c r="C72" s="10">
        <v>17150</v>
      </c>
      <c r="D72" s="10" t="s">
        <v>1807</v>
      </c>
      <c r="E72" s="10">
        <v>2345</v>
      </c>
      <c r="F72" s="10">
        <v>-71</v>
      </c>
      <c r="G72" s="10">
        <v>13071</v>
      </c>
      <c r="H72" s="10">
        <v>14.89</v>
      </c>
      <c r="I72" s="10">
        <v>2.1</v>
      </c>
      <c r="J72" s="10">
        <v>-1.1000000000000001</v>
      </c>
      <c r="K72" s="10">
        <v>12</v>
      </c>
      <c r="L72" s="10">
        <v>1</v>
      </c>
      <c r="M72" s="10">
        <v>3</v>
      </c>
      <c r="N72" s="10">
        <v>29.77</v>
      </c>
      <c r="O72" s="10">
        <v>720</v>
      </c>
      <c r="P72" s="10">
        <v>150</v>
      </c>
      <c r="Q72" s="10">
        <v>16450.5</v>
      </c>
    </row>
    <row r="73" spans="3:17" x14ac:dyDescent="0.25">
      <c r="C73" s="10">
        <v>17200</v>
      </c>
      <c r="D73" s="10" t="s">
        <v>1807</v>
      </c>
      <c r="E73" s="10">
        <v>31725</v>
      </c>
      <c r="F73" s="10">
        <v>3688</v>
      </c>
      <c r="G73" s="10">
        <v>121162</v>
      </c>
      <c r="H73" s="10">
        <v>15.46</v>
      </c>
      <c r="I73" s="10">
        <v>1.8</v>
      </c>
      <c r="J73" s="10">
        <v>-1.1000000000000001</v>
      </c>
      <c r="K73" s="10">
        <v>269</v>
      </c>
      <c r="L73" s="10">
        <v>-27</v>
      </c>
      <c r="M73" s="10">
        <v>134</v>
      </c>
      <c r="N73" s="10">
        <v>33.770000000000003</v>
      </c>
      <c r="O73" s="10">
        <v>782.9</v>
      </c>
      <c r="P73" s="10">
        <v>160.75</v>
      </c>
      <c r="Q73" s="10">
        <v>16450.5</v>
      </c>
    </row>
    <row r="74" spans="3:17" x14ac:dyDescent="0.25">
      <c r="C74" s="10">
        <v>17250</v>
      </c>
      <c r="D74" s="10" t="s">
        <v>1807</v>
      </c>
      <c r="E74" s="10">
        <v>2538</v>
      </c>
      <c r="F74" s="10">
        <v>717</v>
      </c>
      <c r="G74" s="10">
        <v>7128</v>
      </c>
      <c r="H74" s="10">
        <v>15.81</v>
      </c>
      <c r="I74" s="10">
        <v>1.4</v>
      </c>
      <c r="J74" s="10">
        <v>-0.89999999999999991</v>
      </c>
      <c r="K74" s="10">
        <v>1</v>
      </c>
      <c r="L74" s="10">
        <v>0</v>
      </c>
      <c r="M74" s="10">
        <v>0</v>
      </c>
      <c r="N74" s="10">
        <v>0</v>
      </c>
      <c r="O74" s="10">
        <v>610.29999999999995</v>
      </c>
      <c r="P74" s="10">
        <v>0</v>
      </c>
      <c r="Q74" s="10">
        <v>16450.5</v>
      </c>
    </row>
    <row r="75" spans="3:17" x14ac:dyDescent="0.25">
      <c r="C75" s="10">
        <v>17300</v>
      </c>
      <c r="D75" s="10" t="s">
        <v>1807</v>
      </c>
      <c r="E75" s="10">
        <v>27479</v>
      </c>
      <c r="F75" s="10">
        <v>7559</v>
      </c>
      <c r="G75" s="10">
        <v>89681</v>
      </c>
      <c r="H75" s="10">
        <v>16.96</v>
      </c>
      <c r="I75" s="10">
        <v>1.6</v>
      </c>
      <c r="J75" s="10">
        <v>-0.44999999999999973</v>
      </c>
      <c r="K75" s="10">
        <v>364</v>
      </c>
      <c r="L75" s="10">
        <v>-6</v>
      </c>
      <c r="M75" s="10">
        <v>21</v>
      </c>
      <c r="N75" s="10">
        <v>34.68</v>
      </c>
      <c r="O75" s="10">
        <v>872.95</v>
      </c>
      <c r="P75" s="10">
        <v>151.20000000000005</v>
      </c>
      <c r="Q75" s="10">
        <v>16450.5</v>
      </c>
    </row>
    <row r="76" spans="3:17" x14ac:dyDescent="0.25">
      <c r="C76" s="10">
        <v>17350</v>
      </c>
      <c r="D76" s="10" t="s">
        <v>1807</v>
      </c>
      <c r="E76" s="10">
        <v>785</v>
      </c>
      <c r="F76" s="10">
        <v>247</v>
      </c>
      <c r="G76" s="10">
        <v>2563</v>
      </c>
      <c r="H76" s="10">
        <v>18.04</v>
      </c>
      <c r="I76" s="10">
        <v>1.75</v>
      </c>
      <c r="J76" s="10">
        <v>-0.25</v>
      </c>
      <c r="K76" s="10">
        <v>5</v>
      </c>
      <c r="L76" s="10">
        <v>0</v>
      </c>
      <c r="M76" s="10">
        <v>0</v>
      </c>
      <c r="N76" s="10">
        <v>0</v>
      </c>
      <c r="O76" s="10">
        <v>765.2</v>
      </c>
      <c r="P76" s="10">
        <v>-1.1499999999999773</v>
      </c>
      <c r="Q76" s="10">
        <v>16450.5</v>
      </c>
    </row>
    <row r="77" spans="3:17" x14ac:dyDescent="0.25">
      <c r="C77" s="10">
        <v>17400</v>
      </c>
      <c r="D77" s="10" t="s">
        <v>1807</v>
      </c>
      <c r="E77" s="10">
        <v>15434</v>
      </c>
      <c r="F77" s="10">
        <v>4114</v>
      </c>
      <c r="G77" s="10">
        <v>36717</v>
      </c>
      <c r="H77" s="10">
        <v>18.53</v>
      </c>
      <c r="I77" s="10">
        <v>1.5</v>
      </c>
      <c r="J77" s="10">
        <v>-0.25</v>
      </c>
      <c r="K77" s="10">
        <v>399</v>
      </c>
      <c r="L77" s="10">
        <v>-14</v>
      </c>
      <c r="M77" s="10">
        <v>37</v>
      </c>
      <c r="N77" s="10">
        <v>35.17</v>
      </c>
      <c r="O77" s="10">
        <v>963</v>
      </c>
      <c r="P77" s="10">
        <v>144.95000000000005</v>
      </c>
      <c r="Q77" s="10">
        <v>16450.5</v>
      </c>
    </row>
    <row r="78" spans="3:17" x14ac:dyDescent="0.25">
      <c r="C78" s="10">
        <v>17450</v>
      </c>
      <c r="D78" s="10" t="s">
        <v>1807</v>
      </c>
      <c r="E78" s="10">
        <v>232</v>
      </c>
      <c r="F78" s="10">
        <v>3</v>
      </c>
      <c r="G78" s="10">
        <v>2093</v>
      </c>
      <c r="H78" s="10">
        <v>19.53</v>
      </c>
      <c r="I78" s="10">
        <v>1.6</v>
      </c>
      <c r="J78" s="10">
        <v>-0.29999999999999982</v>
      </c>
      <c r="K78" s="10">
        <v>2</v>
      </c>
      <c r="L78" s="10">
        <v>0</v>
      </c>
      <c r="M78" s="10">
        <v>0</v>
      </c>
      <c r="N78" s="10">
        <v>0</v>
      </c>
      <c r="O78" s="10">
        <v>781.9</v>
      </c>
      <c r="P78" s="10">
        <v>0</v>
      </c>
      <c r="Q78" s="10">
        <v>16450.5</v>
      </c>
    </row>
    <row r="79" spans="3:17" x14ac:dyDescent="0.25">
      <c r="C79" s="10">
        <v>17500</v>
      </c>
      <c r="D79" s="10" t="s">
        <v>1807</v>
      </c>
      <c r="E79" s="10">
        <v>49522</v>
      </c>
      <c r="F79" s="10">
        <v>20680</v>
      </c>
      <c r="G79" s="10">
        <v>127799</v>
      </c>
      <c r="H79" s="10">
        <v>20.61</v>
      </c>
      <c r="I79" s="10">
        <v>1.75</v>
      </c>
      <c r="J79" s="10">
        <v>0.14999999999999991</v>
      </c>
      <c r="K79" s="10">
        <v>675</v>
      </c>
      <c r="L79" s="10">
        <v>-58</v>
      </c>
      <c r="M79" s="10">
        <v>212</v>
      </c>
      <c r="N79" s="10">
        <v>40.42</v>
      </c>
      <c r="O79" s="10">
        <v>1074.05</v>
      </c>
      <c r="P79" s="10">
        <v>147.14999999999998</v>
      </c>
      <c r="Q79" s="10">
        <v>16450.5</v>
      </c>
    </row>
    <row r="80" spans="3:17" x14ac:dyDescent="0.25">
      <c r="C80" s="10">
        <v>17550</v>
      </c>
      <c r="D80" s="10" t="s">
        <v>1807</v>
      </c>
      <c r="E80" s="10">
        <v>145</v>
      </c>
      <c r="F80" s="10">
        <v>102</v>
      </c>
      <c r="G80" s="10">
        <v>255</v>
      </c>
      <c r="H80" s="10">
        <v>21.21</v>
      </c>
      <c r="I80" s="10">
        <v>1.6</v>
      </c>
      <c r="J80" s="10">
        <v>0.25</v>
      </c>
      <c r="K80" s="10">
        <v>1</v>
      </c>
      <c r="L80" s="10">
        <v>1</v>
      </c>
      <c r="M80" s="10">
        <v>2</v>
      </c>
      <c r="N80" s="10">
        <v>49.11</v>
      </c>
      <c r="O80" s="10">
        <v>1159.45</v>
      </c>
      <c r="P80" s="10">
        <v>175</v>
      </c>
      <c r="Q80" s="10">
        <v>16450.5</v>
      </c>
    </row>
    <row r="81" spans="3:17" x14ac:dyDescent="0.25">
      <c r="C81" s="10">
        <v>17600</v>
      </c>
      <c r="D81" s="10" t="s">
        <v>1807</v>
      </c>
      <c r="E81" s="10">
        <v>3959</v>
      </c>
      <c r="F81" s="10">
        <v>592</v>
      </c>
      <c r="G81" s="10">
        <v>13451</v>
      </c>
      <c r="H81" s="10">
        <v>22.13</v>
      </c>
      <c r="I81" s="10">
        <v>1.65</v>
      </c>
      <c r="J81" s="10">
        <v>0.29999999999999982</v>
      </c>
      <c r="K81" s="10">
        <v>2</v>
      </c>
      <c r="L81" s="10">
        <v>0</v>
      </c>
      <c r="M81" s="10">
        <v>0</v>
      </c>
      <c r="N81" s="10">
        <v>0</v>
      </c>
      <c r="O81" s="10">
        <v>1045</v>
      </c>
      <c r="P81" s="10">
        <v>0</v>
      </c>
      <c r="Q81" s="10">
        <v>16450.5</v>
      </c>
    </row>
    <row r="82" spans="3:17" x14ac:dyDescent="0.25">
      <c r="C82" s="10">
        <v>17650</v>
      </c>
      <c r="D82" s="10" t="s">
        <v>1807</v>
      </c>
      <c r="E82" s="10">
        <v>118</v>
      </c>
      <c r="F82" s="10">
        <v>59</v>
      </c>
      <c r="G82" s="10">
        <v>3049</v>
      </c>
      <c r="H82" s="10">
        <v>22.68</v>
      </c>
      <c r="I82" s="10">
        <v>1.5</v>
      </c>
      <c r="J82" s="10">
        <v>0.25</v>
      </c>
      <c r="K82" s="10">
        <v>0</v>
      </c>
      <c r="L82" s="10">
        <v>0</v>
      </c>
      <c r="M82" s="10">
        <v>0</v>
      </c>
      <c r="N82" s="10">
        <v>0</v>
      </c>
      <c r="O82" s="10">
        <v>1074.1500000000001</v>
      </c>
      <c r="P82" s="10">
        <v>0</v>
      </c>
      <c r="Q82" s="10">
        <v>16450.5</v>
      </c>
    </row>
    <row r="83" spans="3:17" x14ac:dyDescent="0.25">
      <c r="C83" s="10">
        <v>17700</v>
      </c>
      <c r="D83" s="10" t="s">
        <v>1807</v>
      </c>
      <c r="E83" s="10">
        <v>5538</v>
      </c>
      <c r="F83" s="10">
        <v>4300</v>
      </c>
      <c r="G83" s="10">
        <v>17915</v>
      </c>
      <c r="H83" s="10">
        <v>22.75</v>
      </c>
      <c r="I83" s="10">
        <v>1.1499999999999999</v>
      </c>
      <c r="J83" s="10">
        <v>-0.10000000000000007</v>
      </c>
      <c r="K83" s="10">
        <v>20</v>
      </c>
      <c r="L83" s="10">
        <v>-6</v>
      </c>
      <c r="M83" s="10">
        <v>21</v>
      </c>
      <c r="N83" s="10">
        <v>50.35</v>
      </c>
      <c r="O83" s="10">
        <v>1294.6500000000001</v>
      </c>
      <c r="P83" s="10">
        <v>202.10000000000016</v>
      </c>
      <c r="Q83" s="10">
        <v>16450.5</v>
      </c>
    </row>
    <row r="84" spans="3:17" x14ac:dyDescent="0.25">
      <c r="C84" s="10">
        <v>17750</v>
      </c>
      <c r="D84" s="10" t="s">
        <v>1807</v>
      </c>
      <c r="E84" s="10">
        <v>126</v>
      </c>
      <c r="F84" s="10">
        <v>30</v>
      </c>
      <c r="G84" s="10">
        <v>18245</v>
      </c>
      <c r="H84" s="10">
        <v>23.29</v>
      </c>
      <c r="I84" s="10">
        <v>1.05</v>
      </c>
      <c r="J84" s="10">
        <v>-0.30000000000000004</v>
      </c>
      <c r="K84" s="10">
        <v>0</v>
      </c>
      <c r="L84" s="10">
        <v>0</v>
      </c>
      <c r="M84" s="10">
        <v>0</v>
      </c>
      <c r="N84" s="10">
        <v>0</v>
      </c>
      <c r="O84" s="10">
        <v>1178.95</v>
      </c>
      <c r="P84" s="10">
        <v>0</v>
      </c>
      <c r="Q84" s="10">
        <v>16450.5</v>
      </c>
    </row>
    <row r="85" spans="3:17" x14ac:dyDescent="0.25">
      <c r="C85" s="10">
        <v>17800</v>
      </c>
      <c r="D85" s="10" t="s">
        <v>1807</v>
      </c>
      <c r="E85" s="10">
        <v>5474</v>
      </c>
      <c r="F85" s="10">
        <v>3022</v>
      </c>
      <c r="G85" s="10">
        <v>12080</v>
      </c>
      <c r="H85" s="10">
        <v>24.19</v>
      </c>
      <c r="I85" s="10">
        <v>1.1000000000000001</v>
      </c>
      <c r="J85" s="10">
        <v>-0.19999999999999996</v>
      </c>
      <c r="K85" s="10">
        <v>20</v>
      </c>
      <c r="L85" s="10">
        <v>1</v>
      </c>
      <c r="M85" s="10">
        <v>8</v>
      </c>
      <c r="N85" s="10">
        <v>57.51</v>
      </c>
      <c r="O85" s="10">
        <v>1416.2</v>
      </c>
      <c r="P85" s="10">
        <v>287.35000000000014</v>
      </c>
      <c r="Q85" s="10">
        <v>16450.5</v>
      </c>
    </row>
    <row r="86" spans="3:17" x14ac:dyDescent="0.25">
      <c r="C86" s="10">
        <v>17850</v>
      </c>
      <c r="D86" s="10" t="s">
        <v>1807</v>
      </c>
      <c r="E86" s="10">
        <v>137</v>
      </c>
      <c r="F86" s="10">
        <v>132</v>
      </c>
      <c r="G86" s="10">
        <v>9176</v>
      </c>
      <c r="H86" s="10">
        <v>24.56</v>
      </c>
      <c r="I86" s="10">
        <v>0.95</v>
      </c>
      <c r="J86" s="10">
        <v>-0.45</v>
      </c>
      <c r="K86" s="10">
        <v>11</v>
      </c>
      <c r="L86" s="10">
        <v>0</v>
      </c>
      <c r="M86" s="10">
        <v>4</v>
      </c>
      <c r="N86" s="10">
        <v>59</v>
      </c>
      <c r="O86" s="10">
        <v>1466.7</v>
      </c>
      <c r="P86" s="10">
        <v>245.65000000000009</v>
      </c>
      <c r="Q86" s="10">
        <v>16450.5</v>
      </c>
    </row>
    <row r="87" spans="3:17" x14ac:dyDescent="0.25">
      <c r="C87" s="10">
        <v>17900</v>
      </c>
      <c r="D87" s="10" t="s">
        <v>1807</v>
      </c>
      <c r="E87" s="10">
        <v>1534</v>
      </c>
      <c r="F87" s="10">
        <v>858</v>
      </c>
      <c r="G87" s="10">
        <v>4659</v>
      </c>
      <c r="H87" s="10">
        <v>25.01</v>
      </c>
      <c r="I87" s="10">
        <v>0.85</v>
      </c>
      <c r="J87" s="10">
        <v>-0.50000000000000011</v>
      </c>
      <c r="K87" s="10">
        <v>0</v>
      </c>
      <c r="L87" s="10">
        <v>0</v>
      </c>
      <c r="M87" s="10">
        <v>0</v>
      </c>
      <c r="N87" s="10">
        <v>0</v>
      </c>
      <c r="O87" s="10">
        <v>0</v>
      </c>
      <c r="P87" s="10">
        <v>0</v>
      </c>
      <c r="Q87" s="10">
        <v>16450.5</v>
      </c>
    </row>
    <row r="88" spans="3:17" x14ac:dyDescent="0.25">
      <c r="C88" s="10">
        <v>17950</v>
      </c>
      <c r="D88" s="10" t="s">
        <v>1807</v>
      </c>
      <c r="E88" s="10">
        <v>446</v>
      </c>
      <c r="F88" s="10">
        <v>398</v>
      </c>
      <c r="G88" s="10">
        <v>5616</v>
      </c>
      <c r="H88" s="10">
        <v>25.58</v>
      </c>
      <c r="I88" s="10">
        <v>0.8</v>
      </c>
      <c r="J88" s="10">
        <v>-0.14999999999999991</v>
      </c>
      <c r="K88" s="10">
        <v>0</v>
      </c>
      <c r="L88" s="10">
        <v>0</v>
      </c>
      <c r="M88" s="10">
        <v>0</v>
      </c>
      <c r="N88" s="10">
        <v>0</v>
      </c>
      <c r="O88" s="10">
        <v>0</v>
      </c>
      <c r="P88" s="10">
        <v>0</v>
      </c>
      <c r="Q88" s="10">
        <v>16450.5</v>
      </c>
    </row>
    <row r="89" spans="3:17" x14ac:dyDescent="0.25">
      <c r="C89" s="10">
        <v>18000</v>
      </c>
      <c r="D89" s="10" t="s">
        <v>1807</v>
      </c>
      <c r="E89" s="10">
        <v>20558</v>
      </c>
      <c r="F89" s="10">
        <v>8721</v>
      </c>
      <c r="G89" s="10">
        <v>46679</v>
      </c>
      <c r="H89" s="10">
        <v>26.49</v>
      </c>
      <c r="I89" s="10">
        <v>0.85</v>
      </c>
      <c r="J89" s="10">
        <v>-0.45000000000000007</v>
      </c>
      <c r="K89" s="10">
        <v>201</v>
      </c>
      <c r="L89" s="10">
        <v>-1</v>
      </c>
      <c r="M89" s="10">
        <v>119</v>
      </c>
      <c r="N89" s="10">
        <v>53.25</v>
      </c>
      <c r="O89" s="10">
        <v>1574</v>
      </c>
      <c r="P89" s="10">
        <v>151.54999999999995</v>
      </c>
      <c r="Q89" s="10">
        <v>16450.5</v>
      </c>
    </row>
    <row r="90" spans="3:17" x14ac:dyDescent="0.25">
      <c r="C90" s="10">
        <v>18050</v>
      </c>
      <c r="D90" s="10" t="s">
        <v>1807</v>
      </c>
      <c r="E90" s="10">
        <v>62</v>
      </c>
      <c r="F90" s="10">
        <v>60</v>
      </c>
      <c r="G90" s="10">
        <v>9000</v>
      </c>
      <c r="H90" s="10">
        <v>27.05</v>
      </c>
      <c r="I90" s="10">
        <v>0.8</v>
      </c>
      <c r="J90" s="10">
        <v>-0.19999999999999996</v>
      </c>
      <c r="K90" s="10">
        <v>2</v>
      </c>
      <c r="L90" s="10">
        <v>0</v>
      </c>
      <c r="M90" s="10">
        <v>0</v>
      </c>
      <c r="N90" s="10">
        <v>0</v>
      </c>
      <c r="O90" s="10">
        <v>1441.9</v>
      </c>
      <c r="P90" s="10">
        <v>1.4000000000000909</v>
      </c>
      <c r="Q90" s="10">
        <v>16450.5</v>
      </c>
    </row>
    <row r="91" spans="3:17" x14ac:dyDescent="0.25">
      <c r="C91" s="10">
        <v>18100</v>
      </c>
      <c r="D91" s="10" t="s">
        <v>1807</v>
      </c>
      <c r="E91" s="10">
        <v>1957</v>
      </c>
      <c r="F91" s="10">
        <v>1856</v>
      </c>
      <c r="G91" s="10">
        <v>12180</v>
      </c>
      <c r="H91" s="10">
        <v>28.13</v>
      </c>
      <c r="I91" s="10">
        <v>0.9</v>
      </c>
      <c r="J91" s="10">
        <v>-0.49999999999999989</v>
      </c>
      <c r="K91" s="10">
        <v>1</v>
      </c>
      <c r="L91" s="10">
        <v>1</v>
      </c>
      <c r="M91" s="10">
        <v>1</v>
      </c>
      <c r="N91" s="10">
        <v>47.16</v>
      </c>
      <c r="O91" s="10">
        <v>1646.8</v>
      </c>
      <c r="P91" s="10">
        <v>174.70000000000005</v>
      </c>
      <c r="Q91" s="10">
        <v>16450.5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15"/>
  <sheetViews>
    <sheetView zoomScaleNormal="100" workbookViewId="0">
      <selection activeCell="E20" sqref="E20"/>
    </sheetView>
  </sheetViews>
  <sheetFormatPr defaultRowHeight="15" x14ac:dyDescent="0.25"/>
  <cols>
    <col min="1" max="1" width="17.7109375" customWidth="1"/>
  </cols>
  <sheetData>
    <row r="1" spans="1:1" x14ac:dyDescent="0.25">
      <c r="A1" t="s">
        <v>87</v>
      </c>
    </row>
    <row r="2" spans="1:1" x14ac:dyDescent="0.25">
      <c r="A2" t="s">
        <v>86</v>
      </c>
    </row>
    <row r="5" spans="1:1" x14ac:dyDescent="0.25">
      <c r="A5" t="s">
        <v>106</v>
      </c>
    </row>
    <row r="6" spans="1:1" x14ac:dyDescent="0.25">
      <c r="A6" t="s">
        <v>107</v>
      </c>
    </row>
    <row r="7" spans="1:1" x14ac:dyDescent="0.25">
      <c r="A7" t="s">
        <v>108</v>
      </c>
    </row>
    <row r="8" spans="1:1" x14ac:dyDescent="0.25">
      <c r="A8" t="s">
        <v>114</v>
      </c>
    </row>
    <row r="9" spans="1:1" x14ac:dyDescent="0.25">
      <c r="A9" t="s">
        <v>113</v>
      </c>
    </row>
    <row r="10" spans="1:1" x14ac:dyDescent="0.25">
      <c r="A10" t="s">
        <v>102</v>
      </c>
    </row>
    <row r="11" spans="1:1" x14ac:dyDescent="0.25">
      <c r="A11" t="s">
        <v>103</v>
      </c>
    </row>
    <row r="12" spans="1:1" x14ac:dyDescent="0.25">
      <c r="A12" t="s">
        <v>104</v>
      </c>
    </row>
    <row r="13" spans="1:1" x14ac:dyDescent="0.25">
      <c r="A13" t="s">
        <v>105</v>
      </c>
    </row>
    <row r="14" spans="1:1" x14ac:dyDescent="0.25">
      <c r="A14" t="s">
        <v>86</v>
      </c>
    </row>
    <row r="15" spans="1:1" x14ac:dyDescent="0.25">
      <c r="A15" t="s">
        <v>86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4AB75-7A41-4413-B44E-132D1721B371}">
  <sheetPr codeName="Sheet6"/>
  <dimension ref="A1:I197"/>
  <sheetViews>
    <sheetView workbookViewId="0">
      <selection activeCell="D207" sqref="D207"/>
    </sheetView>
  </sheetViews>
  <sheetFormatPr defaultRowHeight="15" x14ac:dyDescent="0.25"/>
  <cols>
    <col min="1" max="1" width="17.42578125" bestFit="1" customWidth="1"/>
    <col min="2" max="2" width="11.5703125" bestFit="1" customWidth="1"/>
    <col min="3" max="3" width="9.85546875" bestFit="1" customWidth="1"/>
    <col min="4" max="4" width="11.85546875" bestFit="1" customWidth="1"/>
    <col min="5" max="5" width="12.7109375" bestFit="1" customWidth="1"/>
    <col min="6" max="6" width="17.5703125" bestFit="1" customWidth="1"/>
    <col min="7" max="7" width="19.140625" bestFit="1" customWidth="1"/>
    <col min="8" max="8" width="23" bestFit="1" customWidth="1"/>
    <col min="9" max="9" width="17.85546875" bestFit="1" customWidth="1"/>
  </cols>
  <sheetData>
    <row r="1" spans="1:9" x14ac:dyDescent="0.25">
      <c r="A1" s="28" t="s">
        <v>116</v>
      </c>
      <c r="B1" s="28" t="s">
        <v>117</v>
      </c>
      <c r="C1" t="s">
        <v>6</v>
      </c>
      <c r="D1" t="s">
        <v>163</v>
      </c>
      <c r="E1" s="28" t="s">
        <v>164</v>
      </c>
      <c r="F1" s="28" t="s">
        <v>118</v>
      </c>
      <c r="G1" s="28" t="s">
        <v>119</v>
      </c>
      <c r="H1" s="28" t="s">
        <v>120</v>
      </c>
      <c r="I1" s="28" t="s">
        <v>121</v>
      </c>
    </row>
    <row r="2" spans="1:9" hidden="1" x14ac:dyDescent="0.25">
      <c r="A2" s="28" t="s">
        <v>241</v>
      </c>
      <c r="B2">
        <v>1592.9</v>
      </c>
      <c r="C2">
        <v>-0.25</v>
      </c>
      <c r="D2">
        <v>-0.02</v>
      </c>
      <c r="E2">
        <v>84.57</v>
      </c>
      <c r="F2">
        <v>80.69</v>
      </c>
      <c r="G2">
        <v>115297</v>
      </c>
      <c r="H2">
        <v>127204</v>
      </c>
      <c r="I2">
        <v>136338</v>
      </c>
    </row>
    <row r="3" spans="1:9" hidden="1" x14ac:dyDescent="0.25">
      <c r="A3" s="28" t="s">
        <v>281</v>
      </c>
      <c r="B3">
        <v>822.25</v>
      </c>
      <c r="C3">
        <v>-2.4500000000000002</v>
      </c>
      <c r="D3">
        <v>-0.3</v>
      </c>
      <c r="E3">
        <v>76.88</v>
      </c>
      <c r="F3">
        <v>81.849999999999994</v>
      </c>
      <c r="G3">
        <v>129967</v>
      </c>
      <c r="H3">
        <v>244485</v>
      </c>
      <c r="I3">
        <v>169061</v>
      </c>
    </row>
    <row r="4" spans="1:9" hidden="1" x14ac:dyDescent="0.25">
      <c r="A4" s="28" t="s">
        <v>211</v>
      </c>
      <c r="B4">
        <v>12806.9</v>
      </c>
      <c r="C4">
        <v>-0.1</v>
      </c>
      <c r="D4">
        <v>0</v>
      </c>
      <c r="E4" s="28">
        <v>75.94</v>
      </c>
      <c r="F4" s="28">
        <v>61.81</v>
      </c>
      <c r="G4">
        <v>12602</v>
      </c>
      <c r="H4">
        <v>5872</v>
      </c>
      <c r="I4">
        <v>16595</v>
      </c>
    </row>
    <row r="5" spans="1:9" hidden="1" x14ac:dyDescent="0.25">
      <c r="A5" s="28" t="s">
        <v>175</v>
      </c>
      <c r="B5">
        <v>1001.55</v>
      </c>
      <c r="C5">
        <v>-9.1999999999999993</v>
      </c>
      <c r="D5">
        <v>-0.91</v>
      </c>
      <c r="E5">
        <v>74.56</v>
      </c>
      <c r="F5">
        <v>67.11</v>
      </c>
      <c r="G5">
        <v>1049499</v>
      </c>
      <c r="H5">
        <v>641279</v>
      </c>
      <c r="I5">
        <v>1407510</v>
      </c>
    </row>
    <row r="6" spans="1:9" x14ac:dyDescent="0.25">
      <c r="A6" s="28" t="s">
        <v>174</v>
      </c>
      <c r="B6">
        <v>226.9</v>
      </c>
      <c r="C6">
        <v>3.25</v>
      </c>
      <c r="D6">
        <v>1.45</v>
      </c>
      <c r="E6" s="28">
        <v>72.62</v>
      </c>
      <c r="F6" s="28">
        <v>51.85</v>
      </c>
      <c r="G6">
        <v>11265187</v>
      </c>
      <c r="H6">
        <v>4167226</v>
      </c>
      <c r="I6">
        <v>15512130</v>
      </c>
    </row>
    <row r="7" spans="1:9" hidden="1" x14ac:dyDescent="0.25">
      <c r="A7" s="28" t="s">
        <v>208</v>
      </c>
      <c r="B7">
        <v>4150.1000000000004</v>
      </c>
      <c r="C7">
        <v>-23.65</v>
      </c>
      <c r="D7">
        <v>-0.56999999999999995</v>
      </c>
      <c r="E7">
        <v>69.33</v>
      </c>
      <c r="F7">
        <v>53.94</v>
      </c>
      <c r="G7">
        <v>33484</v>
      </c>
      <c r="H7">
        <v>31961</v>
      </c>
      <c r="I7">
        <v>48299</v>
      </c>
    </row>
    <row r="8" spans="1:9" hidden="1" x14ac:dyDescent="0.25">
      <c r="A8" s="28" t="s">
        <v>202</v>
      </c>
      <c r="B8">
        <v>3959.1</v>
      </c>
      <c r="C8">
        <v>-112.25</v>
      </c>
      <c r="D8">
        <v>-2.76</v>
      </c>
      <c r="E8" s="28">
        <v>66.680000000000007</v>
      </c>
      <c r="F8" s="28">
        <v>56.54</v>
      </c>
      <c r="G8">
        <v>79819</v>
      </c>
      <c r="H8">
        <v>97936</v>
      </c>
      <c r="I8">
        <v>119703</v>
      </c>
    </row>
    <row r="9" spans="1:9" hidden="1" x14ac:dyDescent="0.25">
      <c r="A9" s="28" t="s">
        <v>150</v>
      </c>
      <c r="B9">
        <v>178.6</v>
      </c>
      <c r="C9">
        <v>-2</v>
      </c>
      <c r="D9">
        <v>-1.1100000000000001</v>
      </c>
      <c r="E9">
        <v>65.599999999999994</v>
      </c>
      <c r="F9">
        <v>64.989999999999995</v>
      </c>
      <c r="G9">
        <v>9210142</v>
      </c>
      <c r="H9">
        <v>10528768</v>
      </c>
      <c r="I9">
        <v>14040351</v>
      </c>
    </row>
    <row r="10" spans="1:9" hidden="1" x14ac:dyDescent="0.25">
      <c r="A10" s="28" t="s">
        <v>15</v>
      </c>
      <c r="B10">
        <v>3559.5</v>
      </c>
      <c r="C10">
        <v>-1.05</v>
      </c>
      <c r="D10">
        <v>-0.03</v>
      </c>
      <c r="E10">
        <v>65.17</v>
      </c>
      <c r="F10">
        <v>58.99</v>
      </c>
      <c r="G10">
        <v>1848299</v>
      </c>
      <c r="H10">
        <v>1917390</v>
      </c>
      <c r="I10">
        <v>2836148</v>
      </c>
    </row>
    <row r="11" spans="1:9" hidden="1" x14ac:dyDescent="0.25">
      <c r="A11" s="28" t="s">
        <v>138</v>
      </c>
      <c r="B11">
        <v>667.85</v>
      </c>
      <c r="C11">
        <v>-3.2</v>
      </c>
      <c r="D11">
        <v>-0.48</v>
      </c>
      <c r="E11">
        <v>65</v>
      </c>
      <c r="F11">
        <v>66.44</v>
      </c>
      <c r="G11">
        <v>2623149</v>
      </c>
      <c r="H11">
        <v>1404940</v>
      </c>
      <c r="I11">
        <v>4035337</v>
      </c>
    </row>
    <row r="12" spans="1:9" hidden="1" x14ac:dyDescent="0.25">
      <c r="A12" s="28" t="s">
        <v>146</v>
      </c>
      <c r="B12">
        <v>1703.55</v>
      </c>
      <c r="C12">
        <v>-46.15</v>
      </c>
      <c r="D12">
        <v>-2.64</v>
      </c>
      <c r="E12">
        <v>64.91</v>
      </c>
      <c r="F12">
        <v>60.19</v>
      </c>
      <c r="G12">
        <v>3662767</v>
      </c>
      <c r="H12">
        <v>1591309</v>
      </c>
      <c r="I12">
        <v>5643242</v>
      </c>
    </row>
    <row r="13" spans="1:9" hidden="1" x14ac:dyDescent="0.25">
      <c r="A13" s="28" t="s">
        <v>32</v>
      </c>
      <c r="B13">
        <v>2722.05</v>
      </c>
      <c r="C13">
        <v>11.3</v>
      </c>
      <c r="D13">
        <v>0.42</v>
      </c>
      <c r="E13">
        <v>64.38</v>
      </c>
      <c r="F13">
        <v>63.99</v>
      </c>
      <c r="G13">
        <v>2566500</v>
      </c>
      <c r="H13">
        <v>1919347</v>
      </c>
      <c r="I13">
        <v>3986473</v>
      </c>
    </row>
    <row r="14" spans="1:9" hidden="1" x14ac:dyDescent="0.25">
      <c r="A14" s="28" t="s">
        <v>246</v>
      </c>
      <c r="B14">
        <v>44.65</v>
      </c>
      <c r="C14">
        <v>-0.6</v>
      </c>
      <c r="D14">
        <v>-1.33</v>
      </c>
      <c r="E14">
        <v>63.81</v>
      </c>
      <c r="F14">
        <v>53.97</v>
      </c>
      <c r="G14">
        <v>803715</v>
      </c>
      <c r="H14">
        <v>891983</v>
      </c>
      <c r="I14">
        <v>1259628</v>
      </c>
    </row>
    <row r="15" spans="1:9" hidden="1" x14ac:dyDescent="0.25">
      <c r="A15" s="28" t="s">
        <v>231</v>
      </c>
      <c r="B15">
        <v>130.35</v>
      </c>
      <c r="C15">
        <v>-1.55</v>
      </c>
      <c r="D15">
        <v>-1.18</v>
      </c>
      <c r="E15">
        <v>63.69</v>
      </c>
      <c r="F15">
        <v>51.73</v>
      </c>
      <c r="G15">
        <v>433989</v>
      </c>
      <c r="H15">
        <v>305350</v>
      </c>
      <c r="I15">
        <v>681364</v>
      </c>
    </row>
    <row r="16" spans="1:9" hidden="1" x14ac:dyDescent="0.25">
      <c r="A16" s="28" t="s">
        <v>144</v>
      </c>
      <c r="B16" s="28">
        <v>1732.95</v>
      </c>
      <c r="C16">
        <v>-0.5</v>
      </c>
      <c r="D16">
        <v>-0.03</v>
      </c>
      <c r="E16" s="28">
        <v>62.56</v>
      </c>
      <c r="F16" s="28">
        <v>65.459999999999994</v>
      </c>
      <c r="G16" s="28">
        <v>3883003</v>
      </c>
      <c r="H16" s="28">
        <v>4265145</v>
      </c>
      <c r="I16" s="28">
        <v>6206972</v>
      </c>
    </row>
    <row r="17" spans="1:9" hidden="1" x14ac:dyDescent="0.25">
      <c r="A17" s="28" t="s">
        <v>298</v>
      </c>
      <c r="B17">
        <v>1999.95</v>
      </c>
      <c r="C17">
        <v>-54.45</v>
      </c>
      <c r="D17">
        <v>-2.65</v>
      </c>
      <c r="E17">
        <v>62.06</v>
      </c>
      <c r="F17">
        <v>57.24</v>
      </c>
      <c r="G17">
        <v>90085</v>
      </c>
      <c r="H17">
        <v>76866</v>
      </c>
      <c r="I17">
        <v>145166</v>
      </c>
    </row>
    <row r="18" spans="1:9" hidden="1" x14ac:dyDescent="0.25">
      <c r="A18" s="28" t="s">
        <v>204</v>
      </c>
      <c r="B18">
        <v>1472.25</v>
      </c>
      <c r="C18">
        <v>-12.15</v>
      </c>
      <c r="D18">
        <v>-0.82</v>
      </c>
      <c r="E18">
        <v>60.66</v>
      </c>
      <c r="F18">
        <v>69.47</v>
      </c>
      <c r="G18">
        <v>467803</v>
      </c>
      <c r="H18">
        <v>513688</v>
      </c>
      <c r="I18">
        <v>771225</v>
      </c>
    </row>
    <row r="19" spans="1:9" x14ac:dyDescent="0.25">
      <c r="A19" s="28" t="s">
        <v>284</v>
      </c>
      <c r="B19">
        <v>613.29999999999995</v>
      </c>
      <c r="C19">
        <v>5.95</v>
      </c>
      <c r="D19">
        <v>0.98</v>
      </c>
      <c r="E19" s="28">
        <v>60.59</v>
      </c>
      <c r="F19" s="28">
        <v>44.7</v>
      </c>
      <c r="G19">
        <v>232668</v>
      </c>
      <c r="H19">
        <v>137790</v>
      </c>
      <c r="I19">
        <v>383997</v>
      </c>
    </row>
    <row r="20" spans="1:9" hidden="1" x14ac:dyDescent="0.25">
      <c r="A20" s="28" t="s">
        <v>289</v>
      </c>
      <c r="B20">
        <v>625.54999999999995</v>
      </c>
      <c r="C20">
        <v>-3.95</v>
      </c>
      <c r="D20">
        <v>-0.63</v>
      </c>
      <c r="E20" s="28">
        <v>59.16</v>
      </c>
      <c r="F20" s="28">
        <v>51.8</v>
      </c>
      <c r="G20">
        <v>196644</v>
      </c>
      <c r="H20">
        <v>141478</v>
      </c>
      <c r="I20">
        <v>332369</v>
      </c>
    </row>
    <row r="21" spans="1:9" hidden="1" x14ac:dyDescent="0.25">
      <c r="A21" s="28" t="s">
        <v>136</v>
      </c>
      <c r="B21" s="28">
        <v>1117.3499999999999</v>
      </c>
      <c r="C21">
        <v>-16.899999999999999</v>
      </c>
      <c r="D21">
        <v>-1.49</v>
      </c>
      <c r="E21" s="28">
        <v>58.76</v>
      </c>
      <c r="F21" s="28">
        <v>53.07</v>
      </c>
      <c r="G21" s="28">
        <v>2037229</v>
      </c>
      <c r="H21" s="28">
        <v>2554116</v>
      </c>
      <c r="I21" s="28">
        <v>3467046</v>
      </c>
    </row>
    <row r="22" spans="1:9" hidden="1" x14ac:dyDescent="0.25">
      <c r="A22" s="28" t="s">
        <v>142</v>
      </c>
      <c r="B22">
        <v>680.7</v>
      </c>
      <c r="C22">
        <v>-7.6</v>
      </c>
      <c r="D22">
        <v>-1.1000000000000001</v>
      </c>
      <c r="E22">
        <v>58.05</v>
      </c>
      <c r="F22">
        <v>56.95</v>
      </c>
      <c r="G22">
        <v>7617084</v>
      </c>
      <c r="H22">
        <v>6101603</v>
      </c>
      <c r="I22">
        <v>13121808</v>
      </c>
    </row>
    <row r="23" spans="1:9" x14ac:dyDescent="0.25">
      <c r="A23" s="28" t="s">
        <v>236</v>
      </c>
      <c r="B23">
        <v>1953.45</v>
      </c>
      <c r="C23">
        <v>50.5</v>
      </c>
      <c r="D23">
        <v>2.65</v>
      </c>
      <c r="E23" s="28">
        <v>58.04</v>
      </c>
      <c r="F23" s="28">
        <v>68.48</v>
      </c>
      <c r="G23">
        <v>330674</v>
      </c>
      <c r="H23">
        <v>220089</v>
      </c>
      <c r="I23">
        <v>569703</v>
      </c>
    </row>
    <row r="24" spans="1:9" hidden="1" x14ac:dyDescent="0.25">
      <c r="A24" s="28" t="s">
        <v>147</v>
      </c>
      <c r="B24">
        <v>1593.6</v>
      </c>
      <c r="C24">
        <v>-39.25</v>
      </c>
      <c r="D24">
        <v>-2.4</v>
      </c>
      <c r="E24" s="28">
        <v>57.28</v>
      </c>
      <c r="F24" s="28">
        <v>50.02</v>
      </c>
      <c r="G24">
        <v>1384010</v>
      </c>
      <c r="H24">
        <v>1306310</v>
      </c>
      <c r="I24">
        <v>2416059</v>
      </c>
    </row>
    <row r="25" spans="1:9" hidden="1" x14ac:dyDescent="0.25">
      <c r="A25" s="28" t="s">
        <v>159</v>
      </c>
      <c r="B25">
        <v>1399.2</v>
      </c>
      <c r="C25">
        <v>-13.3</v>
      </c>
      <c r="D25">
        <v>-0.94</v>
      </c>
      <c r="E25" s="28">
        <v>56.86</v>
      </c>
      <c r="F25" s="28">
        <v>46.74</v>
      </c>
      <c r="G25">
        <v>2303827</v>
      </c>
      <c r="H25">
        <v>2122603</v>
      </c>
      <c r="I25">
        <v>4051399</v>
      </c>
    </row>
    <row r="26" spans="1:9" hidden="1" x14ac:dyDescent="0.25">
      <c r="A26" s="28" t="s">
        <v>237</v>
      </c>
      <c r="B26">
        <v>185.6</v>
      </c>
      <c r="C26">
        <v>-10.9</v>
      </c>
      <c r="D26">
        <v>-5.55</v>
      </c>
      <c r="E26">
        <v>56.48</v>
      </c>
      <c r="F26">
        <v>56.35</v>
      </c>
      <c r="G26">
        <v>416131</v>
      </c>
      <c r="H26">
        <v>725118</v>
      </c>
      <c r="I26">
        <v>736804</v>
      </c>
    </row>
    <row r="27" spans="1:9" hidden="1" x14ac:dyDescent="0.25">
      <c r="A27" s="28" t="s">
        <v>195</v>
      </c>
      <c r="B27">
        <v>1457.95</v>
      </c>
      <c r="C27">
        <v>-21.45</v>
      </c>
      <c r="D27">
        <v>-1.45</v>
      </c>
      <c r="E27" s="28">
        <v>56.13</v>
      </c>
      <c r="F27" s="28">
        <v>38.53</v>
      </c>
      <c r="G27">
        <v>440221</v>
      </c>
      <c r="H27">
        <v>319059</v>
      </c>
      <c r="I27">
        <v>784220</v>
      </c>
    </row>
    <row r="28" spans="1:9" hidden="1" x14ac:dyDescent="0.25">
      <c r="A28" s="28" t="s">
        <v>192</v>
      </c>
      <c r="B28">
        <v>2938.2</v>
      </c>
      <c r="C28">
        <v>-57.7</v>
      </c>
      <c r="D28">
        <v>-1.93</v>
      </c>
      <c r="E28">
        <v>55.67</v>
      </c>
      <c r="F28">
        <v>47</v>
      </c>
      <c r="G28">
        <v>137057</v>
      </c>
      <c r="H28">
        <v>99706</v>
      </c>
      <c r="I28">
        <v>246206</v>
      </c>
    </row>
    <row r="29" spans="1:9" hidden="1" x14ac:dyDescent="0.25">
      <c r="A29" s="28" t="s">
        <v>161</v>
      </c>
      <c r="B29">
        <v>7493.35</v>
      </c>
      <c r="C29">
        <v>-108.1</v>
      </c>
      <c r="D29">
        <v>-1.42</v>
      </c>
      <c r="E29">
        <v>55.61</v>
      </c>
      <c r="F29">
        <v>40.590000000000003</v>
      </c>
      <c r="G29">
        <v>199509</v>
      </c>
      <c r="H29">
        <v>136982</v>
      </c>
      <c r="I29">
        <v>358744</v>
      </c>
    </row>
    <row r="30" spans="1:9" hidden="1" x14ac:dyDescent="0.25">
      <c r="A30" s="28" t="s">
        <v>228</v>
      </c>
      <c r="B30">
        <v>446.95</v>
      </c>
      <c r="C30">
        <v>-4.0999999999999996</v>
      </c>
      <c r="D30">
        <v>-0.91</v>
      </c>
      <c r="E30">
        <v>55.57</v>
      </c>
      <c r="F30">
        <v>54.8</v>
      </c>
      <c r="G30">
        <v>281156</v>
      </c>
      <c r="H30">
        <v>545737</v>
      </c>
      <c r="I30">
        <v>505964</v>
      </c>
    </row>
    <row r="31" spans="1:9" hidden="1" x14ac:dyDescent="0.25">
      <c r="A31" s="28" t="s">
        <v>303</v>
      </c>
      <c r="B31">
        <v>308.10000000000002</v>
      </c>
      <c r="C31">
        <v>-13.15</v>
      </c>
      <c r="D31">
        <v>-4.09</v>
      </c>
      <c r="E31">
        <v>53.86</v>
      </c>
      <c r="F31">
        <v>36.869999999999997</v>
      </c>
      <c r="G31">
        <v>585476</v>
      </c>
      <c r="H31">
        <v>628148</v>
      </c>
      <c r="I31">
        <v>1087129</v>
      </c>
    </row>
    <row r="32" spans="1:9" hidden="1" x14ac:dyDescent="0.25">
      <c r="A32" s="28" t="s">
        <v>137</v>
      </c>
      <c r="B32">
        <v>1514.75</v>
      </c>
      <c r="C32">
        <v>1.75</v>
      </c>
      <c r="D32">
        <v>0.12</v>
      </c>
      <c r="E32">
        <v>53.84</v>
      </c>
      <c r="F32">
        <v>52.34</v>
      </c>
      <c r="G32">
        <v>3540286</v>
      </c>
      <c r="H32">
        <v>3524226</v>
      </c>
      <c r="I32">
        <v>6575203</v>
      </c>
    </row>
    <row r="33" spans="1:9" hidden="1" x14ac:dyDescent="0.25">
      <c r="A33" s="28" t="s">
        <v>305</v>
      </c>
      <c r="B33">
        <v>26.25</v>
      </c>
      <c r="C33">
        <v>0.05</v>
      </c>
      <c r="D33">
        <v>0.19</v>
      </c>
      <c r="E33">
        <v>53.81</v>
      </c>
      <c r="F33">
        <v>51.51</v>
      </c>
      <c r="G33">
        <v>1914743</v>
      </c>
      <c r="H33">
        <v>2766668</v>
      </c>
      <c r="I33">
        <v>3558159</v>
      </c>
    </row>
    <row r="34" spans="1:9" hidden="1" x14ac:dyDescent="0.25">
      <c r="A34" s="28" t="s">
        <v>140</v>
      </c>
      <c r="B34">
        <v>2697.5</v>
      </c>
      <c r="C34">
        <v>-66.099999999999994</v>
      </c>
      <c r="D34">
        <v>-2.39</v>
      </c>
      <c r="E34">
        <v>53.74</v>
      </c>
      <c r="F34">
        <v>45.41</v>
      </c>
      <c r="G34">
        <v>435013</v>
      </c>
      <c r="H34">
        <v>343367</v>
      </c>
      <c r="I34">
        <v>809463</v>
      </c>
    </row>
    <row r="35" spans="1:9" hidden="1" x14ac:dyDescent="0.25">
      <c r="A35" s="28" t="s">
        <v>254</v>
      </c>
      <c r="B35" s="28">
        <v>41.25</v>
      </c>
      <c r="C35">
        <v>-0.6</v>
      </c>
      <c r="D35">
        <v>-1.43</v>
      </c>
      <c r="E35" s="28">
        <v>53.65</v>
      </c>
      <c r="F35" s="28">
        <v>52.79</v>
      </c>
      <c r="G35" s="28">
        <v>728839</v>
      </c>
      <c r="H35" s="28">
        <v>667495</v>
      </c>
      <c r="I35" s="28">
        <v>1358621</v>
      </c>
    </row>
    <row r="36" spans="1:9" hidden="1" x14ac:dyDescent="0.25">
      <c r="A36" s="28" t="s">
        <v>148</v>
      </c>
      <c r="B36" s="28">
        <v>6850.9</v>
      </c>
      <c r="C36">
        <v>10.8</v>
      </c>
      <c r="D36">
        <v>0.16</v>
      </c>
      <c r="E36" s="28">
        <v>53.6</v>
      </c>
      <c r="F36" s="28">
        <v>48.54</v>
      </c>
      <c r="G36" s="28">
        <v>352694</v>
      </c>
      <c r="H36" s="28">
        <v>293882</v>
      </c>
      <c r="I36" s="28">
        <v>657982</v>
      </c>
    </row>
    <row r="37" spans="1:9" hidden="1" x14ac:dyDescent="0.25">
      <c r="A37" s="28" t="s">
        <v>239</v>
      </c>
      <c r="B37">
        <v>80.2</v>
      </c>
      <c r="C37">
        <v>-3</v>
      </c>
      <c r="D37">
        <v>-3.61</v>
      </c>
      <c r="E37">
        <v>53.32</v>
      </c>
      <c r="F37">
        <v>49.98</v>
      </c>
      <c r="G37">
        <v>1315751</v>
      </c>
      <c r="H37">
        <v>1241725</v>
      </c>
      <c r="I37">
        <v>2467667</v>
      </c>
    </row>
    <row r="38" spans="1:9" hidden="1" x14ac:dyDescent="0.25">
      <c r="A38" s="28" t="s">
        <v>26</v>
      </c>
      <c r="B38">
        <v>785.65</v>
      </c>
      <c r="C38">
        <v>-5.7</v>
      </c>
      <c r="D38">
        <v>-0.72</v>
      </c>
      <c r="E38">
        <v>53.19</v>
      </c>
      <c r="F38">
        <v>41.38</v>
      </c>
      <c r="G38">
        <v>1622899</v>
      </c>
      <c r="H38">
        <v>1643716</v>
      </c>
      <c r="I38">
        <v>3050982</v>
      </c>
    </row>
    <row r="39" spans="1:9" hidden="1" x14ac:dyDescent="0.25">
      <c r="A39" s="28" t="s">
        <v>207</v>
      </c>
      <c r="B39">
        <v>13676.35</v>
      </c>
      <c r="C39">
        <v>-301.89999999999998</v>
      </c>
      <c r="D39">
        <v>-2.16</v>
      </c>
      <c r="E39">
        <v>52.51</v>
      </c>
      <c r="F39">
        <v>44.37</v>
      </c>
      <c r="G39">
        <v>17443</v>
      </c>
      <c r="H39">
        <v>16320</v>
      </c>
      <c r="I39">
        <v>33217</v>
      </c>
    </row>
    <row r="40" spans="1:9" hidden="1" x14ac:dyDescent="0.25">
      <c r="A40" s="28" t="s">
        <v>227</v>
      </c>
      <c r="B40">
        <v>747.8</v>
      </c>
      <c r="C40">
        <v>-34.25</v>
      </c>
      <c r="D40">
        <v>-4.38</v>
      </c>
      <c r="E40">
        <v>52.08</v>
      </c>
      <c r="F40">
        <v>48.58</v>
      </c>
      <c r="G40">
        <v>213608</v>
      </c>
      <c r="H40">
        <v>201250</v>
      </c>
      <c r="I40">
        <v>410182</v>
      </c>
    </row>
    <row r="41" spans="1:9" hidden="1" x14ac:dyDescent="0.25">
      <c r="A41" s="28" t="s">
        <v>261</v>
      </c>
      <c r="B41">
        <v>608.70000000000005</v>
      </c>
      <c r="C41">
        <v>-14.4</v>
      </c>
      <c r="D41">
        <v>-2.31</v>
      </c>
      <c r="E41">
        <v>51.58</v>
      </c>
      <c r="F41">
        <v>50.05</v>
      </c>
      <c r="G41">
        <v>100335</v>
      </c>
      <c r="H41">
        <v>96014</v>
      </c>
      <c r="I41">
        <v>194505</v>
      </c>
    </row>
    <row r="42" spans="1:9" hidden="1" x14ac:dyDescent="0.25">
      <c r="A42" s="28" t="s">
        <v>288</v>
      </c>
      <c r="B42">
        <v>482.9</v>
      </c>
      <c r="C42">
        <v>-20.95</v>
      </c>
      <c r="D42">
        <v>-4.16</v>
      </c>
      <c r="E42">
        <v>51.57</v>
      </c>
      <c r="F42">
        <v>40.44</v>
      </c>
      <c r="G42">
        <v>685879</v>
      </c>
      <c r="H42">
        <v>511547</v>
      </c>
      <c r="I42">
        <v>1330054</v>
      </c>
    </row>
    <row r="43" spans="1:9" hidden="1" x14ac:dyDescent="0.25">
      <c r="A43" s="28" t="s">
        <v>124</v>
      </c>
      <c r="B43">
        <v>740.25</v>
      </c>
      <c r="C43">
        <v>-14.15</v>
      </c>
      <c r="D43">
        <v>-1.88</v>
      </c>
      <c r="E43">
        <v>51.51</v>
      </c>
      <c r="F43">
        <v>50.25</v>
      </c>
      <c r="G43">
        <v>3137826</v>
      </c>
      <c r="H43">
        <v>2537059</v>
      </c>
      <c r="I43">
        <v>6092036</v>
      </c>
    </row>
    <row r="44" spans="1:9" hidden="1" x14ac:dyDescent="0.25">
      <c r="A44" s="28" t="s">
        <v>301</v>
      </c>
      <c r="B44">
        <v>649.9</v>
      </c>
      <c r="C44">
        <v>-23.55</v>
      </c>
      <c r="D44">
        <v>-3.5</v>
      </c>
      <c r="E44" s="28">
        <v>51.43</v>
      </c>
      <c r="F44" s="28">
        <v>36.01</v>
      </c>
      <c r="G44">
        <v>712179</v>
      </c>
      <c r="H44">
        <v>483519</v>
      </c>
      <c r="I44">
        <v>1384705</v>
      </c>
    </row>
    <row r="45" spans="1:9" hidden="1" x14ac:dyDescent="0.25">
      <c r="A45" s="28" t="s">
        <v>30</v>
      </c>
      <c r="B45">
        <v>114.15</v>
      </c>
      <c r="C45">
        <v>-2.4</v>
      </c>
      <c r="D45">
        <v>-2.06</v>
      </c>
      <c r="E45">
        <v>51.38</v>
      </c>
      <c r="F45">
        <v>53.1</v>
      </c>
      <c r="G45">
        <v>6003690</v>
      </c>
      <c r="H45">
        <v>5130666</v>
      </c>
      <c r="I45">
        <v>11684504</v>
      </c>
    </row>
    <row r="46" spans="1:9" x14ac:dyDescent="0.25">
      <c r="A46" s="28" t="s">
        <v>296</v>
      </c>
      <c r="B46">
        <v>806.65</v>
      </c>
      <c r="C46">
        <v>15.65</v>
      </c>
      <c r="D46">
        <v>1.98</v>
      </c>
      <c r="E46">
        <v>50.92</v>
      </c>
      <c r="F46">
        <v>46.45</v>
      </c>
      <c r="G46">
        <v>623779</v>
      </c>
      <c r="H46">
        <v>305003</v>
      </c>
      <c r="I46">
        <v>1225083</v>
      </c>
    </row>
    <row r="47" spans="1:9" hidden="1" x14ac:dyDescent="0.25">
      <c r="A47" s="28" t="s">
        <v>31</v>
      </c>
      <c r="B47">
        <v>455.2</v>
      </c>
      <c r="C47">
        <v>-8.3000000000000007</v>
      </c>
      <c r="D47">
        <v>-1.79</v>
      </c>
      <c r="E47">
        <v>50.65</v>
      </c>
      <c r="F47">
        <v>40.4</v>
      </c>
      <c r="G47">
        <v>3068226</v>
      </c>
      <c r="H47">
        <v>2691642</v>
      </c>
      <c r="I47">
        <v>6057409</v>
      </c>
    </row>
    <row r="48" spans="1:9" x14ac:dyDescent="0.25">
      <c r="A48" s="28" t="s">
        <v>153</v>
      </c>
      <c r="B48">
        <v>1125.3</v>
      </c>
      <c r="C48">
        <v>11.25</v>
      </c>
      <c r="D48">
        <v>1.01</v>
      </c>
      <c r="E48">
        <v>50.05</v>
      </c>
      <c r="F48">
        <v>53.4</v>
      </c>
      <c r="G48">
        <v>1064883</v>
      </c>
      <c r="H48">
        <v>933404</v>
      </c>
      <c r="I48">
        <v>2127671</v>
      </c>
    </row>
    <row r="49" spans="1:9" hidden="1" x14ac:dyDescent="0.25">
      <c r="A49" s="28" t="s">
        <v>212</v>
      </c>
      <c r="B49">
        <v>108.75</v>
      </c>
      <c r="C49">
        <v>-4.45</v>
      </c>
      <c r="D49">
        <v>-3.93</v>
      </c>
      <c r="E49">
        <v>49.81</v>
      </c>
      <c r="F49">
        <v>40.07</v>
      </c>
      <c r="G49">
        <v>1021236</v>
      </c>
      <c r="H49">
        <v>753216</v>
      </c>
      <c r="I49">
        <v>2050100</v>
      </c>
    </row>
    <row r="50" spans="1:9" hidden="1" x14ac:dyDescent="0.25">
      <c r="A50" s="28" t="s">
        <v>276</v>
      </c>
      <c r="B50">
        <v>166.35</v>
      </c>
      <c r="C50">
        <v>2.8</v>
      </c>
      <c r="D50">
        <v>1.71</v>
      </c>
      <c r="E50">
        <v>49.39</v>
      </c>
      <c r="F50">
        <v>46.92</v>
      </c>
      <c r="G50">
        <v>302312</v>
      </c>
      <c r="H50">
        <v>339847</v>
      </c>
      <c r="I50">
        <v>612149</v>
      </c>
    </row>
    <row r="51" spans="1:9" hidden="1" x14ac:dyDescent="0.25">
      <c r="A51" s="28" t="s">
        <v>132</v>
      </c>
      <c r="B51">
        <v>4818.7</v>
      </c>
      <c r="C51">
        <v>-91.75</v>
      </c>
      <c r="D51">
        <v>-1.87</v>
      </c>
      <c r="E51">
        <v>49.1</v>
      </c>
      <c r="F51">
        <v>43.55</v>
      </c>
      <c r="G51">
        <v>270010</v>
      </c>
      <c r="H51">
        <v>169997</v>
      </c>
      <c r="I51">
        <v>549942</v>
      </c>
    </row>
    <row r="52" spans="1:9" hidden="1" x14ac:dyDescent="0.25">
      <c r="A52" s="28" t="s">
        <v>294</v>
      </c>
      <c r="B52">
        <v>33.5</v>
      </c>
      <c r="C52">
        <v>-1.2</v>
      </c>
      <c r="D52">
        <v>-3.46</v>
      </c>
      <c r="E52" s="28">
        <v>49.03</v>
      </c>
      <c r="F52" s="28">
        <v>42.89</v>
      </c>
      <c r="G52">
        <v>2923962</v>
      </c>
      <c r="H52">
        <v>2205672</v>
      </c>
      <c r="I52">
        <v>5963476</v>
      </c>
    </row>
    <row r="53" spans="1:9" hidden="1" x14ac:dyDescent="0.25">
      <c r="A53" s="28" t="s">
        <v>250</v>
      </c>
      <c r="B53">
        <v>554.35</v>
      </c>
      <c r="C53">
        <v>-12.75</v>
      </c>
      <c r="D53">
        <v>-2.25</v>
      </c>
      <c r="E53">
        <v>48.68</v>
      </c>
      <c r="F53">
        <v>41.58</v>
      </c>
      <c r="G53">
        <v>94529</v>
      </c>
      <c r="H53">
        <v>187134</v>
      </c>
      <c r="I53">
        <v>194171</v>
      </c>
    </row>
    <row r="54" spans="1:9" hidden="1" x14ac:dyDescent="0.25">
      <c r="A54" s="28" t="s">
        <v>160</v>
      </c>
      <c r="B54">
        <v>1876.8</v>
      </c>
      <c r="C54">
        <v>-3.5</v>
      </c>
      <c r="D54">
        <v>-0.19</v>
      </c>
      <c r="E54">
        <v>48.46</v>
      </c>
      <c r="F54">
        <v>45.01</v>
      </c>
      <c r="G54">
        <v>518629</v>
      </c>
      <c r="H54">
        <v>510599</v>
      </c>
      <c r="I54">
        <v>1070166</v>
      </c>
    </row>
    <row r="55" spans="1:9" hidden="1" x14ac:dyDescent="0.25">
      <c r="A55" s="28" t="s">
        <v>310</v>
      </c>
      <c r="B55" s="28">
        <v>170.45</v>
      </c>
      <c r="C55">
        <v>-6.25</v>
      </c>
      <c r="D55">
        <v>-3.54</v>
      </c>
      <c r="E55" s="28">
        <v>48.14</v>
      </c>
      <c r="F55" s="28">
        <v>38.6</v>
      </c>
      <c r="G55" s="28">
        <v>4852641</v>
      </c>
      <c r="H55" s="28">
        <v>2744674</v>
      </c>
      <c r="I55" s="28">
        <v>10080518</v>
      </c>
    </row>
    <row r="56" spans="1:9" hidden="1" x14ac:dyDescent="0.25">
      <c r="A56" s="28" t="s">
        <v>258</v>
      </c>
      <c r="B56">
        <v>138.55000000000001</v>
      </c>
      <c r="C56">
        <v>-2</v>
      </c>
      <c r="D56">
        <v>-1.42</v>
      </c>
      <c r="E56">
        <v>48.01</v>
      </c>
      <c r="F56">
        <v>38.549999999999997</v>
      </c>
      <c r="G56">
        <v>495708</v>
      </c>
      <c r="H56">
        <v>350777</v>
      </c>
      <c r="I56">
        <v>1032422</v>
      </c>
    </row>
    <row r="57" spans="1:9" hidden="1" x14ac:dyDescent="0.25">
      <c r="A57" s="28" t="s">
        <v>155</v>
      </c>
      <c r="B57">
        <v>761.15</v>
      </c>
      <c r="C57">
        <v>-21.75</v>
      </c>
      <c r="D57">
        <v>-2.78</v>
      </c>
      <c r="E57">
        <v>47.47</v>
      </c>
      <c r="F57">
        <v>42.27</v>
      </c>
      <c r="G57">
        <v>2961199</v>
      </c>
      <c r="H57">
        <v>1910003</v>
      </c>
      <c r="I57">
        <v>6238261</v>
      </c>
    </row>
    <row r="58" spans="1:9" hidden="1" x14ac:dyDescent="0.25">
      <c r="A58" s="28" t="s">
        <v>243</v>
      </c>
      <c r="B58">
        <v>160.25</v>
      </c>
      <c r="C58">
        <v>-2.7</v>
      </c>
      <c r="D58">
        <v>-1.66</v>
      </c>
      <c r="E58">
        <v>47.41</v>
      </c>
      <c r="F58">
        <v>42.65</v>
      </c>
      <c r="G58">
        <v>1136789</v>
      </c>
      <c r="H58">
        <v>1163493</v>
      </c>
      <c r="I58">
        <v>2397546</v>
      </c>
    </row>
    <row r="59" spans="1:9" hidden="1" x14ac:dyDescent="0.25">
      <c r="A59" s="28" t="s">
        <v>134</v>
      </c>
      <c r="B59">
        <v>2601.65</v>
      </c>
      <c r="C59">
        <v>12</v>
      </c>
      <c r="D59">
        <v>0.46</v>
      </c>
      <c r="E59" s="28">
        <v>46.58</v>
      </c>
      <c r="F59" s="28">
        <v>41.97</v>
      </c>
      <c r="G59">
        <v>1019014</v>
      </c>
      <c r="H59">
        <v>885120</v>
      </c>
      <c r="I59">
        <v>2187864</v>
      </c>
    </row>
    <row r="60" spans="1:9" hidden="1" x14ac:dyDescent="0.25">
      <c r="A60" s="28" t="s">
        <v>259</v>
      </c>
      <c r="B60">
        <v>2524.3000000000002</v>
      </c>
      <c r="C60">
        <v>79.95</v>
      </c>
      <c r="D60">
        <v>3.27</v>
      </c>
      <c r="E60">
        <v>46.54</v>
      </c>
      <c r="F60">
        <v>51.55</v>
      </c>
      <c r="G60">
        <v>195814</v>
      </c>
      <c r="H60">
        <v>157342</v>
      </c>
      <c r="I60">
        <v>420765</v>
      </c>
    </row>
    <row r="61" spans="1:9" hidden="1" x14ac:dyDescent="0.25">
      <c r="A61" s="28" t="s">
        <v>230</v>
      </c>
      <c r="B61" s="28">
        <v>152.80000000000001</v>
      </c>
      <c r="C61">
        <v>-4.3499999999999996</v>
      </c>
      <c r="D61">
        <v>-2.77</v>
      </c>
      <c r="E61" s="28">
        <v>46.51</v>
      </c>
      <c r="F61" s="28">
        <v>45.74</v>
      </c>
      <c r="G61" s="28">
        <v>5381115</v>
      </c>
      <c r="H61" s="28">
        <v>9387123</v>
      </c>
      <c r="I61" s="28">
        <v>11571042</v>
      </c>
    </row>
    <row r="62" spans="1:9" hidden="1" x14ac:dyDescent="0.25">
      <c r="A62" s="28" t="s">
        <v>143</v>
      </c>
      <c r="B62">
        <v>979.45</v>
      </c>
      <c r="C62">
        <v>-10.199999999999999</v>
      </c>
      <c r="D62">
        <v>-1.03</v>
      </c>
      <c r="E62" s="28">
        <v>46.49</v>
      </c>
      <c r="F62" s="28">
        <v>42.17</v>
      </c>
      <c r="G62">
        <v>1610822</v>
      </c>
      <c r="H62">
        <v>1043519</v>
      </c>
      <c r="I62">
        <v>3465186</v>
      </c>
    </row>
    <row r="63" spans="1:9" hidden="1" x14ac:dyDescent="0.25">
      <c r="A63" s="28" t="s">
        <v>297</v>
      </c>
      <c r="B63">
        <v>977.7</v>
      </c>
      <c r="C63">
        <v>-10.9</v>
      </c>
      <c r="D63">
        <v>-1.1000000000000001</v>
      </c>
      <c r="E63">
        <v>46.21</v>
      </c>
      <c r="F63">
        <v>38.840000000000003</v>
      </c>
      <c r="G63">
        <v>347625</v>
      </c>
      <c r="H63">
        <v>303428</v>
      </c>
      <c r="I63">
        <v>752256</v>
      </c>
    </row>
    <row r="64" spans="1:9" hidden="1" x14ac:dyDescent="0.25">
      <c r="A64" s="28" t="s">
        <v>215</v>
      </c>
      <c r="B64">
        <v>200.05</v>
      </c>
      <c r="C64">
        <v>-5.85</v>
      </c>
      <c r="D64">
        <v>-2.84</v>
      </c>
      <c r="E64">
        <v>46.01</v>
      </c>
      <c r="F64">
        <v>37.020000000000003</v>
      </c>
      <c r="G64">
        <v>1219614</v>
      </c>
      <c r="H64">
        <v>635829</v>
      </c>
      <c r="I64">
        <v>2650899</v>
      </c>
    </row>
    <row r="65" spans="1:9" hidden="1" x14ac:dyDescent="0.25">
      <c r="A65" s="28" t="s">
        <v>133</v>
      </c>
      <c r="B65">
        <v>4556</v>
      </c>
      <c r="C65">
        <v>-131.05000000000001</v>
      </c>
      <c r="D65">
        <v>-2.8</v>
      </c>
      <c r="E65">
        <v>45.81</v>
      </c>
      <c r="F65">
        <v>44.04</v>
      </c>
      <c r="G65">
        <v>378774</v>
      </c>
      <c r="H65">
        <v>266014</v>
      </c>
      <c r="I65">
        <v>826908</v>
      </c>
    </row>
    <row r="66" spans="1:9" hidden="1" x14ac:dyDescent="0.25">
      <c r="A66" s="28" t="s">
        <v>172</v>
      </c>
      <c r="B66">
        <v>247.2</v>
      </c>
      <c r="C66">
        <v>-6.6</v>
      </c>
      <c r="D66">
        <v>-2.6</v>
      </c>
      <c r="E66">
        <v>45.78</v>
      </c>
      <c r="F66">
        <v>44.2</v>
      </c>
      <c r="G66">
        <v>1347848</v>
      </c>
      <c r="H66">
        <v>1089771</v>
      </c>
      <c r="I66">
        <v>2944433</v>
      </c>
    </row>
    <row r="67" spans="1:9" hidden="1" x14ac:dyDescent="0.25">
      <c r="A67" s="28" t="s">
        <v>184</v>
      </c>
      <c r="B67">
        <v>926.6</v>
      </c>
      <c r="C67">
        <v>-46.2</v>
      </c>
      <c r="D67">
        <v>-4.75</v>
      </c>
      <c r="E67" s="28">
        <v>45.59</v>
      </c>
      <c r="F67" s="28">
        <v>31</v>
      </c>
      <c r="G67">
        <v>1524631</v>
      </c>
      <c r="H67">
        <v>990694</v>
      </c>
      <c r="I67">
        <v>3344255</v>
      </c>
    </row>
    <row r="68" spans="1:9" hidden="1" x14ac:dyDescent="0.25">
      <c r="A68" s="28" t="s">
        <v>130</v>
      </c>
      <c r="B68">
        <v>890.85</v>
      </c>
      <c r="C68">
        <v>-18</v>
      </c>
      <c r="D68">
        <v>-1.98</v>
      </c>
      <c r="E68">
        <v>45.23</v>
      </c>
      <c r="F68">
        <v>46.02</v>
      </c>
      <c r="G68">
        <v>1065090</v>
      </c>
      <c r="H68">
        <v>1225844</v>
      </c>
      <c r="I68">
        <v>2354874</v>
      </c>
    </row>
    <row r="69" spans="1:9" hidden="1" x14ac:dyDescent="0.25">
      <c r="A69" s="28" t="s">
        <v>307</v>
      </c>
      <c r="B69">
        <v>31116.55</v>
      </c>
      <c r="C69">
        <v>292.64999999999998</v>
      </c>
      <c r="D69">
        <v>0.95</v>
      </c>
      <c r="E69">
        <v>44.95</v>
      </c>
      <c r="F69">
        <v>44.6</v>
      </c>
      <c r="G69">
        <v>9947</v>
      </c>
      <c r="H69">
        <v>15042</v>
      </c>
      <c r="I69">
        <v>22129</v>
      </c>
    </row>
    <row r="70" spans="1:9" hidden="1" x14ac:dyDescent="0.25">
      <c r="A70" s="28" t="s">
        <v>279</v>
      </c>
      <c r="B70">
        <v>1882.95</v>
      </c>
      <c r="C70">
        <v>-21.9</v>
      </c>
      <c r="D70">
        <v>-1.1499999999999999</v>
      </c>
      <c r="E70">
        <v>44.47</v>
      </c>
      <c r="F70">
        <v>37.33</v>
      </c>
      <c r="G70">
        <v>87551</v>
      </c>
      <c r="H70">
        <v>123746</v>
      </c>
      <c r="I70">
        <v>196888</v>
      </c>
    </row>
    <row r="71" spans="1:9" hidden="1" x14ac:dyDescent="0.25">
      <c r="A71" s="28" t="s">
        <v>234</v>
      </c>
      <c r="B71">
        <v>821.1</v>
      </c>
      <c r="C71">
        <v>-27.6</v>
      </c>
      <c r="D71">
        <v>-3.25</v>
      </c>
      <c r="E71">
        <v>44.2</v>
      </c>
      <c r="F71">
        <v>48.48</v>
      </c>
      <c r="G71">
        <v>254543</v>
      </c>
      <c r="H71">
        <v>219985</v>
      </c>
      <c r="I71">
        <v>575895</v>
      </c>
    </row>
    <row r="72" spans="1:9" hidden="1" x14ac:dyDescent="0.25">
      <c r="A72" s="28" t="s">
        <v>141</v>
      </c>
      <c r="B72">
        <v>403.65</v>
      </c>
      <c r="C72">
        <v>-23.3</v>
      </c>
      <c r="D72">
        <v>-5.46</v>
      </c>
      <c r="E72">
        <v>44.15</v>
      </c>
      <c r="F72">
        <v>31.32</v>
      </c>
      <c r="G72">
        <v>10290534</v>
      </c>
      <c r="H72">
        <v>4103958</v>
      </c>
      <c r="I72">
        <v>23309477</v>
      </c>
    </row>
    <row r="73" spans="1:9" hidden="1" x14ac:dyDescent="0.25">
      <c r="A73" s="28" t="s">
        <v>286</v>
      </c>
      <c r="B73">
        <v>119</v>
      </c>
      <c r="C73">
        <v>-9.4</v>
      </c>
      <c r="D73">
        <v>-7.32</v>
      </c>
      <c r="E73">
        <v>44.15</v>
      </c>
      <c r="F73">
        <v>31.45</v>
      </c>
      <c r="G73">
        <v>29390837</v>
      </c>
      <c r="H73">
        <v>15296364</v>
      </c>
      <c r="I73">
        <v>66573892</v>
      </c>
    </row>
    <row r="74" spans="1:9" hidden="1" x14ac:dyDescent="0.25">
      <c r="A74" s="28" t="s">
        <v>290</v>
      </c>
      <c r="B74">
        <v>510.5</v>
      </c>
      <c r="C74">
        <v>-14.5</v>
      </c>
      <c r="D74">
        <v>-2.76</v>
      </c>
      <c r="E74">
        <v>43.92</v>
      </c>
      <c r="F74">
        <v>39.9</v>
      </c>
      <c r="G74">
        <v>698846</v>
      </c>
      <c r="H74">
        <v>848856</v>
      </c>
      <c r="I74">
        <v>1591038</v>
      </c>
    </row>
    <row r="75" spans="1:9" hidden="1" x14ac:dyDescent="0.25">
      <c r="A75" s="28" t="s">
        <v>221</v>
      </c>
      <c r="B75">
        <v>2236.1999999999998</v>
      </c>
      <c r="C75">
        <v>-40.5</v>
      </c>
      <c r="D75">
        <v>-1.78</v>
      </c>
      <c r="E75">
        <v>43.89</v>
      </c>
      <c r="F75">
        <v>53.51</v>
      </c>
      <c r="G75">
        <v>161787</v>
      </c>
      <c r="H75">
        <v>202469</v>
      </c>
      <c r="I75">
        <v>368653</v>
      </c>
    </row>
    <row r="76" spans="1:9" hidden="1" x14ac:dyDescent="0.25">
      <c r="A76" s="28" t="s">
        <v>166</v>
      </c>
      <c r="B76">
        <v>140.35</v>
      </c>
      <c r="C76">
        <v>-5.25</v>
      </c>
      <c r="D76">
        <v>-3.61</v>
      </c>
      <c r="E76">
        <v>43.84</v>
      </c>
      <c r="F76">
        <v>44.09</v>
      </c>
      <c r="G76">
        <v>6293146</v>
      </c>
      <c r="H76">
        <v>3490299</v>
      </c>
      <c r="I76">
        <v>14354380</v>
      </c>
    </row>
    <row r="77" spans="1:9" hidden="1" x14ac:dyDescent="0.25">
      <c r="A77" s="28" t="s">
        <v>216</v>
      </c>
      <c r="B77" s="28">
        <v>2240.4</v>
      </c>
      <c r="C77">
        <v>-57.35</v>
      </c>
      <c r="D77">
        <v>-2.5</v>
      </c>
      <c r="E77" s="28">
        <v>43.75</v>
      </c>
      <c r="F77" s="28">
        <v>40.090000000000003</v>
      </c>
      <c r="G77" s="28">
        <v>17733</v>
      </c>
      <c r="H77" s="28">
        <v>21247</v>
      </c>
      <c r="I77" s="28">
        <v>40537</v>
      </c>
    </row>
    <row r="78" spans="1:9" hidden="1" x14ac:dyDescent="0.25">
      <c r="A78" s="28" t="s">
        <v>306</v>
      </c>
      <c r="B78">
        <v>4438.95</v>
      </c>
      <c r="C78">
        <v>-85.7</v>
      </c>
      <c r="D78">
        <v>-1.89</v>
      </c>
      <c r="E78" s="28">
        <v>43.72</v>
      </c>
      <c r="F78" s="28">
        <v>42.27</v>
      </c>
      <c r="G78">
        <v>68651</v>
      </c>
      <c r="H78">
        <v>69030</v>
      </c>
      <c r="I78">
        <v>157011</v>
      </c>
    </row>
    <row r="79" spans="1:9" hidden="1" x14ac:dyDescent="0.25">
      <c r="A79" s="28" t="s">
        <v>37</v>
      </c>
      <c r="B79">
        <v>110.2</v>
      </c>
      <c r="C79">
        <v>-3</v>
      </c>
      <c r="D79">
        <v>-2.65</v>
      </c>
      <c r="E79">
        <v>43.56</v>
      </c>
      <c r="F79">
        <v>39.119999999999997</v>
      </c>
      <c r="G79">
        <v>10400963</v>
      </c>
      <c r="H79">
        <v>5875276</v>
      </c>
      <c r="I79">
        <v>23878081</v>
      </c>
    </row>
    <row r="80" spans="1:9" hidden="1" x14ac:dyDescent="0.25">
      <c r="A80" s="28" t="s">
        <v>41</v>
      </c>
      <c r="B80">
        <v>728.25</v>
      </c>
      <c r="C80">
        <v>-33.950000000000003</v>
      </c>
      <c r="D80">
        <v>-4.45</v>
      </c>
      <c r="E80">
        <v>43.5</v>
      </c>
      <c r="F80">
        <v>37.79</v>
      </c>
      <c r="G80">
        <v>1852344</v>
      </c>
      <c r="H80">
        <v>1002256</v>
      </c>
      <c r="I80">
        <v>4257864</v>
      </c>
    </row>
    <row r="81" spans="1:9" hidden="1" x14ac:dyDescent="0.25">
      <c r="A81" s="28" t="s">
        <v>252</v>
      </c>
      <c r="B81">
        <v>374.25</v>
      </c>
      <c r="C81">
        <v>1.45</v>
      </c>
      <c r="D81">
        <v>0.39</v>
      </c>
      <c r="E81">
        <v>43.5</v>
      </c>
      <c r="F81">
        <v>44.08</v>
      </c>
      <c r="G81">
        <v>637063</v>
      </c>
      <c r="H81">
        <v>775170</v>
      </c>
      <c r="I81">
        <v>1464399</v>
      </c>
    </row>
    <row r="82" spans="1:9" hidden="1" x14ac:dyDescent="0.25">
      <c r="A82" s="28" t="s">
        <v>251</v>
      </c>
      <c r="B82">
        <v>1484.95</v>
      </c>
      <c r="C82">
        <v>-22.15</v>
      </c>
      <c r="D82">
        <v>-1.47</v>
      </c>
      <c r="E82">
        <v>43.48</v>
      </c>
      <c r="F82">
        <v>34.049999999999997</v>
      </c>
      <c r="G82">
        <v>342557</v>
      </c>
      <c r="H82">
        <v>161340</v>
      </c>
      <c r="I82">
        <v>787847</v>
      </c>
    </row>
    <row r="83" spans="1:9" hidden="1" x14ac:dyDescent="0.25">
      <c r="A83" s="28" t="s">
        <v>232</v>
      </c>
      <c r="B83">
        <v>485.1</v>
      </c>
      <c r="C83">
        <v>-21.65</v>
      </c>
      <c r="D83">
        <v>-4.2699999999999996</v>
      </c>
      <c r="E83">
        <v>43.22</v>
      </c>
      <c r="F83">
        <v>42.31</v>
      </c>
      <c r="G83">
        <v>1202731</v>
      </c>
      <c r="H83">
        <v>816340</v>
      </c>
      <c r="I83">
        <v>2782529</v>
      </c>
    </row>
    <row r="84" spans="1:9" hidden="1" x14ac:dyDescent="0.25">
      <c r="A84" s="28" t="s">
        <v>139</v>
      </c>
      <c r="B84" s="28">
        <v>2619.4</v>
      </c>
      <c r="C84">
        <v>133.35</v>
      </c>
      <c r="D84">
        <v>5.36</v>
      </c>
      <c r="E84" s="28">
        <v>43.2</v>
      </c>
      <c r="F84" s="28">
        <v>54.07</v>
      </c>
      <c r="G84" s="28">
        <v>2496893</v>
      </c>
      <c r="H84" s="28">
        <v>1235610</v>
      </c>
      <c r="I84" s="28">
        <v>5779927</v>
      </c>
    </row>
    <row r="85" spans="1:9" hidden="1" x14ac:dyDescent="0.25">
      <c r="A85" s="28" t="s">
        <v>151</v>
      </c>
      <c r="B85">
        <v>2148.25</v>
      </c>
      <c r="C85">
        <v>-24.4</v>
      </c>
      <c r="D85">
        <v>-1.1200000000000001</v>
      </c>
      <c r="E85">
        <v>43.15</v>
      </c>
      <c r="F85">
        <v>47.55</v>
      </c>
      <c r="G85">
        <v>1877339</v>
      </c>
      <c r="H85">
        <v>2935399</v>
      </c>
      <c r="I85">
        <v>4350228</v>
      </c>
    </row>
    <row r="86" spans="1:9" hidden="1" x14ac:dyDescent="0.25">
      <c r="A86" s="28" t="s">
        <v>255</v>
      </c>
      <c r="B86">
        <v>41.8</v>
      </c>
      <c r="C86">
        <v>-2.85</v>
      </c>
      <c r="D86">
        <v>-6.38</v>
      </c>
      <c r="E86" s="28">
        <v>43.05</v>
      </c>
      <c r="F86" s="28">
        <v>33.51</v>
      </c>
      <c r="G86">
        <v>20944643</v>
      </c>
      <c r="H86">
        <v>9894160</v>
      </c>
      <c r="I86">
        <v>48646738</v>
      </c>
    </row>
    <row r="87" spans="1:9" hidden="1" x14ac:dyDescent="0.25">
      <c r="A87" s="28" t="s">
        <v>203</v>
      </c>
      <c r="B87">
        <v>3643.1</v>
      </c>
      <c r="C87">
        <v>-7.5</v>
      </c>
      <c r="D87">
        <v>-0.21</v>
      </c>
      <c r="E87">
        <v>42.93</v>
      </c>
      <c r="F87">
        <v>40.659999999999997</v>
      </c>
      <c r="G87">
        <v>99932</v>
      </c>
      <c r="H87">
        <v>85805</v>
      </c>
      <c r="I87">
        <v>232756</v>
      </c>
    </row>
    <row r="88" spans="1:9" hidden="1" x14ac:dyDescent="0.25">
      <c r="A88" s="28" t="s">
        <v>169</v>
      </c>
      <c r="B88">
        <v>278.14999999999998</v>
      </c>
      <c r="C88">
        <v>-12.2</v>
      </c>
      <c r="D88">
        <v>-4.2</v>
      </c>
      <c r="E88">
        <v>42.86</v>
      </c>
      <c r="F88">
        <v>37.130000000000003</v>
      </c>
      <c r="G88">
        <v>2737212</v>
      </c>
      <c r="H88">
        <v>1874071</v>
      </c>
      <c r="I88">
        <v>6386231</v>
      </c>
    </row>
    <row r="89" spans="1:9" hidden="1" x14ac:dyDescent="0.25">
      <c r="A89" s="28" t="s">
        <v>222</v>
      </c>
      <c r="B89">
        <v>64.150000000000006</v>
      </c>
      <c r="C89">
        <v>-2.5499999999999998</v>
      </c>
      <c r="D89">
        <v>-3.82</v>
      </c>
      <c r="E89">
        <v>42.85</v>
      </c>
      <c r="F89">
        <v>36.619999999999997</v>
      </c>
      <c r="G89">
        <v>885841</v>
      </c>
      <c r="H89">
        <v>484774</v>
      </c>
      <c r="I89">
        <v>2067455</v>
      </c>
    </row>
    <row r="90" spans="1:9" hidden="1" x14ac:dyDescent="0.25">
      <c r="A90" s="28" t="s">
        <v>295</v>
      </c>
      <c r="B90">
        <v>240.35</v>
      </c>
      <c r="C90">
        <v>-7.75</v>
      </c>
      <c r="D90">
        <v>-3.12</v>
      </c>
      <c r="E90">
        <v>42.7</v>
      </c>
      <c r="F90">
        <v>57.03</v>
      </c>
      <c r="G90">
        <v>272026</v>
      </c>
      <c r="H90">
        <v>408778</v>
      </c>
      <c r="I90">
        <v>637097</v>
      </c>
    </row>
    <row r="91" spans="1:9" hidden="1" x14ac:dyDescent="0.25">
      <c r="A91" s="28" t="s">
        <v>131</v>
      </c>
      <c r="B91">
        <v>135.6</v>
      </c>
      <c r="C91">
        <v>-2.75</v>
      </c>
      <c r="D91">
        <v>-1.99</v>
      </c>
      <c r="E91">
        <v>42.68</v>
      </c>
      <c r="F91">
        <v>41.16</v>
      </c>
      <c r="G91">
        <v>3788533</v>
      </c>
      <c r="H91">
        <v>3701328</v>
      </c>
      <c r="I91">
        <v>8877297</v>
      </c>
    </row>
    <row r="92" spans="1:9" hidden="1" x14ac:dyDescent="0.25">
      <c r="A92" s="28" t="s">
        <v>149</v>
      </c>
      <c r="B92">
        <v>19571.25</v>
      </c>
      <c r="C92">
        <v>660.25</v>
      </c>
      <c r="D92">
        <v>3.49</v>
      </c>
      <c r="E92">
        <v>42.32</v>
      </c>
      <c r="F92">
        <v>48.34</v>
      </c>
      <c r="G92">
        <v>60568</v>
      </c>
      <c r="H92">
        <v>33298</v>
      </c>
      <c r="I92">
        <v>143107</v>
      </c>
    </row>
    <row r="93" spans="1:9" hidden="1" x14ac:dyDescent="0.25">
      <c r="A93" s="28" t="s">
        <v>135</v>
      </c>
      <c r="B93">
        <v>1484.65</v>
      </c>
      <c r="C93">
        <v>-16.55</v>
      </c>
      <c r="D93">
        <v>-1.1000000000000001</v>
      </c>
      <c r="E93" s="28">
        <v>42.27</v>
      </c>
      <c r="F93" s="28">
        <v>27.59</v>
      </c>
      <c r="G93">
        <v>327244</v>
      </c>
      <c r="H93">
        <v>337947</v>
      </c>
      <c r="I93">
        <v>774150</v>
      </c>
    </row>
    <row r="94" spans="1:9" hidden="1" x14ac:dyDescent="0.25">
      <c r="A94" s="28" t="s">
        <v>162</v>
      </c>
      <c r="B94">
        <v>620.04999999999995</v>
      </c>
      <c r="C94">
        <v>-9.35</v>
      </c>
      <c r="D94">
        <v>-1.49</v>
      </c>
      <c r="E94">
        <v>41.81</v>
      </c>
      <c r="F94">
        <v>28.81</v>
      </c>
      <c r="G94">
        <v>2579803</v>
      </c>
      <c r="H94">
        <v>2123506</v>
      </c>
      <c r="I94">
        <v>6170693</v>
      </c>
    </row>
    <row r="95" spans="1:9" hidden="1" x14ac:dyDescent="0.25">
      <c r="A95" s="28" t="s">
        <v>125</v>
      </c>
      <c r="B95">
        <v>3751.5</v>
      </c>
      <c r="C95">
        <v>-81.55</v>
      </c>
      <c r="D95">
        <v>-2.13</v>
      </c>
      <c r="E95">
        <v>41.7</v>
      </c>
      <c r="F95">
        <v>43.03</v>
      </c>
      <c r="G95">
        <v>125918</v>
      </c>
      <c r="H95">
        <v>171401</v>
      </c>
      <c r="I95">
        <v>301943</v>
      </c>
    </row>
    <row r="96" spans="1:9" hidden="1" x14ac:dyDescent="0.25">
      <c r="A96" s="28" t="s">
        <v>278</v>
      </c>
      <c r="B96">
        <v>5824.55</v>
      </c>
      <c r="C96">
        <v>-54.8</v>
      </c>
      <c r="D96">
        <v>-0.93</v>
      </c>
      <c r="E96">
        <v>41.47</v>
      </c>
      <c r="F96">
        <v>38.81</v>
      </c>
      <c r="G96">
        <v>31425</v>
      </c>
      <c r="H96">
        <v>23753</v>
      </c>
      <c r="I96">
        <v>75772</v>
      </c>
    </row>
    <row r="97" spans="1:9" hidden="1" x14ac:dyDescent="0.25">
      <c r="A97" s="28" t="s">
        <v>267</v>
      </c>
      <c r="B97">
        <v>1098.95</v>
      </c>
      <c r="C97">
        <v>-27.7</v>
      </c>
      <c r="D97">
        <v>-2.46</v>
      </c>
      <c r="E97">
        <v>41.41</v>
      </c>
      <c r="F97">
        <v>34.840000000000003</v>
      </c>
      <c r="G97">
        <v>125392</v>
      </c>
      <c r="H97">
        <v>102335</v>
      </c>
      <c r="I97">
        <v>302841</v>
      </c>
    </row>
    <row r="98" spans="1:9" hidden="1" x14ac:dyDescent="0.25">
      <c r="A98" s="28" t="s">
        <v>183</v>
      </c>
      <c r="B98">
        <v>219.5</v>
      </c>
      <c r="C98">
        <v>0.9</v>
      </c>
      <c r="D98">
        <v>0.41</v>
      </c>
      <c r="E98" s="28">
        <v>41.12</v>
      </c>
      <c r="F98" s="28">
        <v>42.51</v>
      </c>
      <c r="G98">
        <v>2380873</v>
      </c>
      <c r="H98">
        <v>1366663</v>
      </c>
      <c r="I98">
        <v>5789470</v>
      </c>
    </row>
    <row r="99" spans="1:9" hidden="1" x14ac:dyDescent="0.25">
      <c r="A99" s="28" t="s">
        <v>218</v>
      </c>
      <c r="B99">
        <v>211.55</v>
      </c>
      <c r="C99">
        <v>-8.6999999999999993</v>
      </c>
      <c r="D99">
        <v>-3.95</v>
      </c>
      <c r="E99">
        <v>41.03</v>
      </c>
      <c r="F99">
        <v>36.630000000000003</v>
      </c>
      <c r="G99">
        <v>1617232</v>
      </c>
      <c r="H99">
        <v>1191781</v>
      </c>
      <c r="I99">
        <v>3941166</v>
      </c>
    </row>
    <row r="100" spans="1:9" hidden="1" x14ac:dyDescent="0.25">
      <c r="A100" s="28" t="s">
        <v>265</v>
      </c>
      <c r="B100">
        <v>142.94999999999999</v>
      </c>
      <c r="C100">
        <v>-5.0999999999999996</v>
      </c>
      <c r="D100">
        <v>-3.44</v>
      </c>
      <c r="E100">
        <v>40.799999999999997</v>
      </c>
      <c r="F100">
        <v>33.81</v>
      </c>
      <c r="G100">
        <v>2454239</v>
      </c>
      <c r="H100">
        <v>1661790</v>
      </c>
      <c r="I100">
        <v>6014558</v>
      </c>
    </row>
    <row r="101" spans="1:9" hidden="1" x14ac:dyDescent="0.25">
      <c r="A101" s="28" t="s">
        <v>45</v>
      </c>
      <c r="B101">
        <v>208.9</v>
      </c>
      <c r="C101">
        <v>-0.05</v>
      </c>
      <c r="D101">
        <v>-0.02</v>
      </c>
      <c r="E101">
        <v>40.65</v>
      </c>
      <c r="F101">
        <v>43.41</v>
      </c>
      <c r="G101">
        <v>7894513</v>
      </c>
      <c r="H101">
        <v>5908929</v>
      </c>
      <c r="I101">
        <v>19421004</v>
      </c>
    </row>
    <row r="102" spans="1:9" hidden="1" x14ac:dyDescent="0.25">
      <c r="A102" s="28" t="s">
        <v>123</v>
      </c>
      <c r="B102">
        <v>3112.95</v>
      </c>
      <c r="C102">
        <v>111.4</v>
      </c>
      <c r="D102">
        <v>3.71</v>
      </c>
      <c r="E102">
        <v>40.46</v>
      </c>
      <c r="F102">
        <v>46.8</v>
      </c>
      <c r="G102">
        <v>1590560</v>
      </c>
      <c r="H102">
        <v>784184</v>
      </c>
      <c r="I102">
        <v>3931334</v>
      </c>
    </row>
    <row r="103" spans="1:9" hidden="1" x14ac:dyDescent="0.25">
      <c r="A103" s="28" t="s">
        <v>180</v>
      </c>
      <c r="B103">
        <v>1236.3</v>
      </c>
      <c r="C103">
        <v>2.15</v>
      </c>
      <c r="D103">
        <v>0.17</v>
      </c>
      <c r="E103">
        <v>40.340000000000003</v>
      </c>
      <c r="F103">
        <v>40.26</v>
      </c>
      <c r="G103">
        <v>802668</v>
      </c>
      <c r="H103">
        <v>721101</v>
      </c>
      <c r="I103">
        <v>1989898</v>
      </c>
    </row>
    <row r="104" spans="1:9" hidden="1" x14ac:dyDescent="0.25">
      <c r="A104" s="28" t="s">
        <v>280</v>
      </c>
      <c r="B104">
        <v>331.95</v>
      </c>
      <c r="C104">
        <v>-12.65</v>
      </c>
      <c r="D104">
        <v>-3.67</v>
      </c>
      <c r="E104">
        <v>40.18</v>
      </c>
      <c r="F104">
        <v>37.68</v>
      </c>
      <c r="G104">
        <v>271432</v>
      </c>
      <c r="H104">
        <v>233673</v>
      </c>
      <c r="I104">
        <v>675572</v>
      </c>
    </row>
    <row r="105" spans="1:9" hidden="1" x14ac:dyDescent="0.25">
      <c r="A105" s="28" t="s">
        <v>233</v>
      </c>
      <c r="B105">
        <v>146.25</v>
      </c>
      <c r="C105">
        <v>-3.2</v>
      </c>
      <c r="D105">
        <v>-2.14</v>
      </c>
      <c r="E105">
        <v>39.01</v>
      </c>
      <c r="F105">
        <v>58.22</v>
      </c>
      <c r="G105">
        <v>367666</v>
      </c>
      <c r="H105">
        <v>1064254</v>
      </c>
      <c r="I105">
        <v>942381</v>
      </c>
    </row>
    <row r="106" spans="1:9" hidden="1" x14ac:dyDescent="0.25">
      <c r="A106" s="28" t="s">
        <v>244</v>
      </c>
      <c r="B106">
        <v>79.900000000000006</v>
      </c>
      <c r="C106">
        <v>-3.35</v>
      </c>
      <c r="D106">
        <v>-4.0199999999999996</v>
      </c>
      <c r="E106">
        <v>38.92</v>
      </c>
      <c r="F106">
        <v>41.01</v>
      </c>
      <c r="G106">
        <v>6908710</v>
      </c>
      <c r="H106">
        <v>4713138</v>
      </c>
      <c r="I106">
        <v>17753165</v>
      </c>
    </row>
    <row r="107" spans="1:9" hidden="1" x14ac:dyDescent="0.25">
      <c r="A107" s="28" t="s">
        <v>129</v>
      </c>
      <c r="B107" s="28">
        <v>3895.95</v>
      </c>
      <c r="C107">
        <v>175.2</v>
      </c>
      <c r="D107">
        <v>4.71</v>
      </c>
      <c r="E107" s="28">
        <v>38.76</v>
      </c>
      <c r="F107" s="28">
        <v>45.22</v>
      </c>
      <c r="G107" s="28">
        <v>607479</v>
      </c>
      <c r="H107" s="28">
        <v>293501</v>
      </c>
      <c r="I107" s="28">
        <v>1567252</v>
      </c>
    </row>
    <row r="108" spans="1:9" hidden="1" x14ac:dyDescent="0.25">
      <c r="A108" s="28" t="s">
        <v>274</v>
      </c>
      <c r="B108">
        <v>390.75</v>
      </c>
      <c r="C108">
        <v>-6.15</v>
      </c>
      <c r="D108">
        <v>-1.55</v>
      </c>
      <c r="E108">
        <v>38.590000000000003</v>
      </c>
      <c r="F108">
        <v>45.75</v>
      </c>
      <c r="G108">
        <v>397858</v>
      </c>
      <c r="H108">
        <v>935678</v>
      </c>
      <c r="I108">
        <v>1030982</v>
      </c>
    </row>
    <row r="109" spans="1:9" hidden="1" x14ac:dyDescent="0.25">
      <c r="A109" s="28" t="s">
        <v>190</v>
      </c>
      <c r="B109">
        <v>1677.05</v>
      </c>
      <c r="C109">
        <v>8.3000000000000007</v>
      </c>
      <c r="D109">
        <v>0.5</v>
      </c>
      <c r="E109">
        <v>38.18</v>
      </c>
      <c r="F109">
        <v>45.38</v>
      </c>
      <c r="G109">
        <v>341900</v>
      </c>
      <c r="H109">
        <v>286451</v>
      </c>
      <c r="I109">
        <v>895522</v>
      </c>
    </row>
    <row r="110" spans="1:9" hidden="1" x14ac:dyDescent="0.25">
      <c r="A110" s="28" t="s">
        <v>242</v>
      </c>
      <c r="B110">
        <v>1194.0999999999999</v>
      </c>
      <c r="C110">
        <v>-35.799999999999997</v>
      </c>
      <c r="D110">
        <v>-2.91</v>
      </c>
      <c r="E110">
        <v>38.04</v>
      </c>
      <c r="F110">
        <v>29.28</v>
      </c>
      <c r="G110">
        <v>388665</v>
      </c>
      <c r="H110">
        <v>243918</v>
      </c>
      <c r="I110">
        <v>1021721</v>
      </c>
    </row>
    <row r="111" spans="1:9" hidden="1" x14ac:dyDescent="0.25">
      <c r="A111" s="28" t="s">
        <v>225</v>
      </c>
      <c r="B111">
        <v>752.85</v>
      </c>
      <c r="C111">
        <v>-50.05</v>
      </c>
      <c r="D111">
        <v>-6.23</v>
      </c>
      <c r="E111" s="28">
        <v>37.76</v>
      </c>
      <c r="F111" s="28">
        <v>28.8</v>
      </c>
      <c r="G111">
        <v>1031925</v>
      </c>
      <c r="H111">
        <v>762114</v>
      </c>
      <c r="I111">
        <v>2732904</v>
      </c>
    </row>
    <row r="112" spans="1:9" hidden="1" x14ac:dyDescent="0.25">
      <c r="A112" s="28" t="s">
        <v>170</v>
      </c>
      <c r="B112">
        <v>391.8</v>
      </c>
      <c r="C112">
        <v>-17.600000000000001</v>
      </c>
      <c r="D112">
        <v>-4.3</v>
      </c>
      <c r="E112">
        <v>37.21</v>
      </c>
      <c r="F112">
        <v>34.130000000000003</v>
      </c>
      <c r="G112">
        <v>2593134</v>
      </c>
      <c r="H112">
        <v>1428691</v>
      </c>
      <c r="I112">
        <v>6967987</v>
      </c>
    </row>
    <row r="113" spans="1:9" hidden="1" x14ac:dyDescent="0.25">
      <c r="A113" s="28" t="s">
        <v>165</v>
      </c>
      <c r="B113" s="28">
        <v>35.6</v>
      </c>
      <c r="C113">
        <v>-0.9</v>
      </c>
      <c r="D113">
        <v>-2.4700000000000002</v>
      </c>
      <c r="E113" s="28">
        <v>37.19</v>
      </c>
      <c r="F113" s="28">
        <v>30.13</v>
      </c>
      <c r="G113" s="28">
        <v>14431659</v>
      </c>
      <c r="H113" s="28">
        <v>8856313</v>
      </c>
      <c r="I113" s="28">
        <v>38801065</v>
      </c>
    </row>
    <row r="114" spans="1:9" hidden="1" x14ac:dyDescent="0.25">
      <c r="A114" s="28" t="s">
        <v>157</v>
      </c>
      <c r="B114">
        <v>283.10000000000002</v>
      </c>
      <c r="C114">
        <v>-10.25</v>
      </c>
      <c r="D114">
        <v>-3.49</v>
      </c>
      <c r="E114">
        <v>37.020000000000003</v>
      </c>
      <c r="F114">
        <v>26.72</v>
      </c>
      <c r="G114">
        <v>12059448</v>
      </c>
      <c r="H114">
        <v>6702184</v>
      </c>
      <c r="I114">
        <v>32578752</v>
      </c>
    </row>
    <row r="115" spans="1:9" hidden="1" x14ac:dyDescent="0.25">
      <c r="A115" s="28" t="s">
        <v>44</v>
      </c>
      <c r="B115">
        <v>103.5</v>
      </c>
      <c r="C115">
        <v>-2.7</v>
      </c>
      <c r="D115">
        <v>-2.54</v>
      </c>
      <c r="E115">
        <v>36.78</v>
      </c>
      <c r="F115">
        <v>30.71</v>
      </c>
      <c r="G115">
        <v>3858968</v>
      </c>
      <c r="H115">
        <v>4224898</v>
      </c>
      <c r="I115">
        <v>10490839</v>
      </c>
    </row>
    <row r="116" spans="1:9" hidden="1" x14ac:dyDescent="0.25">
      <c r="A116" s="28" t="s">
        <v>292</v>
      </c>
      <c r="B116">
        <v>453.1</v>
      </c>
      <c r="C116">
        <v>-7</v>
      </c>
      <c r="D116">
        <v>-1.52</v>
      </c>
      <c r="E116">
        <v>36.369999999999997</v>
      </c>
      <c r="F116">
        <v>45.53</v>
      </c>
      <c r="G116">
        <v>245226</v>
      </c>
      <c r="H116">
        <v>351032</v>
      </c>
      <c r="I116">
        <v>674279</v>
      </c>
    </row>
    <row r="117" spans="1:9" hidden="1" x14ac:dyDescent="0.25">
      <c r="A117" s="28" t="s">
        <v>209</v>
      </c>
      <c r="B117" s="28">
        <v>19074.400000000001</v>
      </c>
      <c r="C117">
        <v>187.7</v>
      </c>
      <c r="D117">
        <v>0.99</v>
      </c>
      <c r="E117" s="28">
        <v>36.26</v>
      </c>
      <c r="F117" s="28">
        <v>34.08</v>
      </c>
      <c r="G117" s="28">
        <v>4371</v>
      </c>
      <c r="H117" s="28">
        <v>4223</v>
      </c>
      <c r="I117" s="28">
        <v>12055</v>
      </c>
    </row>
    <row r="118" spans="1:9" hidden="1" x14ac:dyDescent="0.25">
      <c r="A118" s="28" t="s">
        <v>200</v>
      </c>
      <c r="B118">
        <v>2267.1999999999998</v>
      </c>
      <c r="C118">
        <v>41.9</v>
      </c>
      <c r="D118">
        <v>1.88</v>
      </c>
      <c r="E118">
        <v>36.07</v>
      </c>
      <c r="F118">
        <v>41.76</v>
      </c>
      <c r="G118">
        <v>376167</v>
      </c>
      <c r="H118">
        <v>209723</v>
      </c>
      <c r="I118">
        <v>1043017</v>
      </c>
    </row>
    <row r="119" spans="1:9" hidden="1" x14ac:dyDescent="0.25">
      <c r="A119" s="28" t="s">
        <v>128</v>
      </c>
      <c r="B119">
        <v>613.70000000000005</v>
      </c>
      <c r="C119">
        <v>-9.25</v>
      </c>
      <c r="D119">
        <v>-1.48</v>
      </c>
      <c r="E119">
        <v>35.97</v>
      </c>
      <c r="F119">
        <v>38.85</v>
      </c>
      <c r="G119">
        <v>4508471</v>
      </c>
      <c r="H119">
        <v>4790049</v>
      </c>
      <c r="I119">
        <v>12534832</v>
      </c>
    </row>
    <row r="120" spans="1:9" hidden="1" x14ac:dyDescent="0.25">
      <c r="A120" s="28" t="s">
        <v>300</v>
      </c>
      <c r="B120">
        <v>74.150000000000006</v>
      </c>
      <c r="C120">
        <v>-4.5999999999999996</v>
      </c>
      <c r="D120">
        <v>-5.84</v>
      </c>
      <c r="E120">
        <v>35.89</v>
      </c>
      <c r="F120">
        <v>29.19</v>
      </c>
      <c r="G120">
        <v>13297252</v>
      </c>
      <c r="H120">
        <v>7577423</v>
      </c>
      <c r="I120">
        <v>37053960</v>
      </c>
    </row>
    <row r="121" spans="1:9" hidden="1" x14ac:dyDescent="0.25">
      <c r="A121" s="28" t="s">
        <v>266</v>
      </c>
      <c r="B121">
        <v>42.85</v>
      </c>
      <c r="C121">
        <v>-2.25</v>
      </c>
      <c r="D121">
        <v>-4.99</v>
      </c>
      <c r="E121">
        <v>35.700000000000003</v>
      </c>
      <c r="F121">
        <v>39.479999999999997</v>
      </c>
      <c r="G121">
        <v>607123</v>
      </c>
      <c r="H121">
        <v>871599</v>
      </c>
      <c r="I121">
        <v>1700807</v>
      </c>
    </row>
    <row r="122" spans="1:9" hidden="1" x14ac:dyDescent="0.25">
      <c r="A122" s="28" t="s">
        <v>217</v>
      </c>
      <c r="B122">
        <v>697.25</v>
      </c>
      <c r="C122">
        <v>-14.25</v>
      </c>
      <c r="D122">
        <v>-2</v>
      </c>
      <c r="E122" s="28">
        <v>35.65</v>
      </c>
      <c r="F122" s="28">
        <v>31.25</v>
      </c>
      <c r="G122">
        <v>463519</v>
      </c>
      <c r="H122">
        <v>404302</v>
      </c>
      <c r="I122">
        <v>1300227</v>
      </c>
    </row>
    <row r="123" spans="1:9" hidden="1" x14ac:dyDescent="0.25">
      <c r="A123" s="28" t="s">
        <v>308</v>
      </c>
      <c r="B123">
        <v>124.4</v>
      </c>
      <c r="C123">
        <v>-3.8</v>
      </c>
      <c r="D123">
        <v>-2.96</v>
      </c>
      <c r="E123">
        <v>35.58</v>
      </c>
      <c r="F123">
        <v>27.57</v>
      </c>
      <c r="G123">
        <v>1436601</v>
      </c>
      <c r="H123">
        <v>1423810</v>
      </c>
      <c r="I123">
        <v>4037976</v>
      </c>
    </row>
    <row r="124" spans="1:9" hidden="1" x14ac:dyDescent="0.25">
      <c r="A124" s="28" t="s">
        <v>219</v>
      </c>
      <c r="B124">
        <v>119</v>
      </c>
      <c r="C124">
        <v>-6.15</v>
      </c>
      <c r="D124">
        <v>-4.91</v>
      </c>
      <c r="E124" s="28">
        <v>35.4</v>
      </c>
      <c r="F124" s="28">
        <v>28.07</v>
      </c>
      <c r="G124">
        <v>7445571</v>
      </c>
      <c r="H124">
        <v>6040546</v>
      </c>
      <c r="I124">
        <v>21031189</v>
      </c>
    </row>
    <row r="125" spans="1:9" hidden="1" x14ac:dyDescent="0.25">
      <c r="A125" s="28" t="s">
        <v>152</v>
      </c>
      <c r="B125">
        <v>406.7</v>
      </c>
      <c r="C125">
        <v>-13</v>
      </c>
      <c r="D125">
        <v>-3.1</v>
      </c>
      <c r="E125">
        <v>35.39</v>
      </c>
      <c r="F125">
        <v>34.11</v>
      </c>
      <c r="G125">
        <v>9038684</v>
      </c>
      <c r="H125">
        <v>7142404</v>
      </c>
      <c r="I125">
        <v>25541790</v>
      </c>
    </row>
    <row r="126" spans="1:9" hidden="1" x14ac:dyDescent="0.25">
      <c r="A126" s="28" t="s">
        <v>179</v>
      </c>
      <c r="B126" s="28">
        <v>521.9</v>
      </c>
      <c r="C126">
        <v>-6.2</v>
      </c>
      <c r="D126">
        <v>-1.17</v>
      </c>
      <c r="E126" s="28">
        <v>35.03</v>
      </c>
      <c r="F126" s="28">
        <v>42.76</v>
      </c>
      <c r="G126" s="28">
        <v>671646</v>
      </c>
      <c r="H126" s="28">
        <v>1186293</v>
      </c>
      <c r="I126" s="28">
        <v>1917601</v>
      </c>
    </row>
    <row r="127" spans="1:9" hidden="1" x14ac:dyDescent="0.25">
      <c r="A127" s="28" t="s">
        <v>173</v>
      </c>
      <c r="B127">
        <v>537.9</v>
      </c>
      <c r="C127">
        <v>14.2</v>
      </c>
      <c r="D127">
        <v>2.71</v>
      </c>
      <c r="E127">
        <v>34.97</v>
      </c>
      <c r="F127">
        <v>40.950000000000003</v>
      </c>
      <c r="G127">
        <v>1831431</v>
      </c>
      <c r="H127">
        <v>1016242</v>
      </c>
      <c r="I127">
        <v>5237598</v>
      </c>
    </row>
    <row r="128" spans="1:9" hidden="1" x14ac:dyDescent="0.25">
      <c r="A128" s="28" t="s">
        <v>269</v>
      </c>
      <c r="B128" s="28">
        <v>1036.4000000000001</v>
      </c>
      <c r="C128">
        <v>-30.4</v>
      </c>
      <c r="D128">
        <v>-2.85</v>
      </c>
      <c r="E128" s="28">
        <v>33.590000000000003</v>
      </c>
      <c r="F128" s="28">
        <v>37.1</v>
      </c>
      <c r="G128" s="28">
        <v>195716</v>
      </c>
      <c r="H128" s="28">
        <v>250602</v>
      </c>
      <c r="I128" s="28">
        <v>582652</v>
      </c>
    </row>
    <row r="129" spans="1:9" hidden="1" x14ac:dyDescent="0.25">
      <c r="A129" s="28" t="s">
        <v>285</v>
      </c>
      <c r="B129">
        <v>958.15</v>
      </c>
      <c r="C129">
        <v>-31.15</v>
      </c>
      <c r="D129">
        <v>-3.15</v>
      </c>
      <c r="E129">
        <v>33.57</v>
      </c>
      <c r="F129">
        <v>24.27</v>
      </c>
      <c r="G129">
        <v>173175</v>
      </c>
      <c r="H129">
        <v>127367</v>
      </c>
      <c r="I129">
        <v>515861</v>
      </c>
    </row>
    <row r="130" spans="1:9" hidden="1" x14ac:dyDescent="0.25">
      <c r="A130" s="28" t="s">
        <v>272</v>
      </c>
      <c r="B130">
        <v>73.3</v>
      </c>
      <c r="C130">
        <v>-5.35</v>
      </c>
      <c r="D130">
        <v>-6.8</v>
      </c>
      <c r="E130">
        <v>33.46</v>
      </c>
      <c r="F130">
        <v>30.51</v>
      </c>
      <c r="G130">
        <v>11334157</v>
      </c>
      <c r="H130">
        <v>7300880</v>
      </c>
      <c r="I130">
        <v>33877528</v>
      </c>
    </row>
    <row r="131" spans="1:9" hidden="1" x14ac:dyDescent="0.25">
      <c r="A131" s="28" t="s">
        <v>178</v>
      </c>
      <c r="B131">
        <v>611.70000000000005</v>
      </c>
      <c r="C131">
        <v>14.3</v>
      </c>
      <c r="D131">
        <v>2.39</v>
      </c>
      <c r="E131" s="28">
        <v>33.369999999999997</v>
      </c>
      <c r="F131" s="28">
        <v>48.4</v>
      </c>
      <c r="G131">
        <v>1475169</v>
      </c>
      <c r="H131">
        <v>1703995</v>
      </c>
      <c r="I131">
        <v>4420438</v>
      </c>
    </row>
    <row r="132" spans="1:9" hidden="1" x14ac:dyDescent="0.25">
      <c r="A132" s="28" t="s">
        <v>167</v>
      </c>
      <c r="B132">
        <v>151</v>
      </c>
      <c r="C132">
        <v>-15.95</v>
      </c>
      <c r="D132">
        <v>-9.5500000000000007</v>
      </c>
      <c r="E132">
        <v>33.26</v>
      </c>
      <c r="F132">
        <v>30.88</v>
      </c>
      <c r="G132">
        <v>9688306</v>
      </c>
      <c r="H132">
        <v>4935156</v>
      </c>
      <c r="I132">
        <v>29132391</v>
      </c>
    </row>
    <row r="133" spans="1:9" hidden="1" x14ac:dyDescent="0.25">
      <c r="A133" s="28" t="s">
        <v>304</v>
      </c>
      <c r="B133">
        <v>37.450000000000003</v>
      </c>
      <c r="C133">
        <v>-0.15</v>
      </c>
      <c r="D133">
        <v>-0.4</v>
      </c>
      <c r="E133">
        <v>32.880000000000003</v>
      </c>
      <c r="F133">
        <v>31.13</v>
      </c>
      <c r="G133">
        <v>3915455</v>
      </c>
      <c r="H133">
        <v>3720781</v>
      </c>
      <c r="I133">
        <v>11907060</v>
      </c>
    </row>
    <row r="134" spans="1:9" hidden="1" x14ac:dyDescent="0.25">
      <c r="A134" s="28" t="s">
        <v>264</v>
      </c>
      <c r="B134">
        <v>375.5</v>
      </c>
      <c r="C134">
        <v>-9.25</v>
      </c>
      <c r="D134">
        <v>-2.4</v>
      </c>
      <c r="E134">
        <v>32.61</v>
      </c>
      <c r="F134">
        <v>35.61</v>
      </c>
      <c r="G134">
        <v>993182</v>
      </c>
      <c r="H134">
        <v>868530</v>
      </c>
      <c r="I134">
        <v>3045747</v>
      </c>
    </row>
    <row r="135" spans="1:9" hidden="1" x14ac:dyDescent="0.25">
      <c r="A135" s="28" t="s">
        <v>154</v>
      </c>
      <c r="B135">
        <v>26291.15</v>
      </c>
      <c r="C135">
        <v>-36.15</v>
      </c>
      <c r="D135">
        <v>-0.14000000000000001</v>
      </c>
      <c r="E135">
        <v>32.17</v>
      </c>
      <c r="F135">
        <v>32.86</v>
      </c>
      <c r="G135">
        <v>11428</v>
      </c>
      <c r="H135">
        <v>16409</v>
      </c>
      <c r="I135">
        <v>35529</v>
      </c>
    </row>
    <row r="136" spans="1:9" hidden="1" x14ac:dyDescent="0.25">
      <c r="A136" s="28" t="s">
        <v>194</v>
      </c>
      <c r="B136">
        <v>1033.1500000000001</v>
      </c>
      <c r="C136">
        <v>27.95</v>
      </c>
      <c r="D136">
        <v>2.78</v>
      </c>
      <c r="E136">
        <v>32.08</v>
      </c>
      <c r="F136">
        <v>36.81</v>
      </c>
      <c r="G136">
        <v>879980</v>
      </c>
      <c r="H136">
        <v>466623</v>
      </c>
      <c r="I136">
        <v>2742914</v>
      </c>
    </row>
    <row r="137" spans="1:9" hidden="1" x14ac:dyDescent="0.25">
      <c r="A137" s="28" t="s">
        <v>240</v>
      </c>
      <c r="B137">
        <v>586.20000000000005</v>
      </c>
      <c r="C137">
        <v>-11.25</v>
      </c>
      <c r="D137">
        <v>-1.88</v>
      </c>
      <c r="E137">
        <v>31.9</v>
      </c>
      <c r="F137">
        <v>39.46</v>
      </c>
      <c r="G137">
        <v>232645</v>
      </c>
      <c r="H137">
        <v>238415</v>
      </c>
      <c r="I137">
        <v>729302</v>
      </c>
    </row>
    <row r="138" spans="1:9" hidden="1" x14ac:dyDescent="0.25">
      <c r="A138" s="28" t="s">
        <v>171</v>
      </c>
      <c r="B138">
        <v>269.25</v>
      </c>
      <c r="C138">
        <v>-26.65</v>
      </c>
      <c r="D138">
        <v>-9.01</v>
      </c>
      <c r="E138">
        <v>31.59</v>
      </c>
      <c r="F138">
        <v>22.3</v>
      </c>
      <c r="G138">
        <v>10737669</v>
      </c>
      <c r="H138">
        <v>8839369</v>
      </c>
      <c r="I138">
        <v>33985528</v>
      </c>
    </row>
    <row r="139" spans="1:9" hidden="1" x14ac:dyDescent="0.25">
      <c r="A139" s="28" t="s">
        <v>224</v>
      </c>
      <c r="B139">
        <v>171.05</v>
      </c>
      <c r="C139">
        <v>-3.05</v>
      </c>
      <c r="D139">
        <v>-1.75</v>
      </c>
      <c r="E139">
        <v>31.41</v>
      </c>
      <c r="F139">
        <v>37.21</v>
      </c>
      <c r="G139">
        <v>1627456</v>
      </c>
      <c r="H139">
        <v>2683187</v>
      </c>
      <c r="I139">
        <v>5180721</v>
      </c>
    </row>
    <row r="140" spans="1:9" hidden="1" x14ac:dyDescent="0.25">
      <c r="A140" s="28" t="s">
        <v>282</v>
      </c>
      <c r="B140">
        <v>162.75</v>
      </c>
      <c r="C140">
        <v>-6.1</v>
      </c>
      <c r="D140">
        <v>-3.61</v>
      </c>
      <c r="E140">
        <v>31.17</v>
      </c>
      <c r="F140">
        <v>31.3</v>
      </c>
      <c r="G140">
        <v>2553180</v>
      </c>
      <c r="H140">
        <v>1744966</v>
      </c>
      <c r="I140">
        <v>8191287</v>
      </c>
    </row>
    <row r="141" spans="1:9" hidden="1" x14ac:dyDescent="0.25">
      <c r="A141" s="28" t="s">
        <v>283</v>
      </c>
      <c r="B141">
        <v>143.94999999999999</v>
      </c>
      <c r="C141">
        <v>-4.0999999999999996</v>
      </c>
      <c r="D141">
        <v>-2.77</v>
      </c>
      <c r="E141">
        <v>31.16</v>
      </c>
      <c r="F141">
        <v>34.19</v>
      </c>
      <c r="G141">
        <v>2375363</v>
      </c>
      <c r="H141">
        <v>1502030</v>
      </c>
      <c r="I141">
        <v>7624179</v>
      </c>
    </row>
    <row r="142" spans="1:9" hidden="1" x14ac:dyDescent="0.25">
      <c r="A142" s="28" t="s">
        <v>189</v>
      </c>
      <c r="B142">
        <v>1430.1</v>
      </c>
      <c r="C142">
        <v>-29.9</v>
      </c>
      <c r="D142">
        <v>-2.0499999999999998</v>
      </c>
      <c r="E142">
        <v>31.06</v>
      </c>
      <c r="F142">
        <v>25.94</v>
      </c>
      <c r="G142">
        <v>1532300</v>
      </c>
      <c r="H142">
        <v>868364</v>
      </c>
      <c r="I142">
        <v>4933377</v>
      </c>
    </row>
    <row r="143" spans="1:9" hidden="1" x14ac:dyDescent="0.25">
      <c r="A143" s="28" t="s">
        <v>177</v>
      </c>
      <c r="B143" s="28">
        <v>534.85</v>
      </c>
      <c r="C143">
        <v>-7.95</v>
      </c>
      <c r="D143">
        <v>-1.46</v>
      </c>
      <c r="E143" s="28">
        <v>30.86</v>
      </c>
      <c r="F143" s="28">
        <v>28.09</v>
      </c>
      <c r="G143" s="28">
        <v>1577732</v>
      </c>
      <c r="H143" s="28">
        <v>1430686</v>
      </c>
      <c r="I143" s="28">
        <v>5112841</v>
      </c>
    </row>
    <row r="144" spans="1:9" hidden="1" x14ac:dyDescent="0.25">
      <c r="A144" s="28" t="s">
        <v>176</v>
      </c>
      <c r="B144">
        <v>357.35</v>
      </c>
      <c r="C144">
        <v>-12.65</v>
      </c>
      <c r="D144">
        <v>-3.42</v>
      </c>
      <c r="E144">
        <v>30.81</v>
      </c>
      <c r="F144">
        <v>30.05</v>
      </c>
      <c r="G144">
        <v>475922</v>
      </c>
      <c r="H144">
        <v>473058</v>
      </c>
      <c r="I144">
        <v>1544686</v>
      </c>
    </row>
    <row r="145" spans="1:9" hidden="1" x14ac:dyDescent="0.25">
      <c r="A145" s="28" t="s">
        <v>275</v>
      </c>
      <c r="B145">
        <v>656.35</v>
      </c>
      <c r="C145">
        <v>-28.2</v>
      </c>
      <c r="D145">
        <v>-4.12</v>
      </c>
      <c r="E145">
        <v>30.74</v>
      </c>
      <c r="F145">
        <v>35.74</v>
      </c>
      <c r="G145">
        <v>139993</v>
      </c>
      <c r="H145">
        <v>81260</v>
      </c>
      <c r="I145">
        <v>455423</v>
      </c>
    </row>
    <row r="146" spans="1:9" hidden="1" x14ac:dyDescent="0.25">
      <c r="A146" s="28" t="s">
        <v>291</v>
      </c>
      <c r="B146">
        <v>126.2</v>
      </c>
      <c r="C146">
        <v>-4.25</v>
      </c>
      <c r="D146">
        <v>-3.26</v>
      </c>
      <c r="E146">
        <v>30.71</v>
      </c>
      <c r="F146">
        <v>26.35</v>
      </c>
      <c r="G146">
        <v>8416107</v>
      </c>
      <c r="H146">
        <v>5715156</v>
      </c>
      <c r="I146">
        <v>27402061</v>
      </c>
    </row>
    <row r="147" spans="1:9" hidden="1" x14ac:dyDescent="0.25">
      <c r="A147" s="28" t="s">
        <v>309</v>
      </c>
      <c r="B147">
        <v>1254.5</v>
      </c>
      <c r="C147">
        <v>-39.35</v>
      </c>
      <c r="D147">
        <v>-3.04</v>
      </c>
      <c r="E147">
        <v>30.39</v>
      </c>
      <c r="F147">
        <v>40.29</v>
      </c>
      <c r="G147">
        <v>265159</v>
      </c>
      <c r="H147">
        <v>373193</v>
      </c>
      <c r="I147">
        <v>872490</v>
      </c>
    </row>
    <row r="148" spans="1:9" hidden="1" x14ac:dyDescent="0.25">
      <c r="A148" s="28" t="s">
        <v>126</v>
      </c>
      <c r="B148">
        <v>6661.1</v>
      </c>
      <c r="C148">
        <v>117</v>
      </c>
      <c r="D148">
        <v>1.79</v>
      </c>
      <c r="E148" s="28">
        <v>30.3</v>
      </c>
      <c r="F148" s="28">
        <v>29.39</v>
      </c>
      <c r="G148">
        <v>655989</v>
      </c>
      <c r="H148">
        <v>470990</v>
      </c>
      <c r="I148">
        <v>2164732</v>
      </c>
    </row>
    <row r="149" spans="1:9" hidden="1" x14ac:dyDescent="0.25">
      <c r="A149" s="28" t="s">
        <v>277</v>
      </c>
      <c r="B149" s="28">
        <v>3182.2</v>
      </c>
      <c r="C149">
        <v>-0.85</v>
      </c>
      <c r="D149">
        <v>-0.03</v>
      </c>
      <c r="E149" s="28">
        <v>30.12</v>
      </c>
      <c r="F149" s="28">
        <v>43.58</v>
      </c>
      <c r="G149" s="28">
        <v>53659</v>
      </c>
      <c r="H149" s="28">
        <v>105062</v>
      </c>
      <c r="I149" s="28">
        <v>178169</v>
      </c>
    </row>
    <row r="150" spans="1:9" hidden="1" x14ac:dyDescent="0.25">
      <c r="A150" s="28" t="s">
        <v>210</v>
      </c>
      <c r="B150">
        <v>78076.95</v>
      </c>
      <c r="C150">
        <v>-1270.2</v>
      </c>
      <c r="D150">
        <v>-1.6</v>
      </c>
      <c r="E150">
        <v>29.86</v>
      </c>
      <c r="F150">
        <v>29.26</v>
      </c>
      <c r="G150">
        <v>2544</v>
      </c>
      <c r="H150">
        <v>2453</v>
      </c>
      <c r="I150">
        <v>8520</v>
      </c>
    </row>
    <row r="151" spans="1:9" hidden="1" x14ac:dyDescent="0.25">
      <c r="A151" s="28" t="s">
        <v>206</v>
      </c>
      <c r="B151">
        <v>3036.1</v>
      </c>
      <c r="C151">
        <v>-16.149999999999999</v>
      </c>
      <c r="D151">
        <v>-0.53</v>
      </c>
      <c r="E151">
        <v>29.59</v>
      </c>
      <c r="F151">
        <v>32.130000000000003</v>
      </c>
      <c r="G151">
        <v>78447</v>
      </c>
      <c r="H151">
        <v>58886</v>
      </c>
      <c r="I151">
        <v>265107</v>
      </c>
    </row>
    <row r="152" spans="1:9" hidden="1" x14ac:dyDescent="0.25">
      <c r="A152" s="28" t="s">
        <v>188</v>
      </c>
      <c r="B152">
        <v>2290.5500000000002</v>
      </c>
      <c r="C152">
        <v>-65.75</v>
      </c>
      <c r="D152">
        <v>-2.79</v>
      </c>
      <c r="E152">
        <v>29.42</v>
      </c>
      <c r="F152">
        <v>32.85</v>
      </c>
      <c r="G152">
        <v>175504</v>
      </c>
      <c r="H152">
        <v>160291</v>
      </c>
      <c r="I152">
        <v>596640</v>
      </c>
    </row>
    <row r="153" spans="1:9" hidden="1" x14ac:dyDescent="0.25">
      <c r="A153" s="28" t="s">
        <v>248</v>
      </c>
      <c r="B153">
        <v>539.75</v>
      </c>
      <c r="C153">
        <v>-13.85</v>
      </c>
      <c r="D153">
        <v>-2.5</v>
      </c>
      <c r="E153">
        <v>28.68</v>
      </c>
      <c r="F153">
        <v>21.21</v>
      </c>
      <c r="G153">
        <v>518310</v>
      </c>
      <c r="H153">
        <v>499774</v>
      </c>
      <c r="I153">
        <v>1806975</v>
      </c>
    </row>
    <row r="154" spans="1:9" hidden="1" x14ac:dyDescent="0.25">
      <c r="A154" s="28" t="s">
        <v>187</v>
      </c>
      <c r="B154">
        <v>681.1</v>
      </c>
      <c r="C154">
        <v>-40.549999999999997</v>
      </c>
      <c r="D154">
        <v>-5.62</v>
      </c>
      <c r="E154">
        <v>28.57</v>
      </c>
      <c r="F154">
        <v>28.34</v>
      </c>
      <c r="G154">
        <v>2372926</v>
      </c>
      <c r="H154">
        <v>2770511</v>
      </c>
      <c r="I154">
        <v>8306985</v>
      </c>
    </row>
    <row r="155" spans="1:9" hidden="1" x14ac:dyDescent="0.25">
      <c r="A155" s="28" t="s">
        <v>214</v>
      </c>
      <c r="B155">
        <v>930.05</v>
      </c>
      <c r="C155">
        <v>-27.15</v>
      </c>
      <c r="D155">
        <v>-2.84</v>
      </c>
      <c r="E155">
        <v>28.52</v>
      </c>
      <c r="F155">
        <v>26.91</v>
      </c>
      <c r="G155">
        <v>541318</v>
      </c>
      <c r="H155">
        <v>417325</v>
      </c>
      <c r="I155">
        <v>1897994</v>
      </c>
    </row>
    <row r="156" spans="1:9" hidden="1" x14ac:dyDescent="0.25">
      <c r="A156" s="28" t="s">
        <v>158</v>
      </c>
      <c r="B156">
        <v>1375.6</v>
      </c>
      <c r="C156">
        <v>-124.85</v>
      </c>
      <c r="D156">
        <v>-8.32</v>
      </c>
      <c r="E156" s="28">
        <v>28.14</v>
      </c>
      <c r="F156" s="28">
        <v>20.65</v>
      </c>
      <c r="G156">
        <v>7694095</v>
      </c>
      <c r="H156">
        <v>4737908</v>
      </c>
      <c r="I156">
        <v>27340069</v>
      </c>
    </row>
    <row r="157" spans="1:9" hidden="1" x14ac:dyDescent="0.25">
      <c r="A157" s="28" t="s">
        <v>273</v>
      </c>
      <c r="B157">
        <v>923.7</v>
      </c>
      <c r="C157">
        <v>-41.65</v>
      </c>
      <c r="D157">
        <v>-4.3099999999999996</v>
      </c>
      <c r="E157">
        <v>28.02</v>
      </c>
      <c r="F157">
        <v>41.68</v>
      </c>
      <c r="G157">
        <v>161105</v>
      </c>
      <c r="H157">
        <v>131797</v>
      </c>
      <c r="I157">
        <v>575000</v>
      </c>
    </row>
    <row r="158" spans="1:9" hidden="1" x14ac:dyDescent="0.25">
      <c r="A158" s="28" t="s">
        <v>235</v>
      </c>
      <c r="B158">
        <v>992.05</v>
      </c>
      <c r="C158">
        <v>-37.950000000000003</v>
      </c>
      <c r="D158">
        <v>-3.68</v>
      </c>
      <c r="E158" s="28">
        <v>27.94</v>
      </c>
      <c r="F158" s="28">
        <v>23.57</v>
      </c>
      <c r="G158">
        <v>261026</v>
      </c>
      <c r="H158">
        <v>585364</v>
      </c>
      <c r="I158">
        <v>934309</v>
      </c>
    </row>
    <row r="159" spans="1:9" hidden="1" x14ac:dyDescent="0.25">
      <c r="A159" s="28" t="s">
        <v>156</v>
      </c>
      <c r="B159">
        <v>847.3</v>
      </c>
      <c r="C159">
        <v>5.9</v>
      </c>
      <c r="D159">
        <v>0.7</v>
      </c>
      <c r="E159">
        <v>27.52</v>
      </c>
      <c r="F159">
        <v>22.42</v>
      </c>
      <c r="G159">
        <v>1041079</v>
      </c>
      <c r="H159">
        <v>1119929</v>
      </c>
      <c r="I159">
        <v>3782381</v>
      </c>
    </row>
    <row r="160" spans="1:9" hidden="1" x14ac:dyDescent="0.25">
      <c r="A160" s="28" t="s">
        <v>245</v>
      </c>
      <c r="B160" s="28">
        <v>277.60000000000002</v>
      </c>
      <c r="C160">
        <v>9.85</v>
      </c>
      <c r="D160">
        <v>3.68</v>
      </c>
      <c r="E160" s="28">
        <v>27.37</v>
      </c>
      <c r="F160" s="28">
        <v>26.5</v>
      </c>
      <c r="G160" s="28">
        <v>7083244</v>
      </c>
      <c r="H160" s="28">
        <v>3653296</v>
      </c>
      <c r="I160" s="28">
        <v>25875824</v>
      </c>
    </row>
    <row r="161" spans="1:9" hidden="1" x14ac:dyDescent="0.25">
      <c r="A161" s="28" t="s">
        <v>262</v>
      </c>
      <c r="B161">
        <v>79.2</v>
      </c>
      <c r="C161">
        <v>-2.4500000000000002</v>
      </c>
      <c r="D161">
        <v>-3</v>
      </c>
      <c r="E161">
        <v>27.28</v>
      </c>
      <c r="F161">
        <v>26.02</v>
      </c>
      <c r="G161">
        <v>2036696</v>
      </c>
      <c r="H161">
        <v>1857162</v>
      </c>
      <c r="I161">
        <v>7467171</v>
      </c>
    </row>
    <row r="162" spans="1:9" hidden="1" x14ac:dyDescent="0.25">
      <c r="A162" s="28" t="s">
        <v>205</v>
      </c>
      <c r="B162" s="28">
        <v>5392.35</v>
      </c>
      <c r="C162">
        <v>-89.75</v>
      </c>
      <c r="D162">
        <v>-1.64</v>
      </c>
      <c r="E162" s="28">
        <v>27.12</v>
      </c>
      <c r="F162" s="28">
        <v>29.18</v>
      </c>
      <c r="G162" s="28">
        <v>39978</v>
      </c>
      <c r="H162" s="28">
        <v>81470</v>
      </c>
      <c r="I162" s="28">
        <v>147435</v>
      </c>
    </row>
    <row r="163" spans="1:9" hidden="1" x14ac:dyDescent="0.25">
      <c r="A163" s="28" t="s">
        <v>181</v>
      </c>
      <c r="B163">
        <v>666.2</v>
      </c>
      <c r="C163">
        <v>-14.5</v>
      </c>
      <c r="D163">
        <v>-2.13</v>
      </c>
      <c r="E163">
        <v>26.73</v>
      </c>
      <c r="F163">
        <v>37.49</v>
      </c>
      <c r="G163">
        <v>374832</v>
      </c>
      <c r="H163">
        <v>496219</v>
      </c>
      <c r="I163">
        <v>1402309</v>
      </c>
    </row>
    <row r="164" spans="1:9" hidden="1" x14ac:dyDescent="0.25">
      <c r="A164" s="28" t="s">
        <v>256</v>
      </c>
      <c r="B164">
        <v>2646.3</v>
      </c>
      <c r="C164">
        <v>-72.75</v>
      </c>
      <c r="D164">
        <v>-2.68</v>
      </c>
      <c r="E164" s="28">
        <v>26.32</v>
      </c>
      <c r="F164" s="28">
        <v>20.52</v>
      </c>
      <c r="G164">
        <v>435808</v>
      </c>
      <c r="H164">
        <v>384143</v>
      </c>
      <c r="I164">
        <v>1656007</v>
      </c>
    </row>
    <row r="165" spans="1:9" hidden="1" x14ac:dyDescent="0.25">
      <c r="A165" s="28" t="s">
        <v>268</v>
      </c>
      <c r="B165">
        <v>158.30000000000001</v>
      </c>
      <c r="C165">
        <v>-7.2</v>
      </c>
      <c r="D165">
        <v>-4.3499999999999996</v>
      </c>
      <c r="E165">
        <v>25.69</v>
      </c>
      <c r="F165">
        <v>22.84</v>
      </c>
      <c r="G165">
        <v>1885783</v>
      </c>
      <c r="H165">
        <v>2092900</v>
      </c>
      <c r="I165">
        <v>7339127</v>
      </c>
    </row>
    <row r="166" spans="1:9" hidden="1" x14ac:dyDescent="0.25">
      <c r="A166" s="28" t="s">
        <v>197</v>
      </c>
      <c r="B166">
        <v>1658.5</v>
      </c>
      <c r="C166">
        <v>-38.950000000000003</v>
      </c>
      <c r="D166">
        <v>-2.29</v>
      </c>
      <c r="E166" s="28">
        <v>25.4</v>
      </c>
      <c r="F166" s="28">
        <v>21.95</v>
      </c>
      <c r="G166">
        <v>216447</v>
      </c>
      <c r="H166">
        <v>165804</v>
      </c>
      <c r="I166">
        <v>852318</v>
      </c>
    </row>
    <row r="167" spans="1:9" hidden="1" x14ac:dyDescent="0.25">
      <c r="A167" s="28" t="s">
        <v>196</v>
      </c>
      <c r="B167">
        <v>4746.5</v>
      </c>
      <c r="C167">
        <v>-41.4</v>
      </c>
      <c r="D167">
        <v>-0.86</v>
      </c>
      <c r="E167">
        <v>24.67</v>
      </c>
      <c r="F167">
        <v>20.29</v>
      </c>
      <c r="G167">
        <v>575091</v>
      </c>
      <c r="H167">
        <v>714257</v>
      </c>
      <c r="I167">
        <v>2331020</v>
      </c>
    </row>
    <row r="168" spans="1:9" hidden="1" x14ac:dyDescent="0.25">
      <c r="A168" s="28" t="s">
        <v>287</v>
      </c>
      <c r="B168">
        <v>8889.1</v>
      </c>
      <c r="C168">
        <v>-94.45</v>
      </c>
      <c r="D168">
        <v>-1.05</v>
      </c>
      <c r="E168">
        <v>24.59</v>
      </c>
      <c r="F168">
        <v>27.88</v>
      </c>
      <c r="G168">
        <v>37318</v>
      </c>
      <c r="H168">
        <v>51631</v>
      </c>
      <c r="I168">
        <v>151757</v>
      </c>
    </row>
    <row r="169" spans="1:9" hidden="1" x14ac:dyDescent="0.25">
      <c r="A169" s="28" t="s">
        <v>260</v>
      </c>
      <c r="B169">
        <v>376.85</v>
      </c>
      <c r="C169">
        <v>-31.15</v>
      </c>
      <c r="D169">
        <v>-7.63</v>
      </c>
      <c r="E169">
        <v>24.4</v>
      </c>
      <c r="F169">
        <v>18.190000000000001</v>
      </c>
      <c r="G169">
        <v>3848523</v>
      </c>
      <c r="H169">
        <v>2021244</v>
      </c>
      <c r="I169">
        <v>15773398</v>
      </c>
    </row>
    <row r="170" spans="1:9" hidden="1" x14ac:dyDescent="0.25">
      <c r="A170" s="28" t="s">
        <v>145</v>
      </c>
      <c r="B170" s="28">
        <v>684.6</v>
      </c>
      <c r="C170">
        <v>-52.85</v>
      </c>
      <c r="D170">
        <v>-7.17</v>
      </c>
      <c r="E170" s="28">
        <v>23.97</v>
      </c>
      <c r="F170" s="28">
        <v>20.94</v>
      </c>
      <c r="G170" s="28">
        <v>3146803</v>
      </c>
      <c r="H170" s="28">
        <v>1684829</v>
      </c>
      <c r="I170" s="28">
        <v>13126219</v>
      </c>
    </row>
    <row r="171" spans="1:9" hidden="1" x14ac:dyDescent="0.25">
      <c r="A171" s="28" t="s">
        <v>182</v>
      </c>
      <c r="B171">
        <v>2217.9</v>
      </c>
      <c r="C171">
        <v>-8.8000000000000007</v>
      </c>
      <c r="D171">
        <v>-0.4</v>
      </c>
      <c r="E171">
        <v>23.92</v>
      </c>
      <c r="F171">
        <v>19.37</v>
      </c>
      <c r="G171">
        <v>61632</v>
      </c>
      <c r="H171">
        <v>122914</v>
      </c>
      <c r="I171">
        <v>257647</v>
      </c>
    </row>
    <row r="172" spans="1:9" hidden="1" x14ac:dyDescent="0.25">
      <c r="A172" s="28" t="s">
        <v>229</v>
      </c>
      <c r="B172">
        <v>4906.7</v>
      </c>
      <c r="C172">
        <v>-69.150000000000006</v>
      </c>
      <c r="D172">
        <v>-1.39</v>
      </c>
      <c r="E172">
        <v>23.87</v>
      </c>
      <c r="F172">
        <v>33.74</v>
      </c>
      <c r="G172">
        <v>106142</v>
      </c>
      <c r="H172">
        <v>158370</v>
      </c>
      <c r="I172">
        <v>444577</v>
      </c>
    </row>
    <row r="173" spans="1:9" hidden="1" x14ac:dyDescent="0.25">
      <c r="A173" s="28" t="s">
        <v>302</v>
      </c>
      <c r="B173" s="28">
        <v>147.25</v>
      </c>
      <c r="C173">
        <v>-3.25</v>
      </c>
      <c r="D173">
        <v>-2.16</v>
      </c>
      <c r="E173" s="28">
        <v>23.81</v>
      </c>
      <c r="F173" s="28">
        <v>27</v>
      </c>
      <c r="G173" s="28">
        <v>311838</v>
      </c>
      <c r="H173" s="28">
        <v>319396</v>
      </c>
      <c r="I173" s="28">
        <v>1309776</v>
      </c>
    </row>
    <row r="174" spans="1:9" hidden="1" x14ac:dyDescent="0.25">
      <c r="A174" s="28" t="s">
        <v>199</v>
      </c>
      <c r="B174">
        <v>819.25</v>
      </c>
      <c r="C174">
        <v>5.55</v>
      </c>
      <c r="D174">
        <v>0.68</v>
      </c>
      <c r="E174">
        <v>23.72</v>
      </c>
      <c r="F174">
        <v>32.67</v>
      </c>
      <c r="G174">
        <v>675338</v>
      </c>
      <c r="H174">
        <v>359651</v>
      </c>
      <c r="I174">
        <v>2847708</v>
      </c>
    </row>
    <row r="175" spans="1:9" hidden="1" x14ac:dyDescent="0.25">
      <c r="A175" s="28" t="s">
        <v>238</v>
      </c>
      <c r="B175">
        <v>3852.65</v>
      </c>
      <c r="C175">
        <v>-151.5</v>
      </c>
      <c r="D175">
        <v>-3.78</v>
      </c>
      <c r="E175">
        <v>23.58</v>
      </c>
      <c r="F175">
        <v>20.71</v>
      </c>
      <c r="G175">
        <v>95617</v>
      </c>
      <c r="H175">
        <v>78486</v>
      </c>
      <c r="I175">
        <v>405568</v>
      </c>
    </row>
    <row r="176" spans="1:9" hidden="1" x14ac:dyDescent="0.25">
      <c r="A176" s="28" t="s">
        <v>247</v>
      </c>
      <c r="B176">
        <v>27.55</v>
      </c>
      <c r="C176">
        <v>-1.3</v>
      </c>
      <c r="D176">
        <v>-4.51</v>
      </c>
      <c r="E176">
        <v>23.11</v>
      </c>
      <c r="F176">
        <v>21.18</v>
      </c>
      <c r="G176">
        <v>2068643</v>
      </c>
      <c r="H176">
        <v>3302781</v>
      </c>
      <c r="I176">
        <v>8949395</v>
      </c>
    </row>
    <row r="177" spans="1:9" hidden="1" x14ac:dyDescent="0.25">
      <c r="A177" s="28" t="s">
        <v>271</v>
      </c>
      <c r="B177">
        <v>2848</v>
      </c>
      <c r="C177">
        <v>3.75</v>
      </c>
      <c r="D177">
        <v>0.13</v>
      </c>
      <c r="E177">
        <v>22.87</v>
      </c>
      <c r="F177">
        <v>31.52</v>
      </c>
      <c r="G177">
        <v>151865</v>
      </c>
      <c r="H177">
        <v>212105</v>
      </c>
      <c r="I177">
        <v>664079</v>
      </c>
    </row>
    <row r="178" spans="1:9" hidden="1" x14ac:dyDescent="0.25">
      <c r="A178" s="28" t="s">
        <v>186</v>
      </c>
      <c r="B178">
        <v>4918.25</v>
      </c>
      <c r="C178">
        <v>-63.55</v>
      </c>
      <c r="D178">
        <v>-1.28</v>
      </c>
      <c r="E178">
        <v>22.47</v>
      </c>
      <c r="F178">
        <v>25.57</v>
      </c>
      <c r="G178">
        <v>86241</v>
      </c>
      <c r="H178">
        <v>86336</v>
      </c>
      <c r="I178">
        <v>383809</v>
      </c>
    </row>
    <row r="179" spans="1:9" hidden="1" x14ac:dyDescent="0.25">
      <c r="A179" s="28" t="s">
        <v>220</v>
      </c>
      <c r="B179" s="28">
        <v>51.65</v>
      </c>
      <c r="C179">
        <v>-2.8</v>
      </c>
      <c r="D179">
        <v>-5.14</v>
      </c>
      <c r="E179" s="28">
        <v>21.7</v>
      </c>
      <c r="F179" s="28">
        <v>18.28</v>
      </c>
      <c r="G179" s="28">
        <v>7694692</v>
      </c>
      <c r="H179" s="28">
        <v>6061565</v>
      </c>
      <c r="I179" s="28">
        <v>35462206</v>
      </c>
    </row>
    <row r="180" spans="1:9" hidden="1" x14ac:dyDescent="0.25">
      <c r="A180" s="28" t="s">
        <v>249</v>
      </c>
      <c r="B180">
        <v>639.6</v>
      </c>
      <c r="C180">
        <v>19.5</v>
      </c>
      <c r="D180">
        <v>3.14</v>
      </c>
      <c r="E180">
        <v>21.34</v>
      </c>
      <c r="F180">
        <v>31.53</v>
      </c>
      <c r="G180">
        <v>81648</v>
      </c>
      <c r="H180">
        <v>55917</v>
      </c>
      <c r="I180">
        <v>382575</v>
      </c>
    </row>
    <row r="181" spans="1:9" hidden="1" x14ac:dyDescent="0.25">
      <c r="A181" s="28" t="s">
        <v>293</v>
      </c>
      <c r="B181">
        <v>897.2</v>
      </c>
      <c r="C181">
        <v>-3.55</v>
      </c>
      <c r="D181">
        <v>-0.39</v>
      </c>
      <c r="E181">
        <v>21.17</v>
      </c>
      <c r="F181">
        <v>35.86</v>
      </c>
      <c r="G181">
        <v>186205</v>
      </c>
      <c r="H181">
        <v>251506</v>
      </c>
      <c r="I181">
        <v>879721</v>
      </c>
    </row>
    <row r="182" spans="1:9" hidden="1" x14ac:dyDescent="0.25">
      <c r="A182" s="28" t="s">
        <v>191</v>
      </c>
      <c r="B182">
        <v>1452.2</v>
      </c>
      <c r="C182">
        <v>-43.2</v>
      </c>
      <c r="D182">
        <v>-2.89</v>
      </c>
      <c r="E182">
        <v>20.7</v>
      </c>
      <c r="F182">
        <v>25.28</v>
      </c>
      <c r="G182">
        <v>158038</v>
      </c>
      <c r="H182">
        <v>287779</v>
      </c>
      <c r="I182">
        <v>763486</v>
      </c>
    </row>
    <row r="183" spans="1:9" hidden="1" x14ac:dyDescent="0.25">
      <c r="A183" s="28" t="s">
        <v>213</v>
      </c>
      <c r="B183">
        <v>1301.3499999999999</v>
      </c>
      <c r="C183">
        <v>-37.65</v>
      </c>
      <c r="D183">
        <v>-2.81</v>
      </c>
      <c r="E183">
        <v>19.47</v>
      </c>
      <c r="F183">
        <v>23.18</v>
      </c>
      <c r="G183">
        <v>191484</v>
      </c>
      <c r="H183">
        <v>241525</v>
      </c>
      <c r="I183">
        <v>983443</v>
      </c>
    </row>
    <row r="184" spans="1:9" hidden="1" x14ac:dyDescent="0.25">
      <c r="A184" s="28" t="s">
        <v>168</v>
      </c>
      <c r="B184">
        <v>309</v>
      </c>
      <c r="C184">
        <v>-18.100000000000001</v>
      </c>
      <c r="D184">
        <v>-5.53</v>
      </c>
      <c r="E184">
        <v>19.190000000000001</v>
      </c>
      <c r="F184">
        <v>18.68</v>
      </c>
      <c r="G184">
        <v>1499587</v>
      </c>
      <c r="H184">
        <v>1215378</v>
      </c>
      <c r="I184">
        <v>7814607</v>
      </c>
    </row>
    <row r="185" spans="1:9" hidden="1" x14ac:dyDescent="0.25">
      <c r="A185" s="28" t="s">
        <v>223</v>
      </c>
      <c r="B185">
        <v>1742.6</v>
      </c>
      <c r="C185">
        <v>-16.899999999999999</v>
      </c>
      <c r="D185">
        <v>-0.96</v>
      </c>
      <c r="E185" s="28">
        <v>18.739999999999998</v>
      </c>
      <c r="F185" s="28">
        <v>23.74</v>
      </c>
      <c r="G185">
        <v>247693</v>
      </c>
      <c r="H185">
        <v>212961</v>
      </c>
      <c r="I185">
        <v>1321417</v>
      </c>
    </row>
    <row r="186" spans="1:9" hidden="1" x14ac:dyDescent="0.25">
      <c r="A186" s="28" t="s">
        <v>198</v>
      </c>
      <c r="B186">
        <v>3968.2</v>
      </c>
      <c r="C186">
        <v>-72.2</v>
      </c>
      <c r="D186">
        <v>-1.79</v>
      </c>
      <c r="E186">
        <v>18.670000000000002</v>
      </c>
      <c r="F186">
        <v>17.86</v>
      </c>
      <c r="G186">
        <v>169293</v>
      </c>
      <c r="H186">
        <v>182605</v>
      </c>
      <c r="I186">
        <v>906812</v>
      </c>
    </row>
    <row r="187" spans="1:9" hidden="1" x14ac:dyDescent="0.25">
      <c r="A187" s="28" t="s">
        <v>127</v>
      </c>
      <c r="B187">
        <v>14978.55</v>
      </c>
      <c r="C187">
        <v>-27.8</v>
      </c>
      <c r="D187">
        <v>-0.19</v>
      </c>
      <c r="E187">
        <v>18.649999999999999</v>
      </c>
      <c r="F187">
        <v>17.18</v>
      </c>
      <c r="G187">
        <v>51307</v>
      </c>
      <c r="H187">
        <v>44867</v>
      </c>
      <c r="I187">
        <v>275052</v>
      </c>
    </row>
    <row r="188" spans="1:9" hidden="1" x14ac:dyDescent="0.25">
      <c r="A188" s="28" t="s">
        <v>299</v>
      </c>
      <c r="B188">
        <v>839.35</v>
      </c>
      <c r="C188">
        <v>-20.2</v>
      </c>
      <c r="D188">
        <v>-2.35</v>
      </c>
      <c r="E188">
        <v>17.77</v>
      </c>
      <c r="F188">
        <v>20.86</v>
      </c>
      <c r="G188">
        <v>326800</v>
      </c>
      <c r="H188">
        <v>499892</v>
      </c>
      <c r="I188">
        <v>1839507</v>
      </c>
    </row>
    <row r="189" spans="1:9" hidden="1" x14ac:dyDescent="0.25">
      <c r="A189" s="28" t="s">
        <v>263</v>
      </c>
      <c r="B189">
        <v>3864.55</v>
      </c>
      <c r="C189">
        <v>40.549999999999997</v>
      </c>
      <c r="D189">
        <v>1.06</v>
      </c>
      <c r="E189">
        <v>17.399999999999999</v>
      </c>
      <c r="F189">
        <v>20.399999999999999</v>
      </c>
      <c r="G189">
        <v>122956</v>
      </c>
      <c r="H189">
        <v>94905</v>
      </c>
      <c r="I189">
        <v>706683</v>
      </c>
    </row>
    <row r="190" spans="1:9" hidden="1" x14ac:dyDescent="0.25">
      <c r="A190" s="28" t="s">
        <v>193</v>
      </c>
      <c r="B190">
        <v>3804.45</v>
      </c>
      <c r="C190">
        <v>2.25</v>
      </c>
      <c r="D190">
        <v>0.06</v>
      </c>
      <c r="E190">
        <v>16.96</v>
      </c>
      <c r="F190">
        <v>26.87</v>
      </c>
      <c r="G190">
        <v>63308</v>
      </c>
      <c r="H190">
        <v>63210</v>
      </c>
      <c r="I190">
        <v>373322</v>
      </c>
    </row>
    <row r="191" spans="1:9" hidden="1" x14ac:dyDescent="0.25">
      <c r="A191" s="28" t="s">
        <v>270</v>
      </c>
      <c r="B191">
        <v>3345.05</v>
      </c>
      <c r="C191">
        <v>148.75</v>
      </c>
      <c r="D191">
        <v>4.6500000000000004</v>
      </c>
      <c r="E191">
        <v>16.420000000000002</v>
      </c>
      <c r="F191">
        <v>16.690000000000001</v>
      </c>
      <c r="G191">
        <v>672141</v>
      </c>
      <c r="H191">
        <v>323197</v>
      </c>
      <c r="I191">
        <v>4092939</v>
      </c>
    </row>
    <row r="192" spans="1:9" hidden="1" x14ac:dyDescent="0.25">
      <c r="A192" s="28" t="s">
        <v>185</v>
      </c>
      <c r="B192">
        <v>703.9</v>
      </c>
      <c r="C192">
        <v>-20.55</v>
      </c>
      <c r="D192">
        <v>-2.84</v>
      </c>
      <c r="E192">
        <v>15.75</v>
      </c>
      <c r="F192">
        <v>18.3</v>
      </c>
      <c r="G192">
        <v>995274</v>
      </c>
      <c r="H192">
        <v>1001392</v>
      </c>
      <c r="I192">
        <v>6318744</v>
      </c>
    </row>
    <row r="193" spans="1:9" hidden="1" x14ac:dyDescent="0.25">
      <c r="A193" s="28" t="s">
        <v>122</v>
      </c>
      <c r="B193">
        <v>687.2</v>
      </c>
      <c r="C193">
        <v>-18.2</v>
      </c>
      <c r="D193">
        <v>-2.58</v>
      </c>
      <c r="E193" s="28">
        <v>15.6</v>
      </c>
      <c r="F193" s="28">
        <v>17.43</v>
      </c>
      <c r="G193">
        <v>978631</v>
      </c>
      <c r="H193">
        <v>1068963</v>
      </c>
      <c r="I193">
        <v>6274741</v>
      </c>
    </row>
    <row r="194" spans="1:9" hidden="1" x14ac:dyDescent="0.25">
      <c r="A194" s="28" t="s">
        <v>253</v>
      </c>
      <c r="B194">
        <v>714.35</v>
      </c>
      <c r="C194">
        <v>-11.15</v>
      </c>
      <c r="D194">
        <v>-1.54</v>
      </c>
      <c r="E194">
        <v>15.33</v>
      </c>
      <c r="F194">
        <v>23.88</v>
      </c>
      <c r="G194">
        <v>170237</v>
      </c>
      <c r="H194">
        <v>341331</v>
      </c>
      <c r="I194">
        <v>1110325</v>
      </c>
    </row>
    <row r="195" spans="1:9" hidden="1" x14ac:dyDescent="0.25">
      <c r="A195" s="28" t="s">
        <v>257</v>
      </c>
      <c r="B195">
        <v>224.15</v>
      </c>
      <c r="C195">
        <v>-17.2</v>
      </c>
      <c r="D195">
        <v>-7.13</v>
      </c>
      <c r="E195">
        <v>15.03</v>
      </c>
      <c r="F195">
        <v>18.64</v>
      </c>
      <c r="G195">
        <v>2819300</v>
      </c>
      <c r="H195">
        <v>2359815</v>
      </c>
      <c r="I195">
        <v>18756243</v>
      </c>
    </row>
    <row r="196" spans="1:9" hidden="1" x14ac:dyDescent="0.25">
      <c r="A196" s="28" t="s">
        <v>226</v>
      </c>
      <c r="B196">
        <v>1180.8</v>
      </c>
      <c r="C196">
        <v>84.45</v>
      </c>
      <c r="D196">
        <v>7.7</v>
      </c>
      <c r="E196">
        <v>13.81</v>
      </c>
      <c r="F196">
        <v>23.13</v>
      </c>
      <c r="G196">
        <v>123378</v>
      </c>
      <c r="H196">
        <v>54045</v>
      </c>
      <c r="I196">
        <v>893092</v>
      </c>
    </row>
    <row r="197" spans="1:9" hidden="1" x14ac:dyDescent="0.25">
      <c r="A197" s="28" t="s">
        <v>201</v>
      </c>
      <c r="B197" s="28">
        <v>2636.4</v>
      </c>
      <c r="C197">
        <v>-65.099999999999994</v>
      </c>
      <c r="D197">
        <v>-2.41</v>
      </c>
      <c r="E197" s="28">
        <v>8.5</v>
      </c>
      <c r="F197" s="28">
        <v>14.7</v>
      </c>
      <c r="G197" s="28">
        <v>66351</v>
      </c>
      <c r="H197" s="28">
        <v>100445</v>
      </c>
      <c r="I197" s="28">
        <v>780172</v>
      </c>
    </row>
  </sheetData>
  <phoneticPr fontId="9" type="noConversion"/>
  <conditionalFormatting sqref="C1:D1048576">
    <cfRule type="colorScale" priority="3">
      <colorScale>
        <cfvo type="num" val="0"/>
        <cfvo type="num" val="1"/>
        <cfvo type="num" val="2"/>
        <color rgb="FFF8696B"/>
        <color rgb="FFFFEB84"/>
        <color rgb="FF63BE7B"/>
      </colorScale>
    </cfRule>
  </conditionalFormatting>
  <conditionalFormatting sqref="E1:F1048576">
    <cfRule type="colorScale" priority="2">
      <colorScale>
        <cfvo type="num" val="45"/>
        <cfvo type="num" val="50"/>
        <cfvo type="num" val="6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C5DB7-930F-4B1B-BE30-4C24F9D319CD}">
  <sheetPr codeName="Sheet7"/>
  <dimension ref="A1:L1048468"/>
  <sheetViews>
    <sheetView workbookViewId="0">
      <selection activeCell="K51" sqref="K51:K52"/>
    </sheetView>
  </sheetViews>
  <sheetFormatPr defaultRowHeight="15" x14ac:dyDescent="0.25"/>
  <cols>
    <col min="1" max="1" width="14.5703125" bestFit="1" customWidth="1"/>
    <col min="2" max="2" width="9.42578125" bestFit="1" customWidth="1"/>
    <col min="3" max="3" width="10.42578125" bestFit="1" customWidth="1"/>
    <col min="4" max="5" width="14.7109375" bestFit="1" customWidth="1"/>
    <col min="6" max="6" width="14.140625" bestFit="1" customWidth="1"/>
    <col min="7" max="7" width="15.140625" bestFit="1" customWidth="1"/>
    <col min="8" max="8" width="13.5703125" bestFit="1" customWidth="1"/>
    <col min="9" max="9" width="17" bestFit="1" customWidth="1"/>
    <col min="10" max="10" width="13.140625" bestFit="1" customWidth="1"/>
    <col min="11" max="11" width="13" customWidth="1"/>
    <col min="12" max="12" width="10.140625" style="29" bestFit="1" customWidth="1"/>
  </cols>
  <sheetData>
    <row r="1" spans="1:12" x14ac:dyDescent="0.25">
      <c r="A1" t="s">
        <v>0</v>
      </c>
      <c r="B1" s="28" t="s">
        <v>311</v>
      </c>
      <c r="C1" s="28" t="s">
        <v>312</v>
      </c>
      <c r="D1" s="28" t="s">
        <v>313</v>
      </c>
      <c r="E1" s="28" t="s">
        <v>314</v>
      </c>
      <c r="F1" s="28" t="s">
        <v>315</v>
      </c>
      <c r="G1" s="28" t="s">
        <v>316</v>
      </c>
      <c r="H1" s="28" t="s">
        <v>317</v>
      </c>
      <c r="I1" s="28" t="s">
        <v>318</v>
      </c>
      <c r="J1" s="28" t="s">
        <v>319</v>
      </c>
      <c r="K1" s="28" t="s">
        <v>320</v>
      </c>
      <c r="L1" s="29" t="s">
        <v>1629</v>
      </c>
    </row>
    <row r="2" spans="1:12" hidden="1" x14ac:dyDescent="0.25">
      <c r="A2" s="28" t="s">
        <v>1802</v>
      </c>
      <c r="B2" s="28" t="s">
        <v>321</v>
      </c>
      <c r="C2" s="30">
        <v>44428</v>
      </c>
      <c r="D2" s="28">
        <v>3800</v>
      </c>
      <c r="E2" s="28">
        <v>3800</v>
      </c>
      <c r="F2" s="28">
        <v>3800</v>
      </c>
      <c r="G2" s="28">
        <v>3800</v>
      </c>
      <c r="H2" s="28">
        <v>3800</v>
      </c>
      <c r="I2" s="28">
        <v>1</v>
      </c>
      <c r="J2" s="28">
        <v>1</v>
      </c>
      <c r="K2" s="28">
        <v>100</v>
      </c>
      <c r="L2" s="29">
        <f>SUM(NSE_BhavCopy[[#This Row],[ CLOSE_PRICE]]-NSE_BhavCopy[[#This Row],[ PREV_CLOSE]])/NSE_BhavCopy[[#This Row],[ PREV_CLOSE]]*100</f>
        <v>0</v>
      </c>
    </row>
    <row r="3" spans="1:12" hidden="1" x14ac:dyDescent="0.25">
      <c r="A3" s="28" t="s">
        <v>1704</v>
      </c>
      <c r="B3" s="28" t="s">
        <v>321</v>
      </c>
      <c r="C3" s="30">
        <v>44428</v>
      </c>
      <c r="D3" s="28">
        <v>89.25</v>
      </c>
      <c r="E3" s="28">
        <v>84.8</v>
      </c>
      <c r="F3" s="28">
        <v>84.8</v>
      </c>
      <c r="G3" s="28">
        <v>84.8</v>
      </c>
      <c r="H3" s="28">
        <v>84.8</v>
      </c>
      <c r="I3" s="28">
        <v>5563</v>
      </c>
      <c r="J3" s="28">
        <v>5563</v>
      </c>
      <c r="K3" s="28">
        <v>100</v>
      </c>
      <c r="L3" s="29">
        <f>SUM(NSE_BhavCopy[[#This Row],[ CLOSE_PRICE]]-NSE_BhavCopy[[#This Row],[ PREV_CLOSE]])/NSE_BhavCopy[[#This Row],[ PREV_CLOSE]]*100</f>
        <v>-4.9859943977591064</v>
      </c>
    </row>
    <row r="4" spans="1:12" hidden="1" x14ac:dyDescent="0.25">
      <c r="A4" s="28" t="s">
        <v>769</v>
      </c>
      <c r="B4" s="28" t="s">
        <v>321</v>
      </c>
      <c r="C4" s="30">
        <v>44428</v>
      </c>
      <c r="D4" s="28">
        <v>44.85</v>
      </c>
      <c r="E4" s="28">
        <v>42.65</v>
      </c>
      <c r="F4" s="28">
        <v>42.65</v>
      </c>
      <c r="G4" s="28">
        <v>42.65</v>
      </c>
      <c r="H4" s="28">
        <v>42.65</v>
      </c>
      <c r="I4" s="28">
        <v>2819</v>
      </c>
      <c r="J4" s="28">
        <v>2819</v>
      </c>
      <c r="K4" s="28">
        <v>100</v>
      </c>
      <c r="L4" s="29">
        <f>SUM(NSE_BhavCopy[[#This Row],[ CLOSE_PRICE]]-NSE_BhavCopy[[#This Row],[ PREV_CLOSE]])/NSE_BhavCopy[[#This Row],[ PREV_CLOSE]]*100</f>
        <v>-4.9052396878483897</v>
      </c>
    </row>
    <row r="5" spans="1:12" hidden="1" x14ac:dyDescent="0.25">
      <c r="A5" s="28" t="s">
        <v>1728</v>
      </c>
      <c r="B5" s="28" t="s">
        <v>321</v>
      </c>
      <c r="C5" s="30">
        <v>44428</v>
      </c>
      <c r="D5" s="28">
        <v>21.3</v>
      </c>
      <c r="E5" s="28">
        <v>20.25</v>
      </c>
      <c r="F5" s="28">
        <v>20.25</v>
      </c>
      <c r="G5" s="28">
        <v>20.25</v>
      </c>
      <c r="H5" s="28">
        <v>20.25</v>
      </c>
      <c r="I5" s="28">
        <v>57599</v>
      </c>
      <c r="J5" s="28">
        <v>57599</v>
      </c>
      <c r="K5" s="28">
        <v>100</v>
      </c>
      <c r="L5" s="29">
        <f>SUM(NSE_BhavCopy[[#This Row],[ CLOSE_PRICE]]-NSE_BhavCopy[[#This Row],[ PREV_CLOSE]])/NSE_BhavCopy[[#This Row],[ PREV_CLOSE]]*100</f>
        <v>-4.9295774647887356</v>
      </c>
    </row>
    <row r="6" spans="1:12" hidden="1" x14ac:dyDescent="0.25">
      <c r="A6" s="28" t="s">
        <v>1783</v>
      </c>
      <c r="B6" s="28" t="s">
        <v>321</v>
      </c>
      <c r="C6" s="30">
        <v>44428</v>
      </c>
      <c r="D6" s="28">
        <v>48.59</v>
      </c>
      <c r="E6" s="28">
        <v>48.63</v>
      </c>
      <c r="F6" s="28">
        <v>48.63</v>
      </c>
      <c r="G6" s="28">
        <v>48.59</v>
      </c>
      <c r="H6" s="28">
        <v>48.61</v>
      </c>
      <c r="I6" s="28">
        <v>2</v>
      </c>
      <c r="J6" s="28">
        <v>2</v>
      </c>
      <c r="K6" s="28">
        <v>100</v>
      </c>
      <c r="L6" s="29">
        <f>SUM(NSE_BhavCopy[[#This Row],[ CLOSE_PRICE]]-NSE_BhavCopy[[#This Row],[ PREV_CLOSE]])/NSE_BhavCopy[[#This Row],[ PREV_CLOSE]]*100</f>
        <v>0</v>
      </c>
    </row>
    <row r="7" spans="1:12" hidden="1" x14ac:dyDescent="0.25">
      <c r="A7" s="28" t="s">
        <v>1740</v>
      </c>
      <c r="B7" s="28" t="s">
        <v>321</v>
      </c>
      <c r="C7" s="30">
        <v>44428</v>
      </c>
      <c r="D7" s="28">
        <v>5.65</v>
      </c>
      <c r="E7" s="28">
        <v>5.4</v>
      </c>
      <c r="F7" s="28">
        <v>5.4</v>
      </c>
      <c r="G7" s="28">
        <v>5.4</v>
      </c>
      <c r="H7" s="28">
        <v>5.4</v>
      </c>
      <c r="I7" s="28">
        <v>18817</v>
      </c>
      <c r="J7" s="28">
        <v>18817</v>
      </c>
      <c r="K7" s="28">
        <v>100</v>
      </c>
      <c r="L7" s="29">
        <f>SUM(NSE_BhavCopy[[#This Row],[ CLOSE_PRICE]]-NSE_BhavCopy[[#This Row],[ PREV_CLOSE]])/NSE_BhavCopy[[#This Row],[ PREV_CLOSE]]*100</f>
        <v>-4.4247787610619467</v>
      </c>
    </row>
    <row r="8" spans="1:12" hidden="1" x14ac:dyDescent="0.25">
      <c r="A8" s="28" t="s">
        <v>1795</v>
      </c>
      <c r="B8" s="28" t="s">
        <v>321</v>
      </c>
      <c r="C8" s="30">
        <v>44428</v>
      </c>
      <c r="D8" s="28">
        <v>1.25</v>
      </c>
      <c r="E8" s="28">
        <v>1.3</v>
      </c>
      <c r="F8" s="28">
        <v>1.3</v>
      </c>
      <c r="G8" s="28">
        <v>1.3</v>
      </c>
      <c r="H8" s="28">
        <v>1.3</v>
      </c>
      <c r="I8" s="28">
        <v>4144</v>
      </c>
      <c r="J8" s="28">
        <v>4144</v>
      </c>
      <c r="K8" s="28">
        <v>100</v>
      </c>
      <c r="L8" s="29">
        <f>SUM(NSE_BhavCopy[[#This Row],[ CLOSE_PRICE]]-NSE_BhavCopy[[#This Row],[ PREV_CLOSE]])/NSE_BhavCopy[[#This Row],[ PREV_CLOSE]]*100</f>
        <v>4.0000000000000036</v>
      </c>
    </row>
    <row r="9" spans="1:12" hidden="1" x14ac:dyDescent="0.25">
      <c r="A9" s="28" t="s">
        <v>1757</v>
      </c>
      <c r="B9" s="28" t="s">
        <v>321</v>
      </c>
      <c r="C9" s="30">
        <v>44428</v>
      </c>
      <c r="D9" s="28">
        <v>1.5</v>
      </c>
      <c r="E9" s="28">
        <v>1.45</v>
      </c>
      <c r="F9" s="28">
        <v>1.45</v>
      </c>
      <c r="G9" s="28">
        <v>1.45</v>
      </c>
      <c r="H9" s="28">
        <v>1.45</v>
      </c>
      <c r="I9" s="28">
        <v>531574</v>
      </c>
      <c r="J9" s="28">
        <v>531574</v>
      </c>
      <c r="K9" s="28">
        <v>100</v>
      </c>
      <c r="L9" s="29">
        <f>SUM(NSE_BhavCopy[[#This Row],[ CLOSE_PRICE]]-NSE_BhavCopy[[#This Row],[ PREV_CLOSE]])/NSE_BhavCopy[[#This Row],[ PREV_CLOSE]]*100</f>
        <v>-3.3333333333333361</v>
      </c>
    </row>
    <row r="10" spans="1:12" hidden="1" x14ac:dyDescent="0.25">
      <c r="A10" s="28" t="s">
        <v>1799</v>
      </c>
      <c r="B10" s="28" t="s">
        <v>321</v>
      </c>
      <c r="C10" s="30">
        <v>44428</v>
      </c>
      <c r="D10" s="28">
        <v>5.6</v>
      </c>
      <c r="E10" s="28">
        <v>5.85</v>
      </c>
      <c r="F10" s="28">
        <v>5.85</v>
      </c>
      <c r="G10" s="28">
        <v>5.85</v>
      </c>
      <c r="H10" s="28">
        <v>5.85</v>
      </c>
      <c r="I10" s="28">
        <v>1001</v>
      </c>
      <c r="J10" s="28">
        <v>1001</v>
      </c>
      <c r="K10" s="28">
        <v>100</v>
      </c>
      <c r="L10" s="29">
        <f>SUM(NSE_BhavCopy[[#This Row],[ CLOSE_PRICE]]-NSE_BhavCopy[[#This Row],[ PREV_CLOSE]])/NSE_BhavCopy[[#This Row],[ PREV_CLOSE]]*100</f>
        <v>4.4642857142857144</v>
      </c>
    </row>
    <row r="11" spans="1:12" hidden="1" x14ac:dyDescent="0.25">
      <c r="A11" s="28" t="s">
        <v>1085</v>
      </c>
      <c r="B11" s="28" t="s">
        <v>321</v>
      </c>
      <c r="C11" s="30">
        <v>44428</v>
      </c>
      <c r="D11" s="28">
        <v>93</v>
      </c>
      <c r="E11" s="28">
        <v>88.35</v>
      </c>
      <c r="F11" s="28">
        <v>88.35</v>
      </c>
      <c r="G11" s="28">
        <v>88.35</v>
      </c>
      <c r="H11" s="28">
        <v>88.35</v>
      </c>
      <c r="I11" s="28">
        <v>27956</v>
      </c>
      <c r="J11" s="28">
        <v>27952</v>
      </c>
      <c r="K11" s="28">
        <v>99.99</v>
      </c>
      <c r="L11" s="29">
        <f>SUM(NSE_BhavCopy[[#This Row],[ CLOSE_PRICE]]-NSE_BhavCopy[[#This Row],[ PREV_CLOSE]])/NSE_BhavCopy[[#This Row],[ PREV_CLOSE]]*100</f>
        <v>-5.0000000000000062</v>
      </c>
    </row>
    <row r="12" spans="1:12" hidden="1" x14ac:dyDescent="0.25">
      <c r="A12" s="28" t="s">
        <v>1151</v>
      </c>
      <c r="B12" s="28" t="s">
        <v>321</v>
      </c>
      <c r="C12" s="30">
        <v>44428</v>
      </c>
      <c r="D12" s="28">
        <v>104.79</v>
      </c>
      <c r="E12" s="28">
        <v>104.98</v>
      </c>
      <c r="F12" s="28">
        <v>104.98</v>
      </c>
      <c r="G12" s="28">
        <v>104.92</v>
      </c>
      <c r="H12" s="28">
        <v>104.9</v>
      </c>
      <c r="I12" s="28">
        <v>198272</v>
      </c>
      <c r="J12" s="28">
        <v>198262</v>
      </c>
      <c r="K12" s="28">
        <v>99.99</v>
      </c>
      <c r="L12" s="29">
        <f>SUM(NSE_BhavCopy[[#This Row],[ CLOSE_PRICE]]-NSE_BhavCopy[[#This Row],[ PREV_CLOSE]])/NSE_BhavCopy[[#This Row],[ PREV_CLOSE]]*100</f>
        <v>0.12405763908769486</v>
      </c>
    </row>
    <row r="13" spans="1:12" hidden="1" x14ac:dyDescent="0.25">
      <c r="A13" s="28" t="s">
        <v>402</v>
      </c>
      <c r="B13" s="28" t="s">
        <v>321</v>
      </c>
      <c r="C13" s="30">
        <v>44428</v>
      </c>
      <c r="D13" s="28">
        <v>23.75</v>
      </c>
      <c r="E13" s="28">
        <v>24.9</v>
      </c>
      <c r="F13" s="28">
        <v>24.9</v>
      </c>
      <c r="G13" s="28">
        <v>24.9</v>
      </c>
      <c r="H13" s="28">
        <v>24.9</v>
      </c>
      <c r="I13" s="28">
        <v>3209</v>
      </c>
      <c r="J13" s="28">
        <v>3208</v>
      </c>
      <c r="K13" s="28">
        <v>99.97</v>
      </c>
      <c r="L13" s="29">
        <f>SUM(NSE_BhavCopy[[#This Row],[ CLOSE_PRICE]]-NSE_BhavCopy[[#This Row],[ PREV_CLOSE]])/NSE_BhavCopy[[#This Row],[ PREV_CLOSE]]*100</f>
        <v>4.8421052631578885</v>
      </c>
    </row>
    <row r="14" spans="1:12" hidden="1" x14ac:dyDescent="0.25">
      <c r="A14" s="28" t="s">
        <v>1323</v>
      </c>
      <c r="B14" s="28" t="s">
        <v>321</v>
      </c>
      <c r="C14" s="30">
        <v>44428</v>
      </c>
      <c r="D14" s="28">
        <v>20.2</v>
      </c>
      <c r="E14" s="28">
        <v>19.2</v>
      </c>
      <c r="F14" s="28">
        <v>19.2</v>
      </c>
      <c r="G14" s="28">
        <v>19.2</v>
      </c>
      <c r="H14" s="28">
        <v>19.2</v>
      </c>
      <c r="I14" s="28">
        <v>283775</v>
      </c>
      <c r="J14" s="28">
        <v>283647</v>
      </c>
      <c r="K14" s="28">
        <v>99.95</v>
      </c>
      <c r="L14" s="29">
        <f>SUM(NSE_BhavCopy[[#This Row],[ CLOSE_PRICE]]-NSE_BhavCopy[[#This Row],[ PREV_CLOSE]])/NSE_BhavCopy[[#This Row],[ PREV_CLOSE]]*100</f>
        <v>-4.9504950495049505</v>
      </c>
    </row>
    <row r="15" spans="1:12" hidden="1" x14ac:dyDescent="0.25">
      <c r="A15" s="28" t="s">
        <v>336</v>
      </c>
      <c r="B15" s="28" t="s">
        <v>321</v>
      </c>
      <c r="C15" s="30">
        <v>44428</v>
      </c>
      <c r="D15" s="28">
        <v>355.12</v>
      </c>
      <c r="E15" s="28">
        <v>350.6</v>
      </c>
      <c r="F15" s="28">
        <v>357</v>
      </c>
      <c r="G15" s="28">
        <v>349</v>
      </c>
      <c r="H15" s="28">
        <v>350</v>
      </c>
      <c r="I15" s="28">
        <v>168856</v>
      </c>
      <c r="J15" s="28">
        <v>168732</v>
      </c>
      <c r="K15" s="28">
        <v>99.93</v>
      </c>
      <c r="L15" s="29">
        <f>SUM(NSE_BhavCopy[[#This Row],[ CLOSE_PRICE]]-NSE_BhavCopy[[#This Row],[ PREV_CLOSE]])/NSE_BhavCopy[[#This Row],[ PREV_CLOSE]]*100</f>
        <v>-1.723361117368778</v>
      </c>
    </row>
    <row r="16" spans="1:12" hidden="1" x14ac:dyDescent="0.25">
      <c r="A16" s="28" t="s">
        <v>1763</v>
      </c>
      <c r="B16" s="28" t="s">
        <v>321</v>
      </c>
      <c r="C16" s="30">
        <v>44428</v>
      </c>
      <c r="D16" s="28">
        <v>4.75</v>
      </c>
      <c r="E16" s="28">
        <v>4.95</v>
      </c>
      <c r="F16" s="28">
        <v>4.95</v>
      </c>
      <c r="G16" s="28">
        <v>4.55</v>
      </c>
      <c r="H16" s="28">
        <v>4.58</v>
      </c>
      <c r="I16" s="28">
        <v>3072</v>
      </c>
      <c r="J16" s="28">
        <v>3069</v>
      </c>
      <c r="K16" s="28">
        <v>99.9</v>
      </c>
      <c r="L16" s="29">
        <f>SUM(NSE_BhavCopy[[#This Row],[ CLOSE_PRICE]]-NSE_BhavCopy[[#This Row],[ PREV_CLOSE]])/NSE_BhavCopy[[#This Row],[ PREV_CLOSE]]*100</f>
        <v>-4.2105263157894779</v>
      </c>
    </row>
    <row r="17" spans="1:12" hidden="1" x14ac:dyDescent="0.25">
      <c r="A17" s="28" t="s">
        <v>1790</v>
      </c>
      <c r="B17" s="28" t="s">
        <v>321</v>
      </c>
      <c r="C17" s="30">
        <v>44428</v>
      </c>
      <c r="D17" s="28">
        <v>10.25</v>
      </c>
      <c r="E17" s="28">
        <v>9.9499999999999993</v>
      </c>
      <c r="F17" s="28">
        <v>9.9499999999999993</v>
      </c>
      <c r="G17" s="28">
        <v>9.8000000000000007</v>
      </c>
      <c r="H17" s="28">
        <v>9.8000000000000007</v>
      </c>
      <c r="I17" s="28">
        <v>5570</v>
      </c>
      <c r="J17" s="28">
        <v>5560</v>
      </c>
      <c r="K17" s="28">
        <v>99.82</v>
      </c>
      <c r="L17" s="29">
        <f>SUM(NSE_BhavCopy[[#This Row],[ CLOSE_PRICE]]-NSE_BhavCopy[[#This Row],[ PREV_CLOSE]])/NSE_BhavCopy[[#This Row],[ PREV_CLOSE]]*100</f>
        <v>-4.3902439024390176</v>
      </c>
    </row>
    <row r="18" spans="1:12" hidden="1" x14ac:dyDescent="0.25">
      <c r="A18" s="28" t="s">
        <v>492</v>
      </c>
      <c r="B18" s="28" t="s">
        <v>321</v>
      </c>
      <c r="C18" s="30">
        <v>44428</v>
      </c>
      <c r="D18" s="28">
        <v>10.25</v>
      </c>
      <c r="E18" s="28">
        <v>10</v>
      </c>
      <c r="F18" s="28">
        <v>10</v>
      </c>
      <c r="G18" s="28">
        <v>9.75</v>
      </c>
      <c r="H18" s="28">
        <v>9.76</v>
      </c>
      <c r="I18" s="28">
        <v>16508</v>
      </c>
      <c r="J18" s="28">
        <v>16398</v>
      </c>
      <c r="K18" s="28">
        <v>99.33</v>
      </c>
      <c r="L18" s="29">
        <f>SUM(NSE_BhavCopy[[#This Row],[ CLOSE_PRICE]]-NSE_BhavCopy[[#This Row],[ PREV_CLOSE]])/NSE_BhavCopy[[#This Row],[ PREV_CLOSE]]*100</f>
        <v>-4.8780487804878048</v>
      </c>
    </row>
    <row r="19" spans="1:12" hidden="1" x14ac:dyDescent="0.25">
      <c r="A19" s="28" t="s">
        <v>570</v>
      </c>
      <c r="B19" s="28" t="s">
        <v>321</v>
      </c>
      <c r="C19" s="30">
        <v>44428</v>
      </c>
      <c r="D19" s="28">
        <v>56.15</v>
      </c>
      <c r="E19" s="28">
        <v>55.75</v>
      </c>
      <c r="F19" s="28">
        <v>55.75</v>
      </c>
      <c r="G19" s="28">
        <v>53.35</v>
      </c>
      <c r="H19" s="28">
        <v>53.68</v>
      </c>
      <c r="I19" s="28">
        <v>40199</v>
      </c>
      <c r="J19" s="28">
        <v>39640</v>
      </c>
      <c r="K19" s="28">
        <v>98.61</v>
      </c>
      <c r="L19" s="29">
        <f>SUM(NSE_BhavCopy[[#This Row],[ CLOSE_PRICE]]-NSE_BhavCopy[[#This Row],[ PREV_CLOSE]])/NSE_BhavCopy[[#This Row],[ PREV_CLOSE]]*100</f>
        <v>-4.9866429207479914</v>
      </c>
    </row>
    <row r="20" spans="1:12" hidden="1" x14ac:dyDescent="0.25">
      <c r="A20" s="28" t="s">
        <v>437</v>
      </c>
      <c r="B20" s="28" t="s">
        <v>321</v>
      </c>
      <c r="C20" s="30">
        <v>44428</v>
      </c>
      <c r="D20" s="28">
        <v>10.27</v>
      </c>
      <c r="E20" s="28">
        <v>10.27</v>
      </c>
      <c r="F20" s="28">
        <v>10.27</v>
      </c>
      <c r="G20" s="28">
        <v>10.26</v>
      </c>
      <c r="H20" s="28">
        <v>10.27</v>
      </c>
      <c r="I20" s="28">
        <v>107726</v>
      </c>
      <c r="J20" s="28">
        <v>106175</v>
      </c>
      <c r="K20" s="28">
        <v>98.56</v>
      </c>
      <c r="L20" s="29">
        <f>SUM(NSE_BhavCopy[[#This Row],[ CLOSE_PRICE]]-NSE_BhavCopy[[#This Row],[ PREV_CLOSE]])/NSE_BhavCopy[[#This Row],[ PREV_CLOSE]]*100</f>
        <v>-9.7370983446930751E-2</v>
      </c>
    </row>
    <row r="21" spans="1:12" hidden="1" x14ac:dyDescent="0.25">
      <c r="A21" s="28" t="s">
        <v>545</v>
      </c>
      <c r="B21" s="28" t="s">
        <v>321</v>
      </c>
      <c r="C21" s="30">
        <v>44428</v>
      </c>
      <c r="D21" s="28">
        <v>651.95000000000005</v>
      </c>
      <c r="E21" s="28">
        <v>651.95000000000005</v>
      </c>
      <c r="F21" s="28">
        <v>653.9</v>
      </c>
      <c r="G21" s="28">
        <v>647</v>
      </c>
      <c r="H21" s="28">
        <v>646.34</v>
      </c>
      <c r="I21" s="28">
        <v>742399</v>
      </c>
      <c r="J21" s="28">
        <v>728103</v>
      </c>
      <c r="K21" s="28">
        <v>98.07</v>
      </c>
      <c r="L21" s="29">
        <f>SUM(NSE_BhavCopy[[#This Row],[ CLOSE_PRICE]]-NSE_BhavCopy[[#This Row],[ PREV_CLOSE]])/NSE_BhavCopy[[#This Row],[ PREV_CLOSE]]*100</f>
        <v>-0.75926067949996856</v>
      </c>
    </row>
    <row r="22" spans="1:12" hidden="1" x14ac:dyDescent="0.25">
      <c r="A22" s="28" t="s">
        <v>323</v>
      </c>
      <c r="B22" s="28" t="s">
        <v>321</v>
      </c>
      <c r="C22" s="30">
        <v>44428</v>
      </c>
      <c r="D22" s="28">
        <v>28.85</v>
      </c>
      <c r="E22" s="28">
        <v>29.4</v>
      </c>
      <c r="F22" s="28">
        <v>29.4</v>
      </c>
      <c r="G22" s="28">
        <v>29.4</v>
      </c>
      <c r="H22" s="28">
        <v>29.38</v>
      </c>
      <c r="I22" s="28">
        <v>8151</v>
      </c>
      <c r="J22" s="28">
        <v>7991</v>
      </c>
      <c r="K22" s="28">
        <v>98.04</v>
      </c>
      <c r="L22" s="29">
        <f>SUM(NSE_BhavCopy[[#This Row],[ CLOSE_PRICE]]-NSE_BhavCopy[[#This Row],[ PREV_CLOSE]])/NSE_BhavCopy[[#This Row],[ PREV_CLOSE]]*100</f>
        <v>1.906412478336212</v>
      </c>
    </row>
    <row r="23" spans="1:12" hidden="1" x14ac:dyDescent="0.25">
      <c r="A23" s="28" t="s">
        <v>1787</v>
      </c>
      <c r="B23" s="28" t="s">
        <v>321</v>
      </c>
      <c r="C23" s="30">
        <v>44428</v>
      </c>
      <c r="D23" s="28">
        <v>17.260000000000002</v>
      </c>
      <c r="E23" s="28">
        <v>17.2</v>
      </c>
      <c r="F23" s="28">
        <v>17.52</v>
      </c>
      <c r="G23" s="28">
        <v>17.16</v>
      </c>
      <c r="H23" s="28">
        <v>17.16</v>
      </c>
      <c r="I23" s="28">
        <v>134042</v>
      </c>
      <c r="J23" s="28">
        <v>131296</v>
      </c>
      <c r="K23" s="28">
        <v>97.95</v>
      </c>
      <c r="L23" s="29">
        <f>SUM(NSE_BhavCopy[[#This Row],[ CLOSE_PRICE]]-NSE_BhavCopy[[#This Row],[ PREV_CLOSE]])/NSE_BhavCopy[[#This Row],[ PREV_CLOSE]]*100</f>
        <v>-0.57937427578216349</v>
      </c>
    </row>
    <row r="24" spans="1:12" hidden="1" x14ac:dyDescent="0.25">
      <c r="A24" s="28" t="s">
        <v>1134</v>
      </c>
      <c r="B24" s="28" t="s">
        <v>321</v>
      </c>
      <c r="C24" s="30">
        <v>44428</v>
      </c>
      <c r="D24" s="28">
        <v>106.08</v>
      </c>
      <c r="E24" s="28">
        <v>106.14</v>
      </c>
      <c r="F24" s="28">
        <v>106.14</v>
      </c>
      <c r="G24" s="28">
        <v>106.07</v>
      </c>
      <c r="H24" s="28">
        <v>106.07</v>
      </c>
      <c r="I24" s="28">
        <v>14351</v>
      </c>
      <c r="J24" s="28">
        <v>14034</v>
      </c>
      <c r="K24" s="28">
        <v>97.79</v>
      </c>
      <c r="L24" s="29">
        <f>SUM(NSE_BhavCopy[[#This Row],[ CLOSE_PRICE]]-NSE_BhavCopy[[#This Row],[ PREV_CLOSE]])/NSE_BhavCopy[[#This Row],[ PREV_CLOSE]]*100</f>
        <v>-9.4268476621466018E-3</v>
      </c>
    </row>
    <row r="25" spans="1:12" hidden="1" x14ac:dyDescent="0.25">
      <c r="A25" s="28" t="s">
        <v>1030</v>
      </c>
      <c r="B25" s="28" t="s">
        <v>321</v>
      </c>
      <c r="C25" s="30">
        <v>44428</v>
      </c>
      <c r="D25" s="28">
        <v>28.36</v>
      </c>
      <c r="E25" s="28">
        <v>28.37</v>
      </c>
      <c r="F25" s="28">
        <v>29</v>
      </c>
      <c r="G25" s="28">
        <v>28.24</v>
      </c>
      <c r="H25" s="28">
        <v>28.25</v>
      </c>
      <c r="I25" s="28">
        <v>143200</v>
      </c>
      <c r="J25" s="28">
        <v>139945</v>
      </c>
      <c r="K25" s="28">
        <v>97.73</v>
      </c>
      <c r="L25" s="29">
        <f>SUM(NSE_BhavCopy[[#This Row],[ CLOSE_PRICE]]-NSE_BhavCopy[[#This Row],[ PREV_CLOSE]])/NSE_BhavCopy[[#This Row],[ PREV_CLOSE]]*100</f>
        <v>-0.42313117066290901</v>
      </c>
    </row>
    <row r="26" spans="1:12" hidden="1" x14ac:dyDescent="0.25">
      <c r="A26" s="28" t="s">
        <v>1142</v>
      </c>
      <c r="B26" s="28" t="s">
        <v>321</v>
      </c>
      <c r="C26" s="30">
        <v>44428</v>
      </c>
      <c r="D26" s="28">
        <v>204.98</v>
      </c>
      <c r="E26" s="28">
        <v>204.98</v>
      </c>
      <c r="F26" s="28">
        <v>205.64</v>
      </c>
      <c r="G26" s="28">
        <v>205.64</v>
      </c>
      <c r="H26" s="28">
        <v>205.64</v>
      </c>
      <c r="I26" s="28">
        <v>413</v>
      </c>
      <c r="J26" s="28">
        <v>402</v>
      </c>
      <c r="K26" s="28">
        <v>97.34</v>
      </c>
      <c r="L26" s="29">
        <f>SUM(NSE_BhavCopy[[#This Row],[ CLOSE_PRICE]]-NSE_BhavCopy[[#This Row],[ PREV_CLOSE]])/NSE_BhavCopy[[#This Row],[ PREV_CLOSE]]*100</f>
        <v>0.32198263245194492</v>
      </c>
    </row>
    <row r="27" spans="1:12" hidden="1" x14ac:dyDescent="0.25">
      <c r="A27" s="28" t="s">
        <v>624</v>
      </c>
      <c r="B27" s="28" t="s">
        <v>321</v>
      </c>
      <c r="C27" s="30">
        <v>44428</v>
      </c>
      <c r="D27" s="28">
        <v>1065.3399999999999</v>
      </c>
      <c r="E27" s="28">
        <v>1064.5</v>
      </c>
      <c r="F27" s="28">
        <v>1066.49</v>
      </c>
      <c r="G27" s="28">
        <v>1064.51</v>
      </c>
      <c r="H27" s="28">
        <v>1064.72</v>
      </c>
      <c r="I27" s="28">
        <v>29658</v>
      </c>
      <c r="J27" s="28">
        <v>28823</v>
      </c>
      <c r="K27" s="28">
        <v>97.18</v>
      </c>
      <c r="L27" s="29">
        <f>SUM(NSE_BhavCopy[[#This Row],[ CLOSE_PRICE]]-NSE_BhavCopy[[#This Row],[ PREV_CLOSE]])/NSE_BhavCopy[[#This Row],[ PREV_CLOSE]]*100</f>
        <v>-7.7909399816014357E-2</v>
      </c>
    </row>
    <row r="28" spans="1:12" hidden="1" x14ac:dyDescent="0.25">
      <c r="A28" s="28" t="s">
        <v>1148</v>
      </c>
      <c r="B28" s="28" t="s">
        <v>321</v>
      </c>
      <c r="C28" s="30">
        <v>44428</v>
      </c>
      <c r="D28" s="28">
        <v>173.31</v>
      </c>
      <c r="E28" s="28">
        <v>173</v>
      </c>
      <c r="F28" s="28">
        <v>174.48</v>
      </c>
      <c r="G28" s="28">
        <v>171.79</v>
      </c>
      <c r="H28" s="28">
        <v>171.87</v>
      </c>
      <c r="I28" s="28">
        <v>4849</v>
      </c>
      <c r="J28" s="28">
        <v>4704</v>
      </c>
      <c r="K28" s="28">
        <v>97.01</v>
      </c>
      <c r="L28" s="29">
        <f>SUM(NSE_BhavCopy[[#This Row],[ CLOSE_PRICE]]-NSE_BhavCopy[[#This Row],[ PREV_CLOSE]])/NSE_BhavCopy[[#This Row],[ PREV_CLOSE]]*100</f>
        <v>-0.87704114015348811</v>
      </c>
    </row>
    <row r="29" spans="1:12" hidden="1" x14ac:dyDescent="0.25">
      <c r="A29" s="28" t="s">
        <v>1556</v>
      </c>
      <c r="B29" s="28" t="s">
        <v>321</v>
      </c>
      <c r="C29" s="30">
        <v>44428</v>
      </c>
      <c r="D29" s="28">
        <v>580.94000000000005</v>
      </c>
      <c r="E29" s="28">
        <v>583.99</v>
      </c>
      <c r="F29" s="28">
        <v>590</v>
      </c>
      <c r="G29" s="28">
        <v>581.38</v>
      </c>
      <c r="H29" s="28">
        <v>580.33000000000004</v>
      </c>
      <c r="I29" s="28">
        <v>2884</v>
      </c>
      <c r="J29" s="28">
        <v>2796</v>
      </c>
      <c r="K29" s="28">
        <v>96.95</v>
      </c>
      <c r="L29" s="29">
        <f>SUM(NSE_BhavCopy[[#This Row],[ CLOSE_PRICE]]-NSE_BhavCopy[[#This Row],[ PREV_CLOSE]])/NSE_BhavCopy[[#This Row],[ PREV_CLOSE]]*100</f>
        <v>7.5739319034657762E-2</v>
      </c>
    </row>
    <row r="30" spans="1:12" hidden="1" x14ac:dyDescent="0.25">
      <c r="A30" s="28" t="s">
        <v>552</v>
      </c>
      <c r="B30" s="28" t="s">
        <v>321</v>
      </c>
      <c r="C30" s="30">
        <v>44428</v>
      </c>
      <c r="D30" s="28">
        <v>29.1</v>
      </c>
      <c r="E30" s="28">
        <v>28.5</v>
      </c>
      <c r="F30" s="28">
        <v>28.5</v>
      </c>
      <c r="G30" s="28">
        <v>27.65</v>
      </c>
      <c r="H30" s="28">
        <v>27.72</v>
      </c>
      <c r="I30" s="28">
        <v>624048</v>
      </c>
      <c r="J30" s="28">
        <v>602246</v>
      </c>
      <c r="K30" s="28">
        <v>96.51</v>
      </c>
      <c r="L30" s="29">
        <f>SUM(NSE_BhavCopy[[#This Row],[ CLOSE_PRICE]]-NSE_BhavCopy[[#This Row],[ PREV_CLOSE]])/NSE_BhavCopy[[#This Row],[ PREV_CLOSE]]*100</f>
        <v>-4.9828178694158165</v>
      </c>
    </row>
    <row r="31" spans="1:12" hidden="1" x14ac:dyDescent="0.25">
      <c r="A31" s="28" t="s">
        <v>625</v>
      </c>
      <c r="B31" s="28" t="s">
        <v>321</v>
      </c>
      <c r="C31" s="30">
        <v>44428</v>
      </c>
      <c r="D31" s="28">
        <v>1161.8699999999999</v>
      </c>
      <c r="E31" s="28">
        <v>1166</v>
      </c>
      <c r="F31" s="28">
        <v>1166</v>
      </c>
      <c r="G31" s="28">
        <v>1161.75</v>
      </c>
      <c r="H31" s="28">
        <v>1162.25</v>
      </c>
      <c r="I31" s="28">
        <v>8620</v>
      </c>
      <c r="J31" s="28">
        <v>8277</v>
      </c>
      <c r="K31" s="28">
        <v>96.02</v>
      </c>
      <c r="L31" s="29">
        <f>SUM(NSE_BhavCopy[[#This Row],[ CLOSE_PRICE]]-NSE_BhavCopy[[#This Row],[ PREV_CLOSE]])/NSE_BhavCopy[[#This Row],[ PREV_CLOSE]]*100</f>
        <v>-1.0328177851213205E-2</v>
      </c>
    </row>
    <row r="32" spans="1:12" hidden="1" x14ac:dyDescent="0.25">
      <c r="A32" s="28" t="s">
        <v>962</v>
      </c>
      <c r="B32" s="28" t="s">
        <v>321</v>
      </c>
      <c r="C32" s="30">
        <v>44428</v>
      </c>
      <c r="D32" s="28">
        <v>19.2</v>
      </c>
      <c r="E32" s="28">
        <v>19.2</v>
      </c>
      <c r="F32" s="28">
        <v>19.2</v>
      </c>
      <c r="G32" s="28">
        <v>18.5</v>
      </c>
      <c r="H32" s="28">
        <v>18.7</v>
      </c>
      <c r="I32" s="28">
        <v>840</v>
      </c>
      <c r="J32" s="28">
        <v>806</v>
      </c>
      <c r="K32" s="28">
        <v>95.95</v>
      </c>
      <c r="L32" s="29">
        <f>SUM(NSE_BhavCopy[[#This Row],[ CLOSE_PRICE]]-NSE_BhavCopy[[#This Row],[ PREV_CLOSE]])/NSE_BhavCopy[[#This Row],[ PREV_CLOSE]]*100</f>
        <v>-3.6458333333333299</v>
      </c>
    </row>
    <row r="33" spans="1:12" hidden="1" x14ac:dyDescent="0.25">
      <c r="A33" s="28" t="s">
        <v>837</v>
      </c>
      <c r="B33" s="28" t="s">
        <v>321</v>
      </c>
      <c r="C33" s="30">
        <v>44428</v>
      </c>
      <c r="D33" s="28">
        <v>4366.45</v>
      </c>
      <c r="E33" s="28">
        <v>4474</v>
      </c>
      <c r="F33" s="28">
        <v>4474</v>
      </c>
      <c r="G33" s="28">
        <v>4360</v>
      </c>
      <c r="H33" s="28">
        <v>4358.67</v>
      </c>
      <c r="I33" s="28">
        <v>855</v>
      </c>
      <c r="J33" s="28">
        <v>820</v>
      </c>
      <c r="K33" s="28">
        <v>95.91</v>
      </c>
      <c r="L33" s="29">
        <f>SUM(NSE_BhavCopy[[#This Row],[ CLOSE_PRICE]]-NSE_BhavCopy[[#This Row],[ PREV_CLOSE]])/NSE_BhavCopy[[#This Row],[ PREV_CLOSE]]*100</f>
        <v>-0.14771725314614431</v>
      </c>
    </row>
    <row r="34" spans="1:12" hidden="1" x14ac:dyDescent="0.25">
      <c r="A34" s="28" t="s">
        <v>1146</v>
      </c>
      <c r="B34" s="28" t="s">
        <v>321</v>
      </c>
      <c r="C34" s="30">
        <v>44428</v>
      </c>
      <c r="D34" s="28">
        <v>22.48</v>
      </c>
      <c r="E34" s="28">
        <v>25</v>
      </c>
      <c r="F34" s="28">
        <v>25</v>
      </c>
      <c r="G34" s="28">
        <v>22.45</v>
      </c>
      <c r="H34" s="28">
        <v>22.5</v>
      </c>
      <c r="I34" s="28">
        <v>24197</v>
      </c>
      <c r="J34" s="28">
        <v>23076</v>
      </c>
      <c r="K34" s="28">
        <v>95.37</v>
      </c>
      <c r="L34" s="29">
        <f>SUM(NSE_BhavCopy[[#This Row],[ CLOSE_PRICE]]-NSE_BhavCopy[[#This Row],[ PREV_CLOSE]])/NSE_BhavCopy[[#This Row],[ PREV_CLOSE]]*100</f>
        <v>-0.13345195729537873</v>
      </c>
    </row>
    <row r="35" spans="1:12" hidden="1" x14ac:dyDescent="0.25">
      <c r="A35" s="28" t="s">
        <v>1007</v>
      </c>
      <c r="B35" s="28" t="s">
        <v>321</v>
      </c>
      <c r="C35" s="30">
        <v>44428</v>
      </c>
      <c r="D35" s="28">
        <v>22</v>
      </c>
      <c r="E35" s="28">
        <v>21.95</v>
      </c>
      <c r="F35" s="28">
        <v>22.13</v>
      </c>
      <c r="G35" s="28">
        <v>22.09</v>
      </c>
      <c r="H35" s="28">
        <v>22.08</v>
      </c>
      <c r="I35" s="28">
        <v>4591</v>
      </c>
      <c r="J35" s="28">
        <v>4374</v>
      </c>
      <c r="K35" s="28">
        <v>95.27</v>
      </c>
      <c r="L35" s="29">
        <f>SUM(NSE_BhavCopy[[#This Row],[ CLOSE_PRICE]]-NSE_BhavCopy[[#This Row],[ PREV_CLOSE]])/NSE_BhavCopy[[#This Row],[ PREV_CLOSE]]*100</f>
        <v>0.40909090909090845</v>
      </c>
    </row>
    <row r="36" spans="1:12" hidden="1" x14ac:dyDescent="0.25">
      <c r="A36" s="28" t="s">
        <v>1386</v>
      </c>
      <c r="B36" s="28" t="s">
        <v>321</v>
      </c>
      <c r="C36" s="30">
        <v>44428</v>
      </c>
      <c r="D36" s="28">
        <v>13.5</v>
      </c>
      <c r="E36" s="28">
        <v>13.45</v>
      </c>
      <c r="F36" s="28">
        <v>13.45</v>
      </c>
      <c r="G36" s="28">
        <v>12.9</v>
      </c>
      <c r="H36" s="28">
        <v>13.02</v>
      </c>
      <c r="I36" s="28">
        <v>1530526</v>
      </c>
      <c r="J36" s="28">
        <v>1452876</v>
      </c>
      <c r="K36" s="28">
        <v>94.93</v>
      </c>
      <c r="L36" s="29">
        <f>SUM(NSE_BhavCopy[[#This Row],[ CLOSE_PRICE]]-NSE_BhavCopy[[#This Row],[ PREV_CLOSE]])/NSE_BhavCopy[[#This Row],[ PREV_CLOSE]]*100</f>
        <v>-4.444444444444442</v>
      </c>
    </row>
    <row r="37" spans="1:12" hidden="1" x14ac:dyDescent="0.25">
      <c r="A37" s="28" t="s">
        <v>1361</v>
      </c>
      <c r="B37" s="28" t="s">
        <v>321</v>
      </c>
      <c r="C37" s="30">
        <v>44428</v>
      </c>
      <c r="D37" s="28">
        <v>414.34</v>
      </c>
      <c r="E37" s="28">
        <v>415.99</v>
      </c>
      <c r="F37" s="28">
        <v>415.99</v>
      </c>
      <c r="G37" s="28">
        <v>410.74</v>
      </c>
      <c r="H37" s="28">
        <v>411.3</v>
      </c>
      <c r="I37" s="28">
        <v>24959</v>
      </c>
      <c r="J37" s="28">
        <v>23595</v>
      </c>
      <c r="K37" s="28">
        <v>94.54</v>
      </c>
      <c r="L37" s="29">
        <f>SUM(NSE_BhavCopy[[#This Row],[ CLOSE_PRICE]]-NSE_BhavCopy[[#This Row],[ PREV_CLOSE]])/NSE_BhavCopy[[#This Row],[ PREV_CLOSE]]*100</f>
        <v>-0.86885166771249844</v>
      </c>
    </row>
    <row r="38" spans="1:12" hidden="1" x14ac:dyDescent="0.25">
      <c r="A38" s="28" t="s">
        <v>626</v>
      </c>
      <c r="B38" s="28" t="s">
        <v>321</v>
      </c>
      <c r="C38" s="30">
        <v>44428</v>
      </c>
      <c r="D38" s="28">
        <v>1043.5999999999999</v>
      </c>
      <c r="E38" s="28">
        <v>1043</v>
      </c>
      <c r="F38" s="28">
        <v>1046</v>
      </c>
      <c r="G38" s="28">
        <v>1043.67</v>
      </c>
      <c r="H38" s="28">
        <v>1044.04</v>
      </c>
      <c r="I38" s="28">
        <v>5268</v>
      </c>
      <c r="J38" s="28">
        <v>4968</v>
      </c>
      <c r="K38" s="28">
        <v>94.31</v>
      </c>
      <c r="L38" s="29">
        <f>SUM(NSE_BhavCopy[[#This Row],[ CLOSE_PRICE]]-NSE_BhavCopy[[#This Row],[ PREV_CLOSE]])/NSE_BhavCopy[[#This Row],[ PREV_CLOSE]]*100</f>
        <v>6.7075507857573503E-3</v>
      </c>
    </row>
    <row r="39" spans="1:12" hidden="1" x14ac:dyDescent="0.25">
      <c r="A39" s="28" t="s">
        <v>1765</v>
      </c>
      <c r="B39" s="28" t="s">
        <v>321</v>
      </c>
      <c r="C39" s="30">
        <v>44428</v>
      </c>
      <c r="D39" s="28">
        <v>5.7</v>
      </c>
      <c r="E39" s="28">
        <v>6.25</v>
      </c>
      <c r="F39" s="28">
        <v>6.25</v>
      </c>
      <c r="G39" s="28">
        <v>6.25</v>
      </c>
      <c r="H39" s="28">
        <v>6.25</v>
      </c>
      <c r="I39" s="28">
        <v>43401</v>
      </c>
      <c r="J39" s="28">
        <v>40923</v>
      </c>
      <c r="K39" s="28">
        <v>94.29</v>
      </c>
      <c r="L39" s="29">
        <f>SUM(NSE_BhavCopy[[#This Row],[ CLOSE_PRICE]]-NSE_BhavCopy[[#This Row],[ PREV_CLOSE]])/NSE_BhavCopy[[#This Row],[ PREV_CLOSE]]*100</f>
        <v>9.649122807017541</v>
      </c>
    </row>
    <row r="40" spans="1:12" hidden="1" x14ac:dyDescent="0.25">
      <c r="A40" s="28" t="s">
        <v>1748</v>
      </c>
      <c r="B40" s="28" t="s">
        <v>321</v>
      </c>
      <c r="C40" s="30">
        <v>44428</v>
      </c>
      <c r="D40" s="28">
        <v>65.75</v>
      </c>
      <c r="E40" s="28">
        <v>66.7</v>
      </c>
      <c r="F40" s="28">
        <v>66.7</v>
      </c>
      <c r="G40" s="28">
        <v>65.89</v>
      </c>
      <c r="H40" s="28">
        <v>65.83</v>
      </c>
      <c r="I40" s="28">
        <v>14935</v>
      </c>
      <c r="J40" s="28">
        <v>14051</v>
      </c>
      <c r="K40" s="28">
        <v>94.08</v>
      </c>
      <c r="L40" s="29">
        <f>SUM(NSE_BhavCopy[[#This Row],[ CLOSE_PRICE]]-NSE_BhavCopy[[#This Row],[ PREV_CLOSE]])/NSE_BhavCopy[[#This Row],[ PREV_CLOSE]]*100</f>
        <v>0.21292775665399327</v>
      </c>
    </row>
    <row r="41" spans="1:12" hidden="1" x14ac:dyDescent="0.25">
      <c r="A41" s="28" t="s">
        <v>376</v>
      </c>
      <c r="B41" s="28" t="s">
        <v>321</v>
      </c>
      <c r="C41" s="30">
        <v>44428</v>
      </c>
      <c r="D41" s="28">
        <v>18.100000000000001</v>
      </c>
      <c r="E41" s="28">
        <v>18.149999999999999</v>
      </c>
      <c r="F41" s="28">
        <v>18.149999999999999</v>
      </c>
      <c r="G41" s="28">
        <v>18.05</v>
      </c>
      <c r="H41" s="28">
        <v>17.89</v>
      </c>
      <c r="I41" s="28">
        <v>1757</v>
      </c>
      <c r="J41" s="28">
        <v>1650</v>
      </c>
      <c r="K41" s="28">
        <v>93.91</v>
      </c>
      <c r="L41" s="29">
        <f>SUM(NSE_BhavCopy[[#This Row],[ CLOSE_PRICE]]-NSE_BhavCopy[[#This Row],[ PREV_CLOSE]])/NSE_BhavCopy[[#This Row],[ PREV_CLOSE]]*100</f>
        <v>-0.27624309392265584</v>
      </c>
    </row>
    <row r="42" spans="1:12" hidden="1" x14ac:dyDescent="0.25">
      <c r="A42" s="28" t="s">
        <v>1714</v>
      </c>
      <c r="B42" s="28" t="s">
        <v>321</v>
      </c>
      <c r="C42" s="30">
        <v>44428</v>
      </c>
      <c r="D42" s="28">
        <v>3.15</v>
      </c>
      <c r="E42" s="28">
        <v>3.25</v>
      </c>
      <c r="F42" s="28">
        <v>3.25</v>
      </c>
      <c r="G42" s="28">
        <v>3</v>
      </c>
      <c r="H42" s="28">
        <v>3.06</v>
      </c>
      <c r="I42" s="28">
        <v>47843</v>
      </c>
      <c r="J42" s="28">
        <v>44816</v>
      </c>
      <c r="K42" s="28">
        <v>93.67</v>
      </c>
      <c r="L42" s="29">
        <f>SUM(NSE_BhavCopy[[#This Row],[ CLOSE_PRICE]]-NSE_BhavCopy[[#This Row],[ PREV_CLOSE]])/NSE_BhavCopy[[#This Row],[ PREV_CLOSE]]*100</f>
        <v>-4.7619047619047592</v>
      </c>
    </row>
    <row r="43" spans="1:12" hidden="1" x14ac:dyDescent="0.25">
      <c r="A43" s="28" t="s">
        <v>1750</v>
      </c>
      <c r="B43" s="28" t="s">
        <v>321</v>
      </c>
      <c r="C43" s="30">
        <v>44428</v>
      </c>
      <c r="D43" s="28">
        <v>7.95</v>
      </c>
      <c r="E43" s="28">
        <v>8</v>
      </c>
      <c r="F43" s="28">
        <v>8</v>
      </c>
      <c r="G43" s="28">
        <v>7.75</v>
      </c>
      <c r="H43" s="28">
        <v>7.66</v>
      </c>
      <c r="I43" s="28">
        <v>32953</v>
      </c>
      <c r="J43" s="28">
        <v>30861</v>
      </c>
      <c r="K43" s="28">
        <v>93.65</v>
      </c>
      <c r="L43" s="29">
        <f>SUM(NSE_BhavCopy[[#This Row],[ CLOSE_PRICE]]-NSE_BhavCopy[[#This Row],[ PREV_CLOSE]])/NSE_BhavCopy[[#This Row],[ PREV_CLOSE]]*100</f>
        <v>-2.5157232704402537</v>
      </c>
    </row>
    <row r="44" spans="1:12" hidden="1" x14ac:dyDescent="0.25">
      <c r="A44" s="28" t="s">
        <v>1751</v>
      </c>
      <c r="B44" s="28" t="s">
        <v>321</v>
      </c>
      <c r="C44" s="30">
        <v>44428</v>
      </c>
      <c r="D44" s="28">
        <v>159.6</v>
      </c>
      <c r="E44" s="28">
        <v>163.9</v>
      </c>
      <c r="F44" s="28">
        <v>163.9</v>
      </c>
      <c r="G44" s="28">
        <v>153.1</v>
      </c>
      <c r="H44" s="28">
        <v>154.82</v>
      </c>
      <c r="I44" s="28">
        <v>42260</v>
      </c>
      <c r="J44" s="28">
        <v>39360</v>
      </c>
      <c r="K44" s="28">
        <v>93.14</v>
      </c>
      <c r="L44" s="29">
        <f>SUM(NSE_BhavCopy[[#This Row],[ CLOSE_PRICE]]-NSE_BhavCopy[[#This Row],[ PREV_CLOSE]])/NSE_BhavCopy[[#This Row],[ PREV_CLOSE]]*100</f>
        <v>-4.0726817042606518</v>
      </c>
    </row>
    <row r="45" spans="1:12" hidden="1" x14ac:dyDescent="0.25">
      <c r="A45" s="28" t="s">
        <v>358</v>
      </c>
      <c r="B45" s="28" t="s">
        <v>321</v>
      </c>
      <c r="C45" s="30">
        <v>44428</v>
      </c>
      <c r="D45" s="28">
        <v>168.1</v>
      </c>
      <c r="E45" s="28">
        <v>168</v>
      </c>
      <c r="F45" s="28">
        <v>168.85</v>
      </c>
      <c r="G45" s="28">
        <v>161.05000000000001</v>
      </c>
      <c r="H45" s="28">
        <v>165</v>
      </c>
      <c r="I45" s="28">
        <v>26475</v>
      </c>
      <c r="J45" s="28">
        <v>24625</v>
      </c>
      <c r="K45" s="28">
        <v>93.01</v>
      </c>
      <c r="L45" s="29">
        <f>SUM(NSE_BhavCopy[[#This Row],[ CLOSE_PRICE]]-NSE_BhavCopy[[#This Row],[ PREV_CLOSE]])/NSE_BhavCopy[[#This Row],[ PREV_CLOSE]]*100</f>
        <v>-4.1939321832242609</v>
      </c>
    </row>
    <row r="46" spans="1:12" hidden="1" x14ac:dyDescent="0.25">
      <c r="A46" s="28" t="s">
        <v>1099</v>
      </c>
      <c r="B46" s="28" t="s">
        <v>321</v>
      </c>
      <c r="C46" s="30">
        <v>44428</v>
      </c>
      <c r="D46" s="28">
        <v>109.82</v>
      </c>
      <c r="E46" s="28">
        <v>109.4</v>
      </c>
      <c r="F46" s="28">
        <v>110.39</v>
      </c>
      <c r="G46" s="28">
        <v>109.75</v>
      </c>
      <c r="H46" s="28">
        <v>109.78</v>
      </c>
      <c r="I46" s="28">
        <v>2199928</v>
      </c>
      <c r="J46" s="28">
        <v>2034851</v>
      </c>
      <c r="K46" s="28">
        <v>92.5</v>
      </c>
      <c r="L46" s="29">
        <f>SUM(NSE_BhavCopy[[#This Row],[ CLOSE_PRICE]]-NSE_BhavCopy[[#This Row],[ PREV_CLOSE]])/NSE_BhavCopy[[#This Row],[ PREV_CLOSE]]*100</f>
        <v>-6.3740666545249666E-2</v>
      </c>
    </row>
    <row r="47" spans="1:12" hidden="1" x14ac:dyDescent="0.25">
      <c r="A47" s="28" t="s">
        <v>819</v>
      </c>
      <c r="B47" s="28" t="s">
        <v>321</v>
      </c>
      <c r="C47" s="30">
        <v>44428</v>
      </c>
      <c r="D47" s="28">
        <v>181.94</v>
      </c>
      <c r="E47" s="28">
        <v>181.63</v>
      </c>
      <c r="F47" s="28">
        <v>181.63</v>
      </c>
      <c r="G47" s="28">
        <v>179.37</v>
      </c>
      <c r="H47" s="28">
        <v>179.33</v>
      </c>
      <c r="I47" s="28">
        <v>5297</v>
      </c>
      <c r="J47" s="28">
        <v>4894</v>
      </c>
      <c r="K47" s="28">
        <v>92.39</v>
      </c>
      <c r="L47" s="29">
        <f>SUM(NSE_BhavCopy[[#This Row],[ CLOSE_PRICE]]-NSE_BhavCopy[[#This Row],[ PREV_CLOSE]])/NSE_BhavCopy[[#This Row],[ PREV_CLOSE]]*100</f>
        <v>-1.4125535890953025</v>
      </c>
    </row>
    <row r="48" spans="1:12" hidden="1" x14ac:dyDescent="0.25">
      <c r="A48" s="28" t="s">
        <v>826</v>
      </c>
      <c r="B48" s="28" t="s">
        <v>321</v>
      </c>
      <c r="C48" s="30">
        <v>44428</v>
      </c>
      <c r="D48" s="28">
        <v>182.06</v>
      </c>
      <c r="E48" s="28">
        <v>194.7</v>
      </c>
      <c r="F48" s="28">
        <v>194.7</v>
      </c>
      <c r="G48" s="28">
        <v>180.28</v>
      </c>
      <c r="H48" s="28">
        <v>180.89</v>
      </c>
      <c r="I48" s="28">
        <v>6598</v>
      </c>
      <c r="J48" s="28">
        <v>6095</v>
      </c>
      <c r="K48" s="28">
        <v>92.38</v>
      </c>
      <c r="L48" s="29">
        <f>SUM(NSE_BhavCopy[[#This Row],[ CLOSE_PRICE]]-NSE_BhavCopy[[#This Row],[ PREV_CLOSE]])/NSE_BhavCopy[[#This Row],[ PREV_CLOSE]]*100</f>
        <v>-0.97769965945292836</v>
      </c>
    </row>
    <row r="49" spans="1:12" hidden="1" x14ac:dyDescent="0.25">
      <c r="A49" s="28" t="s">
        <v>1345</v>
      </c>
      <c r="B49" s="28" t="s">
        <v>321</v>
      </c>
      <c r="C49" s="30">
        <v>44428</v>
      </c>
      <c r="D49" s="28">
        <v>184.1</v>
      </c>
      <c r="E49" s="28">
        <v>184</v>
      </c>
      <c r="F49" s="28">
        <v>184</v>
      </c>
      <c r="G49" s="28">
        <v>181.98</v>
      </c>
      <c r="H49" s="28">
        <v>182.61</v>
      </c>
      <c r="I49" s="28">
        <v>830</v>
      </c>
      <c r="J49" s="28">
        <v>761</v>
      </c>
      <c r="K49" s="28">
        <v>91.69</v>
      </c>
      <c r="L49" s="29">
        <f>SUM(NSE_BhavCopy[[#This Row],[ CLOSE_PRICE]]-NSE_BhavCopy[[#This Row],[ PREV_CLOSE]])/NSE_BhavCopy[[#This Row],[ PREV_CLOSE]]*100</f>
        <v>-1.1515480717001654</v>
      </c>
    </row>
    <row r="50" spans="1:12" hidden="1" x14ac:dyDescent="0.25">
      <c r="A50" s="28" t="s">
        <v>743</v>
      </c>
      <c r="B50" s="28" t="s">
        <v>321</v>
      </c>
      <c r="C50" s="30">
        <v>44428</v>
      </c>
      <c r="D50" s="28">
        <v>1314.85</v>
      </c>
      <c r="E50" s="28">
        <v>1311.95</v>
      </c>
      <c r="F50" s="28">
        <v>1355</v>
      </c>
      <c r="G50" s="28">
        <v>1333.3</v>
      </c>
      <c r="H50" s="28">
        <v>1326.34</v>
      </c>
      <c r="I50" s="28">
        <v>44433</v>
      </c>
      <c r="J50" s="28">
        <v>40572</v>
      </c>
      <c r="K50" s="28">
        <v>91.31</v>
      </c>
      <c r="L50" s="29">
        <f>SUM(NSE_BhavCopy[[#This Row],[ CLOSE_PRICE]]-NSE_BhavCopy[[#This Row],[ PREV_CLOSE]])/NSE_BhavCopy[[#This Row],[ PREV_CLOSE]]*100</f>
        <v>1.4032018861467124</v>
      </c>
    </row>
    <row r="51" spans="1:12" x14ac:dyDescent="0.25">
      <c r="A51" s="28" t="s">
        <v>1737</v>
      </c>
      <c r="B51" s="28" t="s">
        <v>321</v>
      </c>
      <c r="C51" s="30">
        <v>44428</v>
      </c>
      <c r="D51" s="28">
        <v>50.3</v>
      </c>
      <c r="E51" s="28">
        <v>55.3</v>
      </c>
      <c r="F51" s="28">
        <v>55.3</v>
      </c>
      <c r="G51" s="28">
        <v>55.3</v>
      </c>
      <c r="H51" s="28">
        <v>55.28</v>
      </c>
      <c r="I51" s="28">
        <v>114404</v>
      </c>
      <c r="J51" s="28">
        <v>103747</v>
      </c>
      <c r="K51" s="28">
        <v>90.68</v>
      </c>
      <c r="L51" s="29">
        <f>SUM(NSE_BhavCopy[[#This Row],[ CLOSE_PRICE]]-NSE_BhavCopy[[#This Row],[ PREV_CLOSE]])/NSE_BhavCopy[[#This Row],[ PREV_CLOSE]]*100</f>
        <v>9.9403578528827037</v>
      </c>
    </row>
    <row r="52" spans="1:12" hidden="1" x14ac:dyDescent="0.25">
      <c r="A52" s="28" t="s">
        <v>1680</v>
      </c>
      <c r="B52" s="28" t="s">
        <v>321</v>
      </c>
      <c r="C52" s="30">
        <v>44428</v>
      </c>
      <c r="D52" s="28">
        <v>73.7</v>
      </c>
      <c r="E52" s="28">
        <v>74.900000000000006</v>
      </c>
      <c r="F52" s="28">
        <v>74.900000000000006</v>
      </c>
      <c r="G52" s="28">
        <v>71.849999999999994</v>
      </c>
      <c r="H52" s="28">
        <v>72</v>
      </c>
      <c r="I52" s="28">
        <v>156096</v>
      </c>
      <c r="J52" s="28">
        <v>140621</v>
      </c>
      <c r="K52" s="28">
        <v>90.09</v>
      </c>
      <c r="L52" s="29">
        <f>SUM(NSE_BhavCopy[[#This Row],[ CLOSE_PRICE]]-NSE_BhavCopy[[#This Row],[ PREV_CLOSE]])/NSE_BhavCopy[[#This Row],[ PREV_CLOSE]]*100</f>
        <v>-2.5101763907734171</v>
      </c>
    </row>
    <row r="53" spans="1:12" hidden="1" x14ac:dyDescent="0.25">
      <c r="A53" s="28" t="s">
        <v>494</v>
      </c>
      <c r="B53" s="28" t="s">
        <v>321</v>
      </c>
      <c r="C53" s="30">
        <v>44428</v>
      </c>
      <c r="D53" s="28">
        <v>24.7</v>
      </c>
      <c r="E53" s="28">
        <v>24</v>
      </c>
      <c r="F53" s="28">
        <v>24.5</v>
      </c>
      <c r="G53" s="28">
        <v>23.85</v>
      </c>
      <c r="H53" s="28">
        <v>23.87</v>
      </c>
      <c r="I53" s="28">
        <v>708840</v>
      </c>
      <c r="J53" s="28">
        <v>636943</v>
      </c>
      <c r="K53" s="28">
        <v>89.86</v>
      </c>
      <c r="L53" s="29">
        <f>SUM(NSE_BhavCopy[[#This Row],[ CLOSE_PRICE]]-NSE_BhavCopy[[#This Row],[ PREV_CLOSE]])/NSE_BhavCopy[[#This Row],[ PREV_CLOSE]]*100</f>
        <v>-3.4412955465586959</v>
      </c>
    </row>
    <row r="54" spans="1:12" hidden="1" x14ac:dyDescent="0.25">
      <c r="A54" s="28" t="s">
        <v>821</v>
      </c>
      <c r="B54" s="28" t="s">
        <v>321</v>
      </c>
      <c r="C54" s="30">
        <v>44428</v>
      </c>
      <c r="D54" s="28">
        <v>41.91</v>
      </c>
      <c r="E54" s="28">
        <v>42.32</v>
      </c>
      <c r="F54" s="28">
        <v>42.32</v>
      </c>
      <c r="G54" s="28">
        <v>42.02</v>
      </c>
      <c r="H54" s="28">
        <v>42.02</v>
      </c>
      <c r="I54" s="28">
        <v>272253</v>
      </c>
      <c r="J54" s="28">
        <v>242582</v>
      </c>
      <c r="K54" s="28">
        <v>89.1</v>
      </c>
      <c r="L54" s="29">
        <f>SUM(NSE_BhavCopy[[#This Row],[ CLOSE_PRICE]]-NSE_BhavCopy[[#This Row],[ PREV_CLOSE]])/NSE_BhavCopy[[#This Row],[ PREV_CLOSE]]*100</f>
        <v>0.26246719160106546</v>
      </c>
    </row>
    <row r="55" spans="1:12" hidden="1" x14ac:dyDescent="0.25">
      <c r="A55" s="28" t="s">
        <v>1150</v>
      </c>
      <c r="B55" s="28" t="s">
        <v>321</v>
      </c>
      <c r="C55" s="30">
        <v>44428</v>
      </c>
      <c r="D55" s="28">
        <v>14.16</v>
      </c>
      <c r="E55" s="28">
        <v>14.24</v>
      </c>
      <c r="F55" s="28">
        <v>14.24</v>
      </c>
      <c r="G55" s="28">
        <v>13.8</v>
      </c>
      <c r="H55" s="28">
        <v>13.86</v>
      </c>
      <c r="I55" s="28">
        <v>585977</v>
      </c>
      <c r="J55" s="28">
        <v>520827</v>
      </c>
      <c r="K55" s="28">
        <v>88.88</v>
      </c>
      <c r="L55" s="29">
        <f>SUM(NSE_BhavCopy[[#This Row],[ CLOSE_PRICE]]-NSE_BhavCopy[[#This Row],[ PREV_CLOSE]])/NSE_BhavCopy[[#This Row],[ PREV_CLOSE]]*100</f>
        <v>-2.5423728813559281</v>
      </c>
    </row>
    <row r="56" spans="1:12" hidden="1" x14ac:dyDescent="0.25">
      <c r="A56" s="28" t="s">
        <v>1706</v>
      </c>
      <c r="B56" s="28" t="s">
        <v>321</v>
      </c>
      <c r="C56" s="30">
        <v>44428</v>
      </c>
      <c r="D56" s="28">
        <v>12</v>
      </c>
      <c r="E56" s="28">
        <v>12.5</v>
      </c>
      <c r="F56" s="28">
        <v>12.5</v>
      </c>
      <c r="G56" s="28">
        <v>11.55</v>
      </c>
      <c r="H56" s="28">
        <v>11.68</v>
      </c>
      <c r="I56" s="28">
        <v>10809</v>
      </c>
      <c r="J56" s="28">
        <v>9588</v>
      </c>
      <c r="K56" s="28">
        <v>88.7</v>
      </c>
      <c r="L56" s="29">
        <f>SUM(NSE_BhavCopy[[#This Row],[ CLOSE_PRICE]]-NSE_BhavCopy[[#This Row],[ PREV_CLOSE]])/NSE_BhavCopy[[#This Row],[ PREV_CLOSE]]*100</f>
        <v>-3.7499999999999942</v>
      </c>
    </row>
    <row r="57" spans="1:12" hidden="1" x14ac:dyDescent="0.25">
      <c r="A57" s="28" t="s">
        <v>767</v>
      </c>
      <c r="B57" s="28" t="s">
        <v>321</v>
      </c>
      <c r="C57" s="30">
        <v>44428</v>
      </c>
      <c r="D57" s="28">
        <v>354.85</v>
      </c>
      <c r="E57" s="28">
        <v>354.85</v>
      </c>
      <c r="F57" s="28">
        <v>354.88</v>
      </c>
      <c r="G57" s="28">
        <v>349.28</v>
      </c>
      <c r="H57" s="28">
        <v>350.71</v>
      </c>
      <c r="I57" s="28">
        <v>1034</v>
      </c>
      <c r="J57" s="28">
        <v>916</v>
      </c>
      <c r="K57" s="28">
        <v>88.59</v>
      </c>
      <c r="L57" s="29">
        <f>SUM(NSE_BhavCopy[[#This Row],[ CLOSE_PRICE]]-NSE_BhavCopy[[#This Row],[ PREV_CLOSE]])/NSE_BhavCopy[[#This Row],[ PREV_CLOSE]]*100</f>
        <v>-1.5696773284486543</v>
      </c>
    </row>
    <row r="58" spans="1:12" hidden="1" x14ac:dyDescent="0.25">
      <c r="A58" s="28" t="s">
        <v>823</v>
      </c>
      <c r="B58" s="28" t="s">
        <v>321</v>
      </c>
      <c r="C58" s="30">
        <v>44428</v>
      </c>
      <c r="D58" s="28">
        <v>135.16999999999999</v>
      </c>
      <c r="E58" s="28">
        <v>137.69999999999999</v>
      </c>
      <c r="F58" s="28">
        <v>137.69999999999999</v>
      </c>
      <c r="G58" s="28">
        <v>135.41</v>
      </c>
      <c r="H58" s="28">
        <v>135.09</v>
      </c>
      <c r="I58" s="28">
        <v>88064</v>
      </c>
      <c r="J58" s="28">
        <v>77913</v>
      </c>
      <c r="K58" s="28">
        <v>88.47</v>
      </c>
      <c r="L58" s="29">
        <f>SUM(NSE_BhavCopy[[#This Row],[ CLOSE_PRICE]]-NSE_BhavCopy[[#This Row],[ PREV_CLOSE]])/NSE_BhavCopy[[#This Row],[ PREV_CLOSE]]*100</f>
        <v>0.17755419101872391</v>
      </c>
    </row>
    <row r="59" spans="1:12" hidden="1" x14ac:dyDescent="0.25">
      <c r="A59" s="28" t="s">
        <v>1149</v>
      </c>
      <c r="B59" s="28" t="s">
        <v>321</v>
      </c>
      <c r="C59" s="30">
        <v>44428</v>
      </c>
      <c r="D59" s="28">
        <v>93.96</v>
      </c>
      <c r="E59" s="28">
        <v>94.49</v>
      </c>
      <c r="F59" s="28">
        <v>94.49</v>
      </c>
      <c r="G59" s="28">
        <v>93.29</v>
      </c>
      <c r="H59" s="28">
        <v>93.21</v>
      </c>
      <c r="I59" s="28">
        <v>13492</v>
      </c>
      <c r="J59" s="28">
        <v>11877</v>
      </c>
      <c r="K59" s="28">
        <v>88.03</v>
      </c>
      <c r="L59" s="29">
        <f>SUM(NSE_BhavCopy[[#This Row],[ CLOSE_PRICE]]-NSE_BhavCopy[[#This Row],[ PREV_CLOSE]])/NSE_BhavCopy[[#This Row],[ PREV_CLOSE]]*100</f>
        <v>-0.71306939123029744</v>
      </c>
    </row>
    <row r="60" spans="1:12" hidden="1" x14ac:dyDescent="0.25">
      <c r="A60" s="28" t="s">
        <v>1014</v>
      </c>
      <c r="B60" s="28" t="s">
        <v>321</v>
      </c>
      <c r="C60" s="30">
        <v>44428</v>
      </c>
      <c r="D60" s="28">
        <v>999.99</v>
      </c>
      <c r="E60" s="28">
        <v>1002.87</v>
      </c>
      <c r="F60" s="28">
        <v>1002.87</v>
      </c>
      <c r="G60" s="28">
        <v>1000</v>
      </c>
      <c r="H60" s="28">
        <v>1000.01</v>
      </c>
      <c r="I60" s="28">
        <v>1454223</v>
      </c>
      <c r="J60" s="28">
        <v>1279479</v>
      </c>
      <c r="K60" s="28">
        <v>87.98</v>
      </c>
      <c r="L60" s="29">
        <f>SUM(NSE_BhavCopy[[#This Row],[ CLOSE_PRICE]]-NSE_BhavCopy[[#This Row],[ PREV_CLOSE]])/NSE_BhavCopy[[#This Row],[ PREV_CLOSE]]*100</f>
        <v>1.0000100000990915E-3</v>
      </c>
    </row>
    <row r="61" spans="1:12" hidden="1" x14ac:dyDescent="0.25">
      <c r="A61" s="28" t="s">
        <v>1259</v>
      </c>
      <c r="B61" s="28" t="s">
        <v>321</v>
      </c>
      <c r="C61" s="30">
        <v>44428</v>
      </c>
      <c r="D61" s="28">
        <v>25.41</v>
      </c>
      <c r="E61" s="28">
        <v>25.59</v>
      </c>
      <c r="F61" s="28">
        <v>25.59</v>
      </c>
      <c r="G61" s="28">
        <v>24.57</v>
      </c>
      <c r="H61" s="28">
        <v>24.86</v>
      </c>
      <c r="I61" s="28">
        <v>2582988</v>
      </c>
      <c r="J61" s="28">
        <v>2266635</v>
      </c>
      <c r="K61" s="28">
        <v>87.75</v>
      </c>
      <c r="L61" s="29">
        <f>SUM(NSE_BhavCopy[[#This Row],[ CLOSE_PRICE]]-NSE_BhavCopy[[#This Row],[ PREV_CLOSE]])/NSE_BhavCopy[[#This Row],[ PREV_CLOSE]]*100</f>
        <v>-3.3057851239669414</v>
      </c>
    </row>
    <row r="62" spans="1:12" hidden="1" x14ac:dyDescent="0.25">
      <c r="A62" s="28" t="s">
        <v>872</v>
      </c>
      <c r="B62" s="28" t="s">
        <v>321</v>
      </c>
      <c r="C62" s="30">
        <v>44428</v>
      </c>
      <c r="D62" s="28">
        <v>475.21</v>
      </c>
      <c r="E62" s="28">
        <v>470</v>
      </c>
      <c r="F62" s="28">
        <v>475</v>
      </c>
      <c r="G62" s="28">
        <v>465.02</v>
      </c>
      <c r="H62" s="28">
        <v>469.18</v>
      </c>
      <c r="I62" s="28">
        <v>1566</v>
      </c>
      <c r="J62" s="28">
        <v>1374</v>
      </c>
      <c r="K62" s="28">
        <v>87.74</v>
      </c>
      <c r="L62" s="29">
        <f>SUM(NSE_BhavCopy[[#This Row],[ CLOSE_PRICE]]-NSE_BhavCopy[[#This Row],[ PREV_CLOSE]])/NSE_BhavCopy[[#This Row],[ PREV_CLOSE]]*100</f>
        <v>-2.1443151448833144</v>
      </c>
    </row>
    <row r="63" spans="1:12" hidden="1" x14ac:dyDescent="0.25">
      <c r="A63" s="28" t="s">
        <v>1357</v>
      </c>
      <c r="B63" s="28" t="s">
        <v>321</v>
      </c>
      <c r="C63" s="30">
        <v>44428</v>
      </c>
      <c r="D63" s="28">
        <v>204.1</v>
      </c>
      <c r="E63" s="28">
        <v>203</v>
      </c>
      <c r="F63" s="28">
        <v>206.2</v>
      </c>
      <c r="G63" s="28">
        <v>205.68</v>
      </c>
      <c r="H63" s="28">
        <v>205.27</v>
      </c>
      <c r="I63" s="28">
        <v>479</v>
      </c>
      <c r="J63" s="28">
        <v>419</v>
      </c>
      <c r="K63" s="28">
        <v>87.47</v>
      </c>
      <c r="L63" s="29">
        <f>SUM(NSE_BhavCopy[[#This Row],[ CLOSE_PRICE]]-NSE_BhavCopy[[#This Row],[ PREV_CLOSE]])/NSE_BhavCopy[[#This Row],[ PREV_CLOSE]]*100</f>
        <v>0.7741303282704618</v>
      </c>
    </row>
    <row r="64" spans="1:12" hidden="1" x14ac:dyDescent="0.25">
      <c r="A64" s="28" t="s">
        <v>981</v>
      </c>
      <c r="B64" s="28" t="s">
        <v>321</v>
      </c>
      <c r="C64" s="30">
        <v>44428</v>
      </c>
      <c r="D64" s="28">
        <v>93.1</v>
      </c>
      <c r="E64" s="28">
        <v>92.93</v>
      </c>
      <c r="F64" s="28">
        <v>92.93</v>
      </c>
      <c r="G64" s="28">
        <v>92.08</v>
      </c>
      <c r="H64" s="28">
        <v>92.24</v>
      </c>
      <c r="I64" s="28">
        <v>11446</v>
      </c>
      <c r="J64" s="28">
        <v>9991</v>
      </c>
      <c r="K64" s="28">
        <v>87.29</v>
      </c>
      <c r="L64" s="29">
        <f>SUM(NSE_BhavCopy[[#This Row],[ CLOSE_PRICE]]-NSE_BhavCopy[[#This Row],[ PREV_CLOSE]])/NSE_BhavCopy[[#This Row],[ PREV_CLOSE]]*100</f>
        <v>-1.0955961331901138</v>
      </c>
    </row>
    <row r="65" spans="1:12" hidden="1" x14ac:dyDescent="0.25">
      <c r="A65" s="28" t="s">
        <v>623</v>
      </c>
      <c r="B65" s="28" t="s">
        <v>321</v>
      </c>
      <c r="C65" s="30">
        <v>44428</v>
      </c>
      <c r="D65" s="28">
        <v>1141.7</v>
      </c>
      <c r="E65" s="28">
        <v>1142.58</v>
      </c>
      <c r="F65" s="28">
        <v>1143.97</v>
      </c>
      <c r="G65" s="28">
        <v>1142.47</v>
      </c>
      <c r="H65" s="28">
        <v>1142.6199999999999</v>
      </c>
      <c r="I65" s="28">
        <v>4443</v>
      </c>
      <c r="J65" s="28">
        <v>3878</v>
      </c>
      <c r="K65" s="28">
        <v>87.28</v>
      </c>
      <c r="L65" s="29">
        <f>SUM(NSE_BhavCopy[[#This Row],[ CLOSE_PRICE]]-NSE_BhavCopy[[#This Row],[ PREV_CLOSE]])/NSE_BhavCopy[[#This Row],[ PREV_CLOSE]]*100</f>
        <v>6.74432863274049E-2</v>
      </c>
    </row>
    <row r="66" spans="1:12" hidden="1" x14ac:dyDescent="0.25">
      <c r="A66" s="28" t="s">
        <v>1461</v>
      </c>
      <c r="B66" s="28" t="s">
        <v>321</v>
      </c>
      <c r="C66" s="30">
        <v>44428</v>
      </c>
      <c r="D66" s="28">
        <v>556.85</v>
      </c>
      <c r="E66" s="28">
        <v>554</v>
      </c>
      <c r="F66" s="28">
        <v>554</v>
      </c>
      <c r="G66" s="28">
        <v>534.20000000000005</v>
      </c>
      <c r="H66" s="28">
        <v>535.51</v>
      </c>
      <c r="I66" s="28">
        <v>68254</v>
      </c>
      <c r="J66" s="28">
        <v>59508</v>
      </c>
      <c r="K66" s="28">
        <v>87.19</v>
      </c>
      <c r="L66" s="29">
        <f>SUM(NSE_BhavCopy[[#This Row],[ CLOSE_PRICE]]-NSE_BhavCopy[[#This Row],[ PREV_CLOSE]])/NSE_BhavCopy[[#This Row],[ PREV_CLOSE]]*100</f>
        <v>-4.0675226721738307</v>
      </c>
    </row>
    <row r="67" spans="1:12" hidden="1" x14ac:dyDescent="0.25">
      <c r="A67" s="28" t="s">
        <v>1692</v>
      </c>
      <c r="B67" s="28" t="s">
        <v>321</v>
      </c>
      <c r="C67" s="30">
        <v>44428</v>
      </c>
      <c r="D67" s="28">
        <v>21.7</v>
      </c>
      <c r="E67" s="28">
        <v>21.4</v>
      </c>
      <c r="F67" s="28">
        <v>21.4</v>
      </c>
      <c r="G67" s="28">
        <v>19.55</v>
      </c>
      <c r="H67" s="28">
        <v>19.73</v>
      </c>
      <c r="I67" s="28">
        <v>52909</v>
      </c>
      <c r="J67" s="28">
        <v>46097</v>
      </c>
      <c r="K67" s="28">
        <v>87.13</v>
      </c>
      <c r="L67" s="29">
        <f>SUM(NSE_BhavCopy[[#This Row],[ CLOSE_PRICE]]-NSE_BhavCopy[[#This Row],[ PREV_CLOSE]])/NSE_BhavCopy[[#This Row],[ PREV_CLOSE]]*100</f>
        <v>-9.9078341013824822</v>
      </c>
    </row>
    <row r="68" spans="1:12" hidden="1" x14ac:dyDescent="0.25">
      <c r="A68" s="28" t="s">
        <v>715</v>
      </c>
      <c r="B68" s="28" t="s">
        <v>321</v>
      </c>
      <c r="C68" s="30">
        <v>44428</v>
      </c>
      <c r="D68" s="28">
        <v>51.95</v>
      </c>
      <c r="E68" s="28">
        <v>49.55</v>
      </c>
      <c r="F68" s="28">
        <v>51.55</v>
      </c>
      <c r="G68" s="28">
        <v>49.4</v>
      </c>
      <c r="H68" s="28">
        <v>49.7</v>
      </c>
      <c r="I68" s="28">
        <v>9402</v>
      </c>
      <c r="J68" s="28">
        <v>8187</v>
      </c>
      <c r="K68" s="28">
        <v>87.08</v>
      </c>
      <c r="L68" s="29">
        <f>SUM(NSE_BhavCopy[[#This Row],[ CLOSE_PRICE]]-NSE_BhavCopy[[#This Row],[ PREV_CLOSE]])/NSE_BhavCopy[[#This Row],[ PREV_CLOSE]]*100</f>
        <v>-4.9085659287776782</v>
      </c>
    </row>
    <row r="69" spans="1:12" hidden="1" x14ac:dyDescent="0.25">
      <c r="A69" s="28" t="s">
        <v>1464</v>
      </c>
      <c r="B69" s="28" t="s">
        <v>321</v>
      </c>
      <c r="C69" s="30">
        <v>44428</v>
      </c>
      <c r="D69" s="28">
        <v>21.7</v>
      </c>
      <c r="E69" s="28">
        <v>21.55</v>
      </c>
      <c r="F69" s="28">
        <v>22.3</v>
      </c>
      <c r="G69" s="28">
        <v>21.4</v>
      </c>
      <c r="H69" s="28">
        <v>21.45</v>
      </c>
      <c r="I69" s="28">
        <v>151668</v>
      </c>
      <c r="J69" s="28">
        <v>131474</v>
      </c>
      <c r="K69" s="28">
        <v>86.69</v>
      </c>
      <c r="L69" s="29">
        <f>SUM(NSE_BhavCopy[[#This Row],[ CLOSE_PRICE]]-NSE_BhavCopy[[#This Row],[ PREV_CLOSE]])/NSE_BhavCopy[[#This Row],[ PREV_CLOSE]]*100</f>
        <v>-1.3824884792626762</v>
      </c>
    </row>
    <row r="70" spans="1:12" hidden="1" x14ac:dyDescent="0.25">
      <c r="A70" s="28" t="s">
        <v>714</v>
      </c>
      <c r="B70" s="28" t="s">
        <v>321</v>
      </c>
      <c r="C70" s="30">
        <v>44428</v>
      </c>
      <c r="D70" s="28">
        <v>45.45</v>
      </c>
      <c r="E70" s="28">
        <v>45.4</v>
      </c>
      <c r="F70" s="28">
        <v>46</v>
      </c>
      <c r="G70" s="28">
        <v>45</v>
      </c>
      <c r="H70" s="28">
        <v>45.2</v>
      </c>
      <c r="I70" s="28">
        <v>2044</v>
      </c>
      <c r="J70" s="28">
        <v>1770</v>
      </c>
      <c r="K70" s="28">
        <v>86.59</v>
      </c>
      <c r="L70" s="29">
        <f>SUM(NSE_BhavCopy[[#This Row],[ CLOSE_PRICE]]-NSE_BhavCopy[[#This Row],[ PREV_CLOSE]])/NSE_BhavCopy[[#This Row],[ PREV_CLOSE]]*100</f>
        <v>-0.99009900990099631</v>
      </c>
    </row>
    <row r="71" spans="1:12" hidden="1" x14ac:dyDescent="0.25">
      <c r="A71" s="28" t="s">
        <v>474</v>
      </c>
      <c r="B71" s="28" t="s">
        <v>321</v>
      </c>
      <c r="C71" s="30">
        <v>44428</v>
      </c>
      <c r="D71" s="28">
        <v>645.35</v>
      </c>
      <c r="E71" s="28">
        <v>615</v>
      </c>
      <c r="F71" s="28">
        <v>638</v>
      </c>
      <c r="G71" s="28">
        <v>628.65</v>
      </c>
      <c r="H71" s="28">
        <v>631.34</v>
      </c>
      <c r="I71" s="28">
        <v>24494</v>
      </c>
      <c r="J71" s="28">
        <v>21203</v>
      </c>
      <c r="K71" s="28">
        <v>86.56</v>
      </c>
      <c r="L71" s="29">
        <f>SUM(NSE_BhavCopy[[#This Row],[ CLOSE_PRICE]]-NSE_BhavCopy[[#This Row],[ PREV_CLOSE]])/NSE_BhavCopy[[#This Row],[ PREV_CLOSE]]*100</f>
        <v>-2.5877430851476015</v>
      </c>
    </row>
    <row r="72" spans="1:12" hidden="1" x14ac:dyDescent="0.25">
      <c r="A72" s="28" t="s">
        <v>900</v>
      </c>
      <c r="B72" s="28" t="s">
        <v>321</v>
      </c>
      <c r="C72" s="30">
        <v>44428</v>
      </c>
      <c r="D72" s="28">
        <v>65.900000000000006</v>
      </c>
      <c r="E72" s="28">
        <v>65.5</v>
      </c>
      <c r="F72" s="28">
        <v>65.5</v>
      </c>
      <c r="G72" s="28">
        <v>64.45</v>
      </c>
      <c r="H72" s="28">
        <v>64.209999999999994</v>
      </c>
      <c r="I72" s="28">
        <v>298121</v>
      </c>
      <c r="J72" s="28">
        <v>257298</v>
      </c>
      <c r="K72" s="28">
        <v>86.31</v>
      </c>
      <c r="L72" s="29">
        <f>SUM(NSE_BhavCopy[[#This Row],[ CLOSE_PRICE]]-NSE_BhavCopy[[#This Row],[ PREV_CLOSE]])/NSE_BhavCopy[[#This Row],[ PREV_CLOSE]]*100</f>
        <v>-2.2003034901365748</v>
      </c>
    </row>
    <row r="73" spans="1:12" hidden="1" x14ac:dyDescent="0.25">
      <c r="A73" s="28" t="s">
        <v>1416</v>
      </c>
      <c r="B73" s="28" t="s">
        <v>321</v>
      </c>
      <c r="C73" s="30">
        <v>44428</v>
      </c>
      <c r="D73" s="28">
        <v>83</v>
      </c>
      <c r="E73" s="28">
        <v>80.05</v>
      </c>
      <c r="F73" s="28">
        <v>83</v>
      </c>
      <c r="G73" s="28">
        <v>81.95</v>
      </c>
      <c r="H73" s="28">
        <v>81.42</v>
      </c>
      <c r="I73" s="28">
        <v>30142</v>
      </c>
      <c r="J73" s="28">
        <v>25950</v>
      </c>
      <c r="K73" s="28">
        <v>86.09</v>
      </c>
      <c r="L73" s="29">
        <f>SUM(NSE_BhavCopy[[#This Row],[ CLOSE_PRICE]]-NSE_BhavCopy[[#This Row],[ PREV_CLOSE]])/NSE_BhavCopy[[#This Row],[ PREV_CLOSE]]*100</f>
        <v>-1.2650602409638521</v>
      </c>
    </row>
    <row r="74" spans="1:12" hidden="1" x14ac:dyDescent="0.25">
      <c r="A74" s="28" t="s">
        <v>1804</v>
      </c>
      <c r="B74" s="28" t="s">
        <v>321</v>
      </c>
      <c r="C74" s="30">
        <v>44428</v>
      </c>
      <c r="D74" s="28">
        <v>60</v>
      </c>
      <c r="E74" s="28">
        <v>66</v>
      </c>
      <c r="F74" s="28">
        <v>66</v>
      </c>
      <c r="G74" s="28">
        <v>66</v>
      </c>
      <c r="H74" s="28">
        <v>66</v>
      </c>
      <c r="I74" s="28">
        <v>10359</v>
      </c>
      <c r="J74" s="28">
        <v>8850</v>
      </c>
      <c r="K74" s="28">
        <v>85.43</v>
      </c>
      <c r="L74" s="29">
        <f>SUM(NSE_BhavCopy[[#This Row],[ CLOSE_PRICE]]-NSE_BhavCopy[[#This Row],[ PREV_CLOSE]])/NSE_BhavCopy[[#This Row],[ PREV_CLOSE]]*100</f>
        <v>10</v>
      </c>
    </row>
    <row r="75" spans="1:12" hidden="1" x14ac:dyDescent="0.25">
      <c r="A75" s="28" t="s">
        <v>1773</v>
      </c>
      <c r="B75" s="28" t="s">
        <v>321</v>
      </c>
      <c r="C75" s="30">
        <v>44428</v>
      </c>
      <c r="D75" s="28">
        <v>3.95</v>
      </c>
      <c r="E75" s="28">
        <v>4.1500000000000004</v>
      </c>
      <c r="F75" s="28">
        <v>4.1500000000000004</v>
      </c>
      <c r="G75" s="28">
        <v>3.85</v>
      </c>
      <c r="H75" s="28">
        <v>3.84</v>
      </c>
      <c r="I75" s="28">
        <v>19745</v>
      </c>
      <c r="J75" s="28">
        <v>16804</v>
      </c>
      <c r="K75" s="28">
        <v>85.11</v>
      </c>
      <c r="L75" s="29">
        <f>SUM(NSE_BhavCopy[[#This Row],[ CLOSE_PRICE]]-NSE_BhavCopy[[#This Row],[ PREV_CLOSE]])/NSE_BhavCopy[[#This Row],[ PREV_CLOSE]]*100</f>
        <v>-2.5316455696202551</v>
      </c>
    </row>
    <row r="76" spans="1:12" hidden="1" x14ac:dyDescent="0.25">
      <c r="A76" s="28" t="s">
        <v>1015</v>
      </c>
      <c r="B76" s="28" t="s">
        <v>321</v>
      </c>
      <c r="C76" s="30">
        <v>44428</v>
      </c>
      <c r="D76" s="28">
        <v>999.99</v>
      </c>
      <c r="E76" s="28">
        <v>999.99</v>
      </c>
      <c r="F76" s="28">
        <v>1000.01</v>
      </c>
      <c r="G76" s="28">
        <v>1000</v>
      </c>
      <c r="H76" s="28">
        <v>1000.01</v>
      </c>
      <c r="I76" s="28">
        <v>42178</v>
      </c>
      <c r="J76" s="28">
        <v>35831</v>
      </c>
      <c r="K76" s="28">
        <v>84.95</v>
      </c>
      <c r="L76" s="29">
        <f>SUM(NSE_BhavCopy[[#This Row],[ CLOSE_PRICE]]-NSE_BhavCopy[[#This Row],[ PREV_CLOSE]])/NSE_BhavCopy[[#This Row],[ PREV_CLOSE]]*100</f>
        <v>1.0000100000990915E-3</v>
      </c>
    </row>
    <row r="77" spans="1:12" hidden="1" x14ac:dyDescent="0.25">
      <c r="A77" s="28" t="s">
        <v>643</v>
      </c>
      <c r="B77" s="28" t="s">
        <v>321</v>
      </c>
      <c r="C77" s="30">
        <v>44428</v>
      </c>
      <c r="D77" s="28">
        <v>1593.15</v>
      </c>
      <c r="E77" s="28">
        <v>1590</v>
      </c>
      <c r="F77" s="28">
        <v>1617.45</v>
      </c>
      <c r="G77" s="28">
        <v>1592.9</v>
      </c>
      <c r="H77" s="28">
        <v>1598.91</v>
      </c>
      <c r="I77" s="28">
        <v>136338</v>
      </c>
      <c r="J77" s="28">
        <v>115297</v>
      </c>
      <c r="K77" s="28">
        <v>84.57</v>
      </c>
      <c r="L77" s="29">
        <f>SUM(NSE_BhavCopy[[#This Row],[ CLOSE_PRICE]]-NSE_BhavCopy[[#This Row],[ PREV_CLOSE]])/NSE_BhavCopy[[#This Row],[ PREV_CLOSE]]*100</f>
        <v>-1.5692182154850451E-2</v>
      </c>
    </row>
    <row r="78" spans="1:12" hidden="1" x14ac:dyDescent="0.25">
      <c r="A78" s="28" t="s">
        <v>1747</v>
      </c>
      <c r="B78" s="28" t="s">
        <v>321</v>
      </c>
      <c r="C78" s="30">
        <v>44428</v>
      </c>
      <c r="D78" s="28">
        <v>8.8000000000000007</v>
      </c>
      <c r="E78" s="28">
        <v>9.35</v>
      </c>
      <c r="F78" s="28">
        <v>9.35</v>
      </c>
      <c r="G78" s="28">
        <v>8.8000000000000007</v>
      </c>
      <c r="H78" s="28">
        <v>8.6999999999999993</v>
      </c>
      <c r="I78" s="28">
        <v>27979</v>
      </c>
      <c r="J78" s="28">
        <v>23634</v>
      </c>
      <c r="K78" s="28">
        <v>84.47</v>
      </c>
      <c r="L78" s="29">
        <f>SUM(NSE_BhavCopy[[#This Row],[ CLOSE_PRICE]]-NSE_BhavCopy[[#This Row],[ PREV_CLOSE]])/NSE_BhavCopy[[#This Row],[ PREV_CLOSE]]*100</f>
        <v>0</v>
      </c>
    </row>
    <row r="79" spans="1:12" hidden="1" x14ac:dyDescent="0.25">
      <c r="A79" s="28" t="s">
        <v>1393</v>
      </c>
      <c r="B79" s="28" t="s">
        <v>321</v>
      </c>
      <c r="C79" s="30">
        <v>44428</v>
      </c>
      <c r="D79" s="28">
        <v>88.2</v>
      </c>
      <c r="E79" s="28">
        <v>89</v>
      </c>
      <c r="F79" s="28">
        <v>90</v>
      </c>
      <c r="G79" s="28">
        <v>85.2</v>
      </c>
      <c r="H79" s="28">
        <v>86</v>
      </c>
      <c r="I79" s="28">
        <v>17556</v>
      </c>
      <c r="J79" s="28">
        <v>14792</v>
      </c>
      <c r="K79" s="28">
        <v>84.26</v>
      </c>
      <c r="L79" s="29">
        <f>SUM(NSE_BhavCopy[[#This Row],[ CLOSE_PRICE]]-NSE_BhavCopy[[#This Row],[ PREV_CLOSE]])/NSE_BhavCopy[[#This Row],[ PREV_CLOSE]]*100</f>
        <v>-3.4013605442176869</v>
      </c>
    </row>
    <row r="80" spans="1:12" hidden="1" x14ac:dyDescent="0.25">
      <c r="A80" s="28" t="s">
        <v>733</v>
      </c>
      <c r="B80" s="28" t="s">
        <v>321</v>
      </c>
      <c r="C80" s="30">
        <v>44428</v>
      </c>
      <c r="D80" s="28">
        <v>41.75</v>
      </c>
      <c r="E80" s="28">
        <v>41.95</v>
      </c>
      <c r="F80" s="28">
        <v>41.95</v>
      </c>
      <c r="G80" s="28">
        <v>41.1</v>
      </c>
      <c r="H80" s="28">
        <v>41.25</v>
      </c>
      <c r="I80" s="28">
        <v>173095</v>
      </c>
      <c r="J80" s="28">
        <v>145583</v>
      </c>
      <c r="K80" s="28">
        <v>84.11</v>
      </c>
      <c r="L80" s="29">
        <f>SUM(NSE_BhavCopy[[#This Row],[ CLOSE_PRICE]]-NSE_BhavCopy[[#This Row],[ PREV_CLOSE]])/NSE_BhavCopy[[#This Row],[ PREV_CLOSE]]*100</f>
        <v>-1.5568862275449067</v>
      </c>
    </row>
    <row r="81" spans="1:12" hidden="1" x14ac:dyDescent="0.25">
      <c r="A81" s="28" t="s">
        <v>527</v>
      </c>
      <c r="B81" s="28" t="s">
        <v>321</v>
      </c>
      <c r="C81" s="30">
        <v>44428</v>
      </c>
      <c r="D81" s="28">
        <v>9.9</v>
      </c>
      <c r="E81" s="28">
        <v>9.5</v>
      </c>
      <c r="F81" s="28">
        <v>9.75</v>
      </c>
      <c r="G81" s="28">
        <v>9.5</v>
      </c>
      <c r="H81" s="28">
        <v>9.5</v>
      </c>
      <c r="I81" s="28">
        <v>40892</v>
      </c>
      <c r="J81" s="28">
        <v>34328</v>
      </c>
      <c r="K81" s="28">
        <v>83.95</v>
      </c>
      <c r="L81" s="29">
        <f>SUM(NSE_BhavCopy[[#This Row],[ CLOSE_PRICE]]-NSE_BhavCopy[[#This Row],[ PREV_CLOSE]])/NSE_BhavCopy[[#This Row],[ PREV_CLOSE]]*100</f>
        <v>-4.0404040404040433</v>
      </c>
    </row>
    <row r="82" spans="1:12" hidden="1" x14ac:dyDescent="0.25">
      <c r="A82" s="28" t="s">
        <v>1314</v>
      </c>
      <c r="B82" s="28" t="s">
        <v>321</v>
      </c>
      <c r="C82" s="30">
        <v>44428</v>
      </c>
      <c r="D82" s="28">
        <v>339.8</v>
      </c>
      <c r="E82" s="28">
        <v>336</v>
      </c>
      <c r="F82" s="28">
        <v>338.05</v>
      </c>
      <c r="G82" s="28">
        <v>322.85000000000002</v>
      </c>
      <c r="H82" s="28">
        <v>324.76</v>
      </c>
      <c r="I82" s="28">
        <v>87269</v>
      </c>
      <c r="J82" s="28">
        <v>73106</v>
      </c>
      <c r="K82" s="28">
        <v>83.77</v>
      </c>
      <c r="L82" s="29">
        <f>SUM(NSE_BhavCopy[[#This Row],[ CLOSE_PRICE]]-NSE_BhavCopy[[#This Row],[ PREV_CLOSE]])/NSE_BhavCopy[[#This Row],[ PREV_CLOSE]]*100</f>
        <v>-4.9882283696291898</v>
      </c>
    </row>
    <row r="83" spans="1:12" hidden="1" x14ac:dyDescent="0.25">
      <c r="A83" s="28" t="s">
        <v>1719</v>
      </c>
      <c r="B83" s="28" t="s">
        <v>321</v>
      </c>
      <c r="C83" s="30">
        <v>44428</v>
      </c>
      <c r="D83" s="28">
        <v>4.6500000000000004</v>
      </c>
      <c r="E83" s="28">
        <v>4.55</v>
      </c>
      <c r="F83" s="28">
        <v>4.75</v>
      </c>
      <c r="G83" s="28">
        <v>4.6500000000000004</v>
      </c>
      <c r="H83" s="28">
        <v>4.57</v>
      </c>
      <c r="I83" s="28">
        <v>121781</v>
      </c>
      <c r="J83" s="28">
        <v>101616</v>
      </c>
      <c r="K83" s="28">
        <v>83.44</v>
      </c>
      <c r="L83" s="29">
        <f>SUM(NSE_BhavCopy[[#This Row],[ CLOSE_PRICE]]-NSE_BhavCopy[[#This Row],[ PREV_CLOSE]])/NSE_BhavCopy[[#This Row],[ PREV_CLOSE]]*100</f>
        <v>0</v>
      </c>
    </row>
    <row r="84" spans="1:12" hidden="1" x14ac:dyDescent="0.25">
      <c r="A84" s="28" t="s">
        <v>676</v>
      </c>
      <c r="B84" s="28" t="s">
        <v>321</v>
      </c>
      <c r="C84" s="30">
        <v>44428</v>
      </c>
      <c r="D84" s="28">
        <v>8.65</v>
      </c>
      <c r="E84" s="28">
        <v>8.4499999999999993</v>
      </c>
      <c r="F84" s="28">
        <v>8.65</v>
      </c>
      <c r="G84" s="28">
        <v>8.4499999999999993</v>
      </c>
      <c r="H84" s="28">
        <v>8.5500000000000007</v>
      </c>
      <c r="I84" s="28">
        <v>519336</v>
      </c>
      <c r="J84" s="28">
        <v>433046</v>
      </c>
      <c r="K84" s="28">
        <v>83.38</v>
      </c>
      <c r="L84" s="29">
        <f>SUM(NSE_BhavCopy[[#This Row],[ CLOSE_PRICE]]-NSE_BhavCopy[[#This Row],[ PREV_CLOSE]])/NSE_BhavCopy[[#This Row],[ PREV_CLOSE]]*100</f>
        <v>-2.3121387283237116</v>
      </c>
    </row>
    <row r="85" spans="1:12" x14ac:dyDescent="0.25">
      <c r="A85" s="28" t="s">
        <v>806</v>
      </c>
      <c r="B85" s="28" t="s">
        <v>321</v>
      </c>
      <c r="C85" s="30">
        <v>44428</v>
      </c>
      <c r="D85" s="28">
        <v>66</v>
      </c>
      <c r="E85" s="28">
        <v>69.25</v>
      </c>
      <c r="F85" s="28">
        <v>69.3</v>
      </c>
      <c r="G85" s="28">
        <v>69.3</v>
      </c>
      <c r="H85" s="28">
        <v>69.19</v>
      </c>
      <c r="I85" s="28">
        <v>115559</v>
      </c>
      <c r="J85" s="28">
        <v>96320</v>
      </c>
      <c r="K85" s="28">
        <v>83.35</v>
      </c>
      <c r="L85" s="29">
        <f>SUM(NSE_BhavCopy[[#This Row],[ CLOSE_PRICE]]-NSE_BhavCopy[[#This Row],[ PREV_CLOSE]])/NSE_BhavCopy[[#This Row],[ PREV_CLOSE]]*100</f>
        <v>4.9999999999999956</v>
      </c>
    </row>
    <row r="86" spans="1:12" hidden="1" x14ac:dyDescent="0.25">
      <c r="A86" s="28" t="s">
        <v>1555</v>
      </c>
      <c r="B86" s="28" t="s">
        <v>321</v>
      </c>
      <c r="C86" s="30">
        <v>44428</v>
      </c>
      <c r="D86" s="28">
        <v>1743.07</v>
      </c>
      <c r="E86" s="28">
        <v>1777.93</v>
      </c>
      <c r="F86" s="28">
        <v>1777.93</v>
      </c>
      <c r="G86" s="28">
        <v>1727.97</v>
      </c>
      <c r="H86" s="28">
        <v>1729.53</v>
      </c>
      <c r="I86" s="28">
        <v>305</v>
      </c>
      <c r="J86" s="28">
        <v>254</v>
      </c>
      <c r="K86" s="28">
        <v>83.28</v>
      </c>
      <c r="L86" s="29">
        <f>SUM(NSE_BhavCopy[[#This Row],[ CLOSE_PRICE]]-NSE_BhavCopy[[#This Row],[ PREV_CLOSE]])/NSE_BhavCopy[[#This Row],[ PREV_CLOSE]]*100</f>
        <v>-0.86628764191913743</v>
      </c>
    </row>
    <row r="87" spans="1:12" hidden="1" x14ac:dyDescent="0.25">
      <c r="A87" s="28" t="s">
        <v>738</v>
      </c>
      <c r="B87" s="28" t="s">
        <v>321</v>
      </c>
      <c r="C87" s="30">
        <v>44428</v>
      </c>
      <c r="D87" s="28">
        <v>85.2</v>
      </c>
      <c r="E87" s="28">
        <v>84.25</v>
      </c>
      <c r="F87" s="28">
        <v>86.7</v>
      </c>
      <c r="G87" s="28">
        <v>83.05</v>
      </c>
      <c r="H87" s="28">
        <v>83.86</v>
      </c>
      <c r="I87" s="28">
        <v>17399</v>
      </c>
      <c r="J87" s="28">
        <v>14485</v>
      </c>
      <c r="K87" s="28">
        <v>83.25</v>
      </c>
      <c r="L87" s="29">
        <f>SUM(NSE_BhavCopy[[#This Row],[ CLOSE_PRICE]]-NSE_BhavCopy[[#This Row],[ PREV_CLOSE]])/NSE_BhavCopy[[#This Row],[ PREV_CLOSE]]*100</f>
        <v>-2.5234741784037626</v>
      </c>
    </row>
    <row r="88" spans="1:12" hidden="1" x14ac:dyDescent="0.25">
      <c r="A88" s="28" t="s">
        <v>841</v>
      </c>
      <c r="B88" s="28" t="s">
        <v>321</v>
      </c>
      <c r="C88" s="30">
        <v>44428</v>
      </c>
      <c r="D88" s="28">
        <v>173.82</v>
      </c>
      <c r="E88" s="28">
        <v>172.18</v>
      </c>
      <c r="F88" s="28">
        <v>172.78</v>
      </c>
      <c r="G88" s="28">
        <v>172.52</v>
      </c>
      <c r="H88" s="28">
        <v>172.62</v>
      </c>
      <c r="I88" s="28">
        <v>201</v>
      </c>
      <c r="J88" s="28">
        <v>167</v>
      </c>
      <c r="K88" s="28">
        <v>83.08</v>
      </c>
      <c r="L88" s="29">
        <f>SUM(NSE_BhavCopy[[#This Row],[ CLOSE_PRICE]]-NSE_BhavCopy[[#This Row],[ PREV_CLOSE]])/NSE_BhavCopy[[#This Row],[ PREV_CLOSE]]*100</f>
        <v>-0.74790012656770388</v>
      </c>
    </row>
    <row r="89" spans="1:12" hidden="1" x14ac:dyDescent="0.25">
      <c r="A89" s="28" t="s">
        <v>1079</v>
      </c>
      <c r="B89" s="28" t="s">
        <v>321</v>
      </c>
      <c r="C89" s="30">
        <v>44428</v>
      </c>
      <c r="D89" s="28">
        <v>51.05</v>
      </c>
      <c r="E89" s="28">
        <v>53.05</v>
      </c>
      <c r="F89" s="28">
        <v>53.1</v>
      </c>
      <c r="G89" s="28">
        <v>50.55</v>
      </c>
      <c r="H89" s="28">
        <v>50.46</v>
      </c>
      <c r="I89" s="28">
        <v>14052</v>
      </c>
      <c r="J89" s="28">
        <v>11665</v>
      </c>
      <c r="K89" s="28">
        <v>83.01</v>
      </c>
      <c r="L89" s="29">
        <f>SUM(NSE_BhavCopy[[#This Row],[ CLOSE_PRICE]]-NSE_BhavCopy[[#This Row],[ PREV_CLOSE]])/NSE_BhavCopy[[#This Row],[ PREV_CLOSE]]*100</f>
        <v>-0.97943192948090119</v>
      </c>
    </row>
    <row r="90" spans="1:12" hidden="1" x14ac:dyDescent="0.25">
      <c r="A90" s="28" t="s">
        <v>1070</v>
      </c>
      <c r="B90" s="28" t="s">
        <v>321</v>
      </c>
      <c r="C90" s="30">
        <v>44428</v>
      </c>
      <c r="D90" s="28">
        <v>143.75</v>
      </c>
      <c r="E90" s="28">
        <v>144.94999999999999</v>
      </c>
      <c r="F90" s="28">
        <v>144.94999999999999</v>
      </c>
      <c r="G90" s="28">
        <v>142.94999999999999</v>
      </c>
      <c r="H90" s="28">
        <v>142.22</v>
      </c>
      <c r="I90" s="28">
        <v>9087</v>
      </c>
      <c r="J90" s="28">
        <v>7525</v>
      </c>
      <c r="K90" s="28">
        <v>82.81</v>
      </c>
      <c r="L90" s="29">
        <f>SUM(NSE_BhavCopy[[#This Row],[ CLOSE_PRICE]]-NSE_BhavCopy[[#This Row],[ PREV_CLOSE]])/NSE_BhavCopy[[#This Row],[ PREV_CLOSE]]*100</f>
        <v>-0.55652173913044267</v>
      </c>
    </row>
    <row r="91" spans="1:12" hidden="1" x14ac:dyDescent="0.25">
      <c r="A91" s="28" t="s">
        <v>508</v>
      </c>
      <c r="B91" s="28" t="s">
        <v>321</v>
      </c>
      <c r="C91" s="30">
        <v>44428</v>
      </c>
      <c r="D91" s="28">
        <v>4313.75</v>
      </c>
      <c r="E91" s="28">
        <v>4335.75</v>
      </c>
      <c r="F91" s="28">
        <v>4338</v>
      </c>
      <c r="G91" s="28">
        <v>4316.8500000000004</v>
      </c>
      <c r="H91" s="28">
        <v>4327.01</v>
      </c>
      <c r="I91" s="28">
        <v>795</v>
      </c>
      <c r="J91" s="28">
        <v>658</v>
      </c>
      <c r="K91" s="28">
        <v>82.77</v>
      </c>
      <c r="L91" s="29">
        <f>SUM(NSE_BhavCopy[[#This Row],[ CLOSE_PRICE]]-NSE_BhavCopy[[#This Row],[ PREV_CLOSE]])/NSE_BhavCopy[[#This Row],[ PREV_CLOSE]]*100</f>
        <v>7.1863228049849057E-2</v>
      </c>
    </row>
    <row r="92" spans="1:12" hidden="1" x14ac:dyDescent="0.25">
      <c r="A92" s="28" t="s">
        <v>730</v>
      </c>
      <c r="B92" s="28" t="s">
        <v>321</v>
      </c>
      <c r="C92" s="30">
        <v>44428</v>
      </c>
      <c r="D92" s="28">
        <v>40.299999999999997</v>
      </c>
      <c r="E92" s="28">
        <v>41.95</v>
      </c>
      <c r="F92" s="28">
        <v>41.95</v>
      </c>
      <c r="G92" s="28">
        <v>39.9</v>
      </c>
      <c r="H92" s="28">
        <v>40.299999999999997</v>
      </c>
      <c r="I92" s="28">
        <v>330203</v>
      </c>
      <c r="J92" s="28">
        <v>272640</v>
      </c>
      <c r="K92" s="28">
        <v>82.57</v>
      </c>
      <c r="L92" s="29">
        <f>SUM(NSE_BhavCopy[[#This Row],[ CLOSE_PRICE]]-NSE_BhavCopy[[#This Row],[ PREV_CLOSE]])/NSE_BhavCopy[[#This Row],[ PREV_CLOSE]]*100</f>
        <v>-0.99255583126550517</v>
      </c>
    </row>
    <row r="93" spans="1:12" hidden="1" x14ac:dyDescent="0.25">
      <c r="A93" s="28" t="s">
        <v>1684</v>
      </c>
      <c r="B93" s="28" t="s">
        <v>321</v>
      </c>
      <c r="C93" s="30">
        <v>44428</v>
      </c>
      <c r="D93" s="28">
        <v>90.1</v>
      </c>
      <c r="E93" s="28">
        <v>90</v>
      </c>
      <c r="F93" s="28">
        <v>90</v>
      </c>
      <c r="G93" s="28">
        <v>86.1</v>
      </c>
      <c r="H93" s="28">
        <v>87.19</v>
      </c>
      <c r="I93" s="28">
        <v>48758</v>
      </c>
      <c r="J93" s="28">
        <v>40141</v>
      </c>
      <c r="K93" s="28">
        <v>82.33</v>
      </c>
      <c r="L93" s="29">
        <f>SUM(NSE_BhavCopy[[#This Row],[ CLOSE_PRICE]]-NSE_BhavCopy[[#This Row],[ PREV_CLOSE]])/NSE_BhavCopy[[#This Row],[ PREV_CLOSE]]*100</f>
        <v>-4.4395116537180916</v>
      </c>
    </row>
    <row r="94" spans="1:12" hidden="1" x14ac:dyDescent="0.25">
      <c r="A94" s="28" t="s">
        <v>1320</v>
      </c>
      <c r="B94" s="28" t="s">
        <v>321</v>
      </c>
      <c r="C94" s="30">
        <v>44428</v>
      </c>
      <c r="D94" s="28">
        <v>20</v>
      </c>
      <c r="E94" s="28">
        <v>20</v>
      </c>
      <c r="F94" s="28">
        <v>20.8</v>
      </c>
      <c r="G94" s="28">
        <v>20.3</v>
      </c>
      <c r="H94" s="28">
        <v>20.23</v>
      </c>
      <c r="I94" s="28">
        <v>28260</v>
      </c>
      <c r="J94" s="28">
        <v>23187</v>
      </c>
      <c r="K94" s="28">
        <v>82.05</v>
      </c>
      <c r="L94" s="29">
        <f>SUM(NSE_BhavCopy[[#This Row],[ CLOSE_PRICE]]-NSE_BhavCopy[[#This Row],[ PREV_CLOSE]])/NSE_BhavCopy[[#This Row],[ PREV_CLOSE]]*100</f>
        <v>1.5000000000000036</v>
      </c>
    </row>
    <row r="95" spans="1:12" hidden="1" x14ac:dyDescent="0.25">
      <c r="A95" s="28" t="s">
        <v>1582</v>
      </c>
      <c r="B95" s="28" t="s">
        <v>321</v>
      </c>
      <c r="C95" s="30">
        <v>44428</v>
      </c>
      <c r="D95" s="28">
        <v>1087.5999999999999</v>
      </c>
      <c r="E95" s="28">
        <v>1087.5</v>
      </c>
      <c r="F95" s="28">
        <v>1096.1500000000001</v>
      </c>
      <c r="G95" s="28">
        <v>1057.4000000000001</v>
      </c>
      <c r="H95" s="28">
        <v>1069.72</v>
      </c>
      <c r="I95" s="28">
        <v>94567</v>
      </c>
      <c r="J95" s="28">
        <v>77594</v>
      </c>
      <c r="K95" s="28">
        <v>82.05</v>
      </c>
      <c r="L95" s="29">
        <f>SUM(NSE_BhavCopy[[#This Row],[ CLOSE_PRICE]]-NSE_BhavCopy[[#This Row],[ PREV_CLOSE]])/NSE_BhavCopy[[#This Row],[ PREV_CLOSE]]*100</f>
        <v>-2.7767561603530546</v>
      </c>
    </row>
    <row r="96" spans="1:12" hidden="1" x14ac:dyDescent="0.25">
      <c r="A96" s="28" t="s">
        <v>1344</v>
      </c>
      <c r="B96" s="28" t="s">
        <v>321</v>
      </c>
      <c r="C96" s="30">
        <v>44428</v>
      </c>
      <c r="D96" s="28">
        <v>341.62</v>
      </c>
      <c r="E96" s="28">
        <v>335</v>
      </c>
      <c r="F96" s="28">
        <v>343</v>
      </c>
      <c r="G96" s="28">
        <v>339.73</v>
      </c>
      <c r="H96" s="28">
        <v>340.11</v>
      </c>
      <c r="I96" s="28">
        <v>5469</v>
      </c>
      <c r="J96" s="28">
        <v>4466</v>
      </c>
      <c r="K96" s="28">
        <v>81.66</v>
      </c>
      <c r="L96" s="29">
        <f>SUM(NSE_BhavCopy[[#This Row],[ CLOSE_PRICE]]-NSE_BhavCopy[[#This Row],[ PREV_CLOSE]])/NSE_BhavCopy[[#This Row],[ PREV_CLOSE]]*100</f>
        <v>-0.55324629705520356</v>
      </c>
    </row>
    <row r="97" spans="1:12" hidden="1" x14ac:dyDescent="0.25">
      <c r="A97" s="28" t="s">
        <v>690</v>
      </c>
      <c r="B97" s="28" t="s">
        <v>321</v>
      </c>
      <c r="C97" s="30">
        <v>44428</v>
      </c>
      <c r="D97" s="28">
        <v>82.05</v>
      </c>
      <c r="E97" s="28">
        <v>81.5</v>
      </c>
      <c r="F97" s="28">
        <v>83.8</v>
      </c>
      <c r="G97" s="28">
        <v>77.150000000000006</v>
      </c>
      <c r="H97" s="28">
        <v>81.25</v>
      </c>
      <c r="I97" s="28">
        <v>26595</v>
      </c>
      <c r="J97" s="28">
        <v>21712</v>
      </c>
      <c r="K97" s="28">
        <v>81.64</v>
      </c>
      <c r="L97" s="29">
        <f>SUM(NSE_BhavCopy[[#This Row],[ CLOSE_PRICE]]-NSE_BhavCopy[[#This Row],[ PREV_CLOSE]])/NSE_BhavCopy[[#This Row],[ PREV_CLOSE]]*100</f>
        <v>-5.971968312004865</v>
      </c>
    </row>
    <row r="98" spans="1:12" hidden="1" x14ac:dyDescent="0.25">
      <c r="A98" s="28" t="s">
        <v>1038</v>
      </c>
      <c r="B98" s="28" t="s">
        <v>321</v>
      </c>
      <c r="C98" s="30">
        <v>44428</v>
      </c>
      <c r="D98" s="28">
        <v>753.55</v>
      </c>
      <c r="E98" s="28">
        <v>750</v>
      </c>
      <c r="F98" s="28">
        <v>755</v>
      </c>
      <c r="G98" s="28">
        <v>750.35</v>
      </c>
      <c r="H98" s="28">
        <v>748.99</v>
      </c>
      <c r="I98" s="28">
        <v>47468</v>
      </c>
      <c r="J98" s="28">
        <v>38745</v>
      </c>
      <c r="K98" s="28">
        <v>81.62</v>
      </c>
      <c r="L98" s="29">
        <f>SUM(NSE_BhavCopy[[#This Row],[ CLOSE_PRICE]]-NSE_BhavCopy[[#This Row],[ PREV_CLOSE]])/NSE_BhavCopy[[#This Row],[ PREV_CLOSE]]*100</f>
        <v>-0.4246566253068717</v>
      </c>
    </row>
    <row r="99" spans="1:12" hidden="1" x14ac:dyDescent="0.25">
      <c r="A99" s="28" t="s">
        <v>509</v>
      </c>
      <c r="B99" s="28" t="s">
        <v>321</v>
      </c>
      <c r="C99" s="30">
        <v>44428</v>
      </c>
      <c r="D99" s="28">
        <v>184.04</v>
      </c>
      <c r="E99" s="28">
        <v>179.8</v>
      </c>
      <c r="F99" s="28">
        <v>184.99</v>
      </c>
      <c r="G99" s="28">
        <v>182.43</v>
      </c>
      <c r="H99" s="28">
        <v>182.68</v>
      </c>
      <c r="I99" s="28">
        <v>261</v>
      </c>
      <c r="J99" s="28">
        <v>213</v>
      </c>
      <c r="K99" s="28">
        <v>81.61</v>
      </c>
      <c r="L99" s="29">
        <f>SUM(NSE_BhavCopy[[#This Row],[ CLOSE_PRICE]]-NSE_BhavCopy[[#This Row],[ PREV_CLOSE]])/NSE_BhavCopy[[#This Row],[ PREV_CLOSE]]*100</f>
        <v>-0.87480982395130702</v>
      </c>
    </row>
    <row r="100" spans="1:12" hidden="1" x14ac:dyDescent="0.25">
      <c r="A100" s="28" t="s">
        <v>532</v>
      </c>
      <c r="B100" s="28" t="s">
        <v>321</v>
      </c>
      <c r="C100" s="30">
        <v>44428</v>
      </c>
      <c r="D100" s="28">
        <v>441.45</v>
      </c>
      <c r="E100" s="28">
        <v>441.25</v>
      </c>
      <c r="F100" s="28">
        <v>446.55</v>
      </c>
      <c r="G100" s="28">
        <v>439.4</v>
      </c>
      <c r="H100" s="28">
        <v>440.52</v>
      </c>
      <c r="I100" s="28">
        <v>10259</v>
      </c>
      <c r="J100" s="28">
        <v>8363</v>
      </c>
      <c r="K100" s="28">
        <v>81.52</v>
      </c>
      <c r="L100" s="29">
        <f>SUM(NSE_BhavCopy[[#This Row],[ CLOSE_PRICE]]-NSE_BhavCopy[[#This Row],[ PREV_CLOSE]])/NSE_BhavCopy[[#This Row],[ PREV_CLOSE]]*100</f>
        <v>-0.46437875184052813</v>
      </c>
    </row>
    <row r="101" spans="1:12" hidden="1" x14ac:dyDescent="0.25">
      <c r="A101" s="28" t="s">
        <v>1683</v>
      </c>
      <c r="B101" s="28" t="s">
        <v>321</v>
      </c>
      <c r="C101" s="30">
        <v>44428</v>
      </c>
      <c r="D101" s="28">
        <v>183.2</v>
      </c>
      <c r="E101" s="28">
        <v>180</v>
      </c>
      <c r="F101" s="28">
        <v>180</v>
      </c>
      <c r="G101" s="28">
        <v>174.6</v>
      </c>
      <c r="H101" s="28">
        <v>174.56</v>
      </c>
      <c r="I101" s="28">
        <v>60907</v>
      </c>
      <c r="J101" s="28">
        <v>49618</v>
      </c>
      <c r="K101" s="28">
        <v>81.47</v>
      </c>
      <c r="L101" s="29">
        <f>SUM(NSE_BhavCopy[[#This Row],[ CLOSE_PRICE]]-NSE_BhavCopy[[#This Row],[ PREV_CLOSE]])/NSE_BhavCopy[[#This Row],[ PREV_CLOSE]]*100</f>
        <v>-4.6943231441048008</v>
      </c>
    </row>
    <row r="102" spans="1:12" hidden="1" x14ac:dyDescent="0.25">
      <c r="A102" s="28" t="s">
        <v>799</v>
      </c>
      <c r="B102" s="28" t="s">
        <v>321</v>
      </c>
      <c r="C102" s="30">
        <v>44428</v>
      </c>
      <c r="D102" s="28">
        <v>3403.9</v>
      </c>
      <c r="E102" s="28">
        <v>3404</v>
      </c>
      <c r="F102" s="28">
        <v>3500</v>
      </c>
      <c r="G102" s="28">
        <v>3430.3</v>
      </c>
      <c r="H102" s="28">
        <v>3424.25</v>
      </c>
      <c r="I102" s="28">
        <v>21266</v>
      </c>
      <c r="J102" s="28">
        <v>17326</v>
      </c>
      <c r="K102" s="28">
        <v>81.47</v>
      </c>
      <c r="L102" s="29">
        <f>SUM(NSE_BhavCopy[[#This Row],[ CLOSE_PRICE]]-NSE_BhavCopy[[#This Row],[ PREV_CLOSE]])/NSE_BhavCopy[[#This Row],[ PREV_CLOSE]]*100</f>
        <v>0.77558095126179061</v>
      </c>
    </row>
    <row r="103" spans="1:12" hidden="1" x14ac:dyDescent="0.25">
      <c r="A103" s="28" t="s">
        <v>1557</v>
      </c>
      <c r="B103" s="28" t="s">
        <v>321</v>
      </c>
      <c r="C103" s="30">
        <v>44428</v>
      </c>
      <c r="D103" s="28">
        <v>46.05</v>
      </c>
      <c r="E103" s="28">
        <v>46.5</v>
      </c>
      <c r="F103" s="28">
        <v>46.5</v>
      </c>
      <c r="G103" s="28">
        <v>44.74</v>
      </c>
      <c r="H103" s="28">
        <v>44.95</v>
      </c>
      <c r="I103" s="28">
        <v>933</v>
      </c>
      <c r="J103" s="28">
        <v>760</v>
      </c>
      <c r="K103" s="28">
        <v>81.459999999999994</v>
      </c>
      <c r="L103" s="29">
        <f>SUM(NSE_BhavCopy[[#This Row],[ CLOSE_PRICE]]-NSE_BhavCopy[[#This Row],[ PREV_CLOSE]])/NSE_BhavCopy[[#This Row],[ PREV_CLOSE]]*100</f>
        <v>-2.8447339847991211</v>
      </c>
    </row>
    <row r="104" spans="1:12" hidden="1" x14ac:dyDescent="0.25">
      <c r="A104" s="28" t="s">
        <v>1696</v>
      </c>
      <c r="B104" s="28" t="s">
        <v>321</v>
      </c>
      <c r="C104" s="30">
        <v>44428</v>
      </c>
      <c r="D104" s="28">
        <v>293.95</v>
      </c>
      <c r="E104" s="28">
        <v>293.95</v>
      </c>
      <c r="F104" s="28">
        <v>301.60000000000002</v>
      </c>
      <c r="G104" s="28">
        <v>297.39999999999998</v>
      </c>
      <c r="H104" s="28">
        <v>286.88</v>
      </c>
      <c r="I104" s="28">
        <v>955</v>
      </c>
      <c r="J104" s="28">
        <v>777</v>
      </c>
      <c r="K104" s="28">
        <v>81.36</v>
      </c>
      <c r="L104" s="29">
        <f>SUM(NSE_BhavCopy[[#This Row],[ CLOSE_PRICE]]-NSE_BhavCopy[[#This Row],[ PREV_CLOSE]])/NSE_BhavCopy[[#This Row],[ PREV_CLOSE]]*100</f>
        <v>1.1736689913250515</v>
      </c>
    </row>
    <row r="105" spans="1:12" hidden="1" x14ac:dyDescent="0.25">
      <c r="A105" s="28" t="s">
        <v>1691</v>
      </c>
      <c r="B105" s="28" t="s">
        <v>321</v>
      </c>
      <c r="C105" s="30">
        <v>44428</v>
      </c>
      <c r="D105" s="28">
        <v>2.85</v>
      </c>
      <c r="E105" s="28">
        <v>2.9</v>
      </c>
      <c r="F105" s="28">
        <v>2.9</v>
      </c>
      <c r="G105" s="28">
        <v>2.7</v>
      </c>
      <c r="H105" s="28">
        <v>2.69</v>
      </c>
      <c r="I105" s="28">
        <v>137366</v>
      </c>
      <c r="J105" s="28">
        <v>111461</v>
      </c>
      <c r="K105" s="28">
        <v>81.14</v>
      </c>
      <c r="L105" s="29">
        <f>SUM(NSE_BhavCopy[[#This Row],[ CLOSE_PRICE]]-NSE_BhavCopy[[#This Row],[ PREV_CLOSE]])/NSE_BhavCopy[[#This Row],[ PREV_CLOSE]]*100</f>
        <v>-5.2631578947368389</v>
      </c>
    </row>
    <row r="106" spans="1:12" hidden="1" x14ac:dyDescent="0.25">
      <c r="A106" s="28" t="s">
        <v>1031</v>
      </c>
      <c r="B106" s="28" t="s">
        <v>321</v>
      </c>
      <c r="C106" s="30">
        <v>44428</v>
      </c>
      <c r="D106" s="28">
        <v>51.33</v>
      </c>
      <c r="E106" s="28">
        <v>50.1</v>
      </c>
      <c r="F106" s="28">
        <v>51.8</v>
      </c>
      <c r="G106" s="28">
        <v>50.94</v>
      </c>
      <c r="H106" s="28">
        <v>51.05</v>
      </c>
      <c r="I106" s="28">
        <v>245178</v>
      </c>
      <c r="J106" s="28">
        <v>198765</v>
      </c>
      <c r="K106" s="28">
        <v>81.069999999999993</v>
      </c>
      <c r="L106" s="29">
        <f>SUM(NSE_BhavCopy[[#This Row],[ CLOSE_PRICE]]-NSE_BhavCopy[[#This Row],[ PREV_CLOSE]])/NSE_BhavCopy[[#This Row],[ PREV_CLOSE]]*100</f>
        <v>-0.75978959672706126</v>
      </c>
    </row>
    <row r="107" spans="1:12" hidden="1" x14ac:dyDescent="0.25">
      <c r="A107" s="28" t="s">
        <v>1774</v>
      </c>
      <c r="B107" s="28" t="s">
        <v>321</v>
      </c>
      <c r="C107" s="30">
        <v>44428</v>
      </c>
      <c r="D107" s="28">
        <v>2.2999999999999998</v>
      </c>
      <c r="E107" s="28">
        <v>2.2999999999999998</v>
      </c>
      <c r="F107" s="28">
        <v>2.35</v>
      </c>
      <c r="G107" s="28">
        <v>2.2999999999999998</v>
      </c>
      <c r="H107" s="28">
        <v>2.31</v>
      </c>
      <c r="I107" s="28">
        <v>4215440</v>
      </c>
      <c r="J107" s="28">
        <v>3408945</v>
      </c>
      <c r="K107" s="28">
        <v>80.87</v>
      </c>
      <c r="L107" s="29">
        <f>SUM(NSE_BhavCopy[[#This Row],[ CLOSE_PRICE]]-NSE_BhavCopy[[#This Row],[ PREV_CLOSE]])/NSE_BhavCopy[[#This Row],[ PREV_CLOSE]]*100</f>
        <v>0</v>
      </c>
    </row>
    <row r="108" spans="1:12" hidden="1" x14ac:dyDescent="0.25">
      <c r="A108" s="28" t="s">
        <v>1678</v>
      </c>
      <c r="B108" s="28" t="s">
        <v>321</v>
      </c>
      <c r="C108" s="30">
        <v>44428</v>
      </c>
      <c r="D108" s="28">
        <v>18</v>
      </c>
      <c r="E108" s="28">
        <v>18</v>
      </c>
      <c r="F108" s="28">
        <v>18.3</v>
      </c>
      <c r="G108" s="28">
        <v>17.8</v>
      </c>
      <c r="H108" s="28">
        <v>17.61</v>
      </c>
      <c r="I108" s="28">
        <v>34976</v>
      </c>
      <c r="J108" s="28">
        <v>28271</v>
      </c>
      <c r="K108" s="28">
        <v>80.83</v>
      </c>
      <c r="L108" s="29">
        <f>SUM(NSE_BhavCopy[[#This Row],[ CLOSE_PRICE]]-NSE_BhavCopy[[#This Row],[ PREV_CLOSE]])/NSE_BhavCopy[[#This Row],[ PREV_CLOSE]]*100</f>
        <v>-1.1111111111111072</v>
      </c>
    </row>
    <row r="109" spans="1:12" hidden="1" x14ac:dyDescent="0.25">
      <c r="A109" s="28" t="s">
        <v>748</v>
      </c>
      <c r="B109" s="28" t="s">
        <v>321</v>
      </c>
      <c r="C109" s="30">
        <v>44428</v>
      </c>
      <c r="D109" s="28">
        <v>921.55</v>
      </c>
      <c r="E109" s="28">
        <v>905</v>
      </c>
      <c r="F109" s="28">
        <v>940</v>
      </c>
      <c r="G109" s="28">
        <v>928.95</v>
      </c>
      <c r="H109" s="28">
        <v>920.86</v>
      </c>
      <c r="I109" s="28">
        <v>458</v>
      </c>
      <c r="J109" s="28">
        <v>368</v>
      </c>
      <c r="K109" s="28">
        <v>80.349999999999994</v>
      </c>
      <c r="L109" s="29">
        <f>SUM(NSE_BhavCopy[[#This Row],[ CLOSE_PRICE]]-NSE_BhavCopy[[#This Row],[ PREV_CLOSE]])/NSE_BhavCopy[[#This Row],[ PREV_CLOSE]]*100</f>
        <v>0.80299495415333855</v>
      </c>
    </row>
    <row r="110" spans="1:12" hidden="1" x14ac:dyDescent="0.25">
      <c r="A110" s="28" t="s">
        <v>829</v>
      </c>
      <c r="B110" s="28" t="s">
        <v>321</v>
      </c>
      <c r="C110" s="30">
        <v>44428</v>
      </c>
      <c r="D110" s="28">
        <v>40.83</v>
      </c>
      <c r="E110" s="28">
        <v>45</v>
      </c>
      <c r="F110" s="28">
        <v>45</v>
      </c>
      <c r="G110" s="28">
        <v>40.229999999999997</v>
      </c>
      <c r="H110" s="28">
        <v>40.520000000000003</v>
      </c>
      <c r="I110" s="28">
        <v>48027</v>
      </c>
      <c r="J110" s="28">
        <v>38583</v>
      </c>
      <c r="K110" s="28">
        <v>80.34</v>
      </c>
      <c r="L110" s="29">
        <f>SUM(NSE_BhavCopy[[#This Row],[ CLOSE_PRICE]]-NSE_BhavCopy[[#This Row],[ PREV_CLOSE]])/NSE_BhavCopy[[#This Row],[ PREV_CLOSE]]*100</f>
        <v>-1.4695077149155069</v>
      </c>
    </row>
    <row r="111" spans="1:12" hidden="1" x14ac:dyDescent="0.25">
      <c r="A111" s="28" t="s">
        <v>909</v>
      </c>
      <c r="B111" s="28" t="s">
        <v>321</v>
      </c>
      <c r="C111" s="30">
        <v>44428</v>
      </c>
      <c r="D111" s="28">
        <v>2181.75</v>
      </c>
      <c r="E111" s="28">
        <v>2175</v>
      </c>
      <c r="F111" s="28">
        <v>2190</v>
      </c>
      <c r="G111" s="28">
        <v>2162.5</v>
      </c>
      <c r="H111" s="28">
        <v>2169.48</v>
      </c>
      <c r="I111" s="28">
        <v>29221</v>
      </c>
      <c r="J111" s="28">
        <v>23456</v>
      </c>
      <c r="K111" s="28">
        <v>80.27</v>
      </c>
      <c r="L111" s="29">
        <f>SUM(NSE_BhavCopy[[#This Row],[ CLOSE_PRICE]]-NSE_BhavCopy[[#This Row],[ PREV_CLOSE]])/NSE_BhavCopy[[#This Row],[ PREV_CLOSE]]*100</f>
        <v>-0.8823192391428899</v>
      </c>
    </row>
    <row r="112" spans="1:12" hidden="1" x14ac:dyDescent="0.25">
      <c r="A112" s="28" t="s">
        <v>895</v>
      </c>
      <c r="B112" s="28" t="s">
        <v>321</v>
      </c>
      <c r="C112" s="30">
        <v>44428</v>
      </c>
      <c r="D112" s="28">
        <v>1815.1</v>
      </c>
      <c r="E112" s="28">
        <v>1806.1</v>
      </c>
      <c r="F112" s="28">
        <v>1806.1</v>
      </c>
      <c r="G112" s="28">
        <v>1796.9</v>
      </c>
      <c r="H112" s="28">
        <v>1797.63</v>
      </c>
      <c r="I112" s="28">
        <v>5</v>
      </c>
      <c r="J112" s="28">
        <v>4</v>
      </c>
      <c r="K112" s="28">
        <v>80</v>
      </c>
      <c r="L112" s="29">
        <f>SUM(NSE_BhavCopy[[#This Row],[ CLOSE_PRICE]]-NSE_BhavCopy[[#This Row],[ PREV_CLOSE]])/NSE_BhavCopy[[#This Row],[ PREV_CLOSE]]*100</f>
        <v>-1.0026995757809387</v>
      </c>
    </row>
    <row r="113" spans="1:12" hidden="1" x14ac:dyDescent="0.25">
      <c r="A113" s="28" t="s">
        <v>1805</v>
      </c>
      <c r="B113" s="28" t="s">
        <v>321</v>
      </c>
      <c r="C113" s="30">
        <v>44428</v>
      </c>
      <c r="D113" s="28">
        <v>21733</v>
      </c>
      <c r="E113" s="28">
        <v>21730</v>
      </c>
      <c r="F113" s="28">
        <v>21738</v>
      </c>
      <c r="G113" s="28">
        <v>21738</v>
      </c>
      <c r="H113" s="28">
        <v>21645.599999999999</v>
      </c>
      <c r="I113" s="28">
        <v>5</v>
      </c>
      <c r="J113" s="28">
        <v>4</v>
      </c>
      <c r="K113" s="28">
        <v>80</v>
      </c>
      <c r="L113" s="29">
        <f>SUM(NSE_BhavCopy[[#This Row],[ CLOSE_PRICE]]-NSE_BhavCopy[[#This Row],[ PREV_CLOSE]])/NSE_BhavCopy[[#This Row],[ PREV_CLOSE]]*100</f>
        <v>2.3006487829567938E-2</v>
      </c>
    </row>
    <row r="114" spans="1:12" hidden="1" x14ac:dyDescent="0.25">
      <c r="A114" s="28" t="s">
        <v>1504</v>
      </c>
      <c r="B114" s="28" t="s">
        <v>321</v>
      </c>
      <c r="C114" s="30">
        <v>44428</v>
      </c>
      <c r="D114" s="28">
        <v>1310.25</v>
      </c>
      <c r="E114" s="28">
        <v>1305</v>
      </c>
      <c r="F114" s="28">
        <v>1314.55</v>
      </c>
      <c r="G114" s="28">
        <v>1288.25</v>
      </c>
      <c r="H114" s="28">
        <v>1291.92</v>
      </c>
      <c r="I114" s="28">
        <v>580105</v>
      </c>
      <c r="J114" s="28">
        <v>463432</v>
      </c>
      <c r="K114" s="28">
        <v>79.89</v>
      </c>
      <c r="L114" s="29">
        <f>SUM(NSE_BhavCopy[[#This Row],[ CLOSE_PRICE]]-NSE_BhavCopy[[#This Row],[ PREV_CLOSE]])/NSE_BhavCopy[[#This Row],[ PREV_CLOSE]]*100</f>
        <v>-1.6790688799847358</v>
      </c>
    </row>
    <row r="115" spans="1:12" hidden="1" x14ac:dyDescent="0.25">
      <c r="A115" s="28" t="s">
        <v>441</v>
      </c>
      <c r="B115" s="28" t="s">
        <v>321</v>
      </c>
      <c r="C115" s="30">
        <v>44428</v>
      </c>
      <c r="D115" s="28">
        <v>339.71</v>
      </c>
      <c r="E115" s="28">
        <v>339.71</v>
      </c>
      <c r="F115" s="28">
        <v>354</v>
      </c>
      <c r="G115" s="28">
        <v>339.71</v>
      </c>
      <c r="H115" s="28">
        <v>341.74</v>
      </c>
      <c r="I115" s="28">
        <v>3206</v>
      </c>
      <c r="J115" s="28">
        <v>2559</v>
      </c>
      <c r="K115" s="28">
        <v>79.819999999999993</v>
      </c>
      <c r="L115" s="29">
        <f>SUM(NSE_BhavCopy[[#This Row],[ CLOSE_PRICE]]-NSE_BhavCopy[[#This Row],[ PREV_CLOSE]])/NSE_BhavCopy[[#This Row],[ PREV_CLOSE]]*100</f>
        <v>0</v>
      </c>
    </row>
    <row r="116" spans="1:12" hidden="1" x14ac:dyDescent="0.25">
      <c r="A116" s="28" t="s">
        <v>547</v>
      </c>
      <c r="B116" s="28" t="s">
        <v>321</v>
      </c>
      <c r="C116" s="30">
        <v>44428</v>
      </c>
      <c r="D116" s="28">
        <v>133.30000000000001</v>
      </c>
      <c r="E116" s="28">
        <v>135.69999999999999</v>
      </c>
      <c r="F116" s="28">
        <v>137.65</v>
      </c>
      <c r="G116" s="28">
        <v>126.65</v>
      </c>
      <c r="H116" s="28">
        <v>132.09</v>
      </c>
      <c r="I116" s="28">
        <v>56258</v>
      </c>
      <c r="J116" s="28">
        <v>44890</v>
      </c>
      <c r="K116" s="28">
        <v>79.790000000000006</v>
      </c>
      <c r="L116" s="29">
        <f>SUM(NSE_BhavCopy[[#This Row],[ CLOSE_PRICE]]-NSE_BhavCopy[[#This Row],[ PREV_CLOSE]])/NSE_BhavCopy[[#This Row],[ PREV_CLOSE]]*100</f>
        <v>-4.9887471867967026</v>
      </c>
    </row>
    <row r="117" spans="1:12" x14ac:dyDescent="0.25">
      <c r="A117" s="28" t="s">
        <v>994</v>
      </c>
      <c r="B117" s="28" t="s">
        <v>321</v>
      </c>
      <c r="C117" s="30">
        <v>44428</v>
      </c>
      <c r="D117" s="28">
        <v>79.099999999999994</v>
      </c>
      <c r="E117" s="28">
        <v>80.7</v>
      </c>
      <c r="F117" s="28">
        <v>83</v>
      </c>
      <c r="G117" s="28">
        <v>82.05</v>
      </c>
      <c r="H117" s="28">
        <v>81.900000000000006</v>
      </c>
      <c r="I117" s="28">
        <v>125105</v>
      </c>
      <c r="J117" s="28">
        <v>99799</v>
      </c>
      <c r="K117" s="28">
        <v>79.77</v>
      </c>
      <c r="L117" s="29">
        <f>SUM(NSE_BhavCopy[[#This Row],[ CLOSE_PRICE]]-NSE_BhavCopy[[#This Row],[ PREV_CLOSE]])/NSE_BhavCopy[[#This Row],[ PREV_CLOSE]]*100</f>
        <v>3.7294563843236448</v>
      </c>
    </row>
    <row r="118" spans="1:12" hidden="1" x14ac:dyDescent="0.25">
      <c r="A118" s="28" t="s">
        <v>1144</v>
      </c>
      <c r="B118" s="28" t="s">
        <v>321</v>
      </c>
      <c r="C118" s="30">
        <v>44428</v>
      </c>
      <c r="D118" s="28">
        <v>43.12</v>
      </c>
      <c r="E118" s="28">
        <v>43.07</v>
      </c>
      <c r="F118" s="28">
        <v>43.5</v>
      </c>
      <c r="G118" s="28">
        <v>42.79</v>
      </c>
      <c r="H118" s="28">
        <v>42.8</v>
      </c>
      <c r="I118" s="28">
        <v>3082</v>
      </c>
      <c r="J118" s="28">
        <v>2458</v>
      </c>
      <c r="K118" s="28">
        <v>79.75</v>
      </c>
      <c r="L118" s="29">
        <f>SUM(NSE_BhavCopy[[#This Row],[ CLOSE_PRICE]]-NSE_BhavCopy[[#This Row],[ PREV_CLOSE]])/NSE_BhavCopy[[#This Row],[ PREV_CLOSE]]*100</f>
        <v>-0.76530612244897567</v>
      </c>
    </row>
    <row r="119" spans="1:12" hidden="1" x14ac:dyDescent="0.25">
      <c r="A119" s="28" t="s">
        <v>1297</v>
      </c>
      <c r="B119" s="28" t="s">
        <v>321</v>
      </c>
      <c r="C119" s="30">
        <v>44428</v>
      </c>
      <c r="D119" s="28">
        <v>576.29999999999995</v>
      </c>
      <c r="E119" s="28">
        <v>560</v>
      </c>
      <c r="F119" s="28">
        <v>587.95000000000005</v>
      </c>
      <c r="G119" s="28">
        <v>566.4</v>
      </c>
      <c r="H119" s="28">
        <v>571.08000000000004</v>
      </c>
      <c r="I119" s="28">
        <v>1455</v>
      </c>
      <c r="J119" s="28">
        <v>1158</v>
      </c>
      <c r="K119" s="28">
        <v>79.59</v>
      </c>
      <c r="L119" s="29">
        <f>SUM(NSE_BhavCopy[[#This Row],[ CLOSE_PRICE]]-NSE_BhavCopy[[#This Row],[ PREV_CLOSE]])/NSE_BhavCopy[[#This Row],[ PREV_CLOSE]]*100</f>
        <v>-1.7178552837063992</v>
      </c>
    </row>
    <row r="120" spans="1:12" hidden="1" x14ac:dyDescent="0.25">
      <c r="A120" s="28" t="s">
        <v>1455</v>
      </c>
      <c r="B120" s="28" t="s">
        <v>321</v>
      </c>
      <c r="C120" s="30">
        <v>44428</v>
      </c>
      <c r="D120" s="28">
        <v>1987.6</v>
      </c>
      <c r="E120" s="28">
        <v>1985.6</v>
      </c>
      <c r="F120" s="28">
        <v>1986</v>
      </c>
      <c r="G120" s="28">
        <v>1979.45</v>
      </c>
      <c r="H120" s="28">
        <v>1969.53</v>
      </c>
      <c r="I120" s="28">
        <v>124872</v>
      </c>
      <c r="J120" s="28">
        <v>99378</v>
      </c>
      <c r="K120" s="28">
        <v>79.58</v>
      </c>
      <c r="L120" s="29">
        <f>SUM(NSE_BhavCopy[[#This Row],[ CLOSE_PRICE]]-NSE_BhavCopy[[#This Row],[ PREV_CLOSE]])/NSE_BhavCopy[[#This Row],[ PREV_CLOSE]]*100</f>
        <v>-0.41004226202454536</v>
      </c>
    </row>
    <row r="121" spans="1:12" hidden="1" x14ac:dyDescent="0.25">
      <c r="A121" s="28" t="s">
        <v>337</v>
      </c>
      <c r="B121" s="28" t="s">
        <v>321</v>
      </c>
      <c r="C121" s="30">
        <v>44428</v>
      </c>
      <c r="D121" s="28">
        <v>402.55</v>
      </c>
      <c r="E121" s="28">
        <v>402.55</v>
      </c>
      <c r="F121" s="28">
        <v>409</v>
      </c>
      <c r="G121" s="28">
        <v>399.1</v>
      </c>
      <c r="H121" s="28">
        <v>405.07</v>
      </c>
      <c r="I121" s="28">
        <v>112</v>
      </c>
      <c r="J121" s="28">
        <v>89</v>
      </c>
      <c r="K121" s="28">
        <v>79.459999999999994</v>
      </c>
      <c r="L121" s="29">
        <f>SUM(NSE_BhavCopy[[#This Row],[ CLOSE_PRICE]]-NSE_BhavCopy[[#This Row],[ PREV_CLOSE]])/NSE_BhavCopy[[#This Row],[ PREV_CLOSE]]*100</f>
        <v>-0.85703639299465617</v>
      </c>
    </row>
    <row r="122" spans="1:12" hidden="1" x14ac:dyDescent="0.25">
      <c r="A122" s="28" t="s">
        <v>1210</v>
      </c>
      <c r="B122" s="28" t="s">
        <v>321</v>
      </c>
      <c r="C122" s="30">
        <v>44428</v>
      </c>
      <c r="D122" s="28">
        <v>16.649999999999999</v>
      </c>
      <c r="E122" s="28">
        <v>16.350000000000001</v>
      </c>
      <c r="F122" s="28">
        <v>16.8</v>
      </c>
      <c r="G122" s="28">
        <v>16.45</v>
      </c>
      <c r="H122" s="28">
        <v>16.559999999999999</v>
      </c>
      <c r="I122" s="28">
        <v>7067</v>
      </c>
      <c r="J122" s="28">
        <v>5612</v>
      </c>
      <c r="K122" s="28">
        <v>79.41</v>
      </c>
      <c r="L122" s="29">
        <f>SUM(NSE_BhavCopy[[#This Row],[ CLOSE_PRICE]]-NSE_BhavCopy[[#This Row],[ PREV_CLOSE]])/NSE_BhavCopy[[#This Row],[ PREV_CLOSE]]*100</f>
        <v>-1.201201201201197</v>
      </c>
    </row>
    <row r="123" spans="1:12" hidden="1" x14ac:dyDescent="0.25">
      <c r="A123" s="28" t="s">
        <v>1754</v>
      </c>
      <c r="B123" s="28" t="s">
        <v>321</v>
      </c>
      <c r="C123" s="30">
        <v>44428</v>
      </c>
      <c r="D123" s="28">
        <v>1.5</v>
      </c>
      <c r="E123" s="28">
        <v>1.5</v>
      </c>
      <c r="F123" s="28">
        <v>1.65</v>
      </c>
      <c r="G123" s="28">
        <v>1.65</v>
      </c>
      <c r="H123" s="28">
        <v>1.61</v>
      </c>
      <c r="I123" s="28">
        <v>4709900</v>
      </c>
      <c r="J123" s="28">
        <v>3737846</v>
      </c>
      <c r="K123" s="28">
        <v>79.36</v>
      </c>
      <c r="L123" s="29">
        <f>SUM(NSE_BhavCopy[[#This Row],[ CLOSE_PRICE]]-NSE_BhavCopy[[#This Row],[ PREV_CLOSE]])/NSE_BhavCopy[[#This Row],[ PREV_CLOSE]]*100</f>
        <v>9.9999999999999929</v>
      </c>
    </row>
    <row r="124" spans="1:12" hidden="1" x14ac:dyDescent="0.25">
      <c r="A124" s="28" t="s">
        <v>1045</v>
      </c>
      <c r="B124" s="28" t="s">
        <v>321</v>
      </c>
      <c r="C124" s="30">
        <v>44428</v>
      </c>
      <c r="D124" s="28">
        <v>170.76</v>
      </c>
      <c r="E124" s="28">
        <v>174.2</v>
      </c>
      <c r="F124" s="28">
        <v>178.8</v>
      </c>
      <c r="G124" s="28">
        <v>169.27</v>
      </c>
      <c r="H124" s="28">
        <v>169.78</v>
      </c>
      <c r="I124" s="28">
        <v>5167</v>
      </c>
      <c r="J124" s="28">
        <v>4098</v>
      </c>
      <c r="K124" s="28">
        <v>79.31</v>
      </c>
      <c r="L124" s="29">
        <f>SUM(NSE_BhavCopy[[#This Row],[ CLOSE_PRICE]]-NSE_BhavCopy[[#This Row],[ PREV_CLOSE]])/NSE_BhavCopy[[#This Row],[ PREV_CLOSE]]*100</f>
        <v>-0.87256968845161664</v>
      </c>
    </row>
    <row r="125" spans="1:12" hidden="1" x14ac:dyDescent="0.25">
      <c r="A125" s="28" t="s">
        <v>607</v>
      </c>
      <c r="B125" s="28" t="s">
        <v>321</v>
      </c>
      <c r="C125" s="30">
        <v>44428</v>
      </c>
      <c r="D125" s="28">
        <v>1.95</v>
      </c>
      <c r="E125" s="28">
        <v>1.95</v>
      </c>
      <c r="F125" s="28">
        <v>2</v>
      </c>
      <c r="G125" s="28">
        <v>1.8</v>
      </c>
      <c r="H125" s="28">
        <v>1.85</v>
      </c>
      <c r="I125" s="28">
        <v>153350</v>
      </c>
      <c r="J125" s="28">
        <v>120948</v>
      </c>
      <c r="K125" s="28">
        <v>78.87</v>
      </c>
      <c r="L125" s="29">
        <f>SUM(NSE_BhavCopy[[#This Row],[ CLOSE_PRICE]]-NSE_BhavCopy[[#This Row],[ PREV_CLOSE]])/NSE_BhavCopy[[#This Row],[ PREV_CLOSE]]*100</f>
        <v>-7.692307692307689</v>
      </c>
    </row>
    <row r="126" spans="1:12" hidden="1" x14ac:dyDescent="0.25">
      <c r="A126" s="28" t="s">
        <v>1628</v>
      </c>
      <c r="B126" s="28" t="s">
        <v>321</v>
      </c>
      <c r="C126" s="30">
        <v>44428</v>
      </c>
      <c r="D126" s="28">
        <v>2184.5</v>
      </c>
      <c r="E126" s="28">
        <v>2190</v>
      </c>
      <c r="F126" s="28">
        <v>2205</v>
      </c>
      <c r="G126" s="28">
        <v>2187.6</v>
      </c>
      <c r="H126" s="28">
        <v>2175.8200000000002</v>
      </c>
      <c r="I126" s="28">
        <v>64590</v>
      </c>
      <c r="J126" s="28">
        <v>50882</v>
      </c>
      <c r="K126" s="28">
        <v>78.78</v>
      </c>
      <c r="L126" s="29">
        <f>SUM(NSE_BhavCopy[[#This Row],[ CLOSE_PRICE]]-NSE_BhavCopy[[#This Row],[ PREV_CLOSE]])/NSE_BhavCopy[[#This Row],[ PREV_CLOSE]]*100</f>
        <v>0.14190890363927255</v>
      </c>
    </row>
    <row r="127" spans="1:12" hidden="1" x14ac:dyDescent="0.25">
      <c r="A127" s="28" t="s">
        <v>354</v>
      </c>
      <c r="B127" s="28" t="s">
        <v>321</v>
      </c>
      <c r="C127" s="30">
        <v>44428</v>
      </c>
      <c r="D127" s="28">
        <v>370.5</v>
      </c>
      <c r="E127" s="28">
        <v>370.05</v>
      </c>
      <c r="F127" s="28">
        <v>372.45</v>
      </c>
      <c r="G127" s="28">
        <v>370.05</v>
      </c>
      <c r="H127" s="28">
        <v>369.82</v>
      </c>
      <c r="I127" s="28">
        <v>61308</v>
      </c>
      <c r="J127" s="28">
        <v>48185</v>
      </c>
      <c r="K127" s="28">
        <v>78.59</v>
      </c>
      <c r="L127" s="29">
        <f>SUM(NSE_BhavCopy[[#This Row],[ CLOSE_PRICE]]-NSE_BhavCopy[[#This Row],[ PREV_CLOSE]])/NSE_BhavCopy[[#This Row],[ PREV_CLOSE]]*100</f>
        <v>-0.12145748987853944</v>
      </c>
    </row>
    <row r="128" spans="1:12" hidden="1" x14ac:dyDescent="0.25">
      <c r="A128" s="28" t="s">
        <v>802</v>
      </c>
      <c r="B128" s="28" t="s">
        <v>321</v>
      </c>
      <c r="C128" s="30">
        <v>44428</v>
      </c>
      <c r="D128" s="28">
        <v>331.28</v>
      </c>
      <c r="E128" s="28">
        <v>336</v>
      </c>
      <c r="F128" s="28">
        <v>337.95</v>
      </c>
      <c r="G128" s="28">
        <v>320.19</v>
      </c>
      <c r="H128" s="28">
        <v>320.19</v>
      </c>
      <c r="I128" s="28">
        <v>10783</v>
      </c>
      <c r="J128" s="28">
        <v>8472</v>
      </c>
      <c r="K128" s="28">
        <v>78.569999999999993</v>
      </c>
      <c r="L128" s="29">
        <f>SUM(NSE_BhavCopy[[#This Row],[ CLOSE_PRICE]]-NSE_BhavCopy[[#This Row],[ PREV_CLOSE]])/NSE_BhavCopy[[#This Row],[ PREV_CLOSE]]*100</f>
        <v>-3.3476213475005965</v>
      </c>
    </row>
    <row r="129" spans="1:12" hidden="1" x14ac:dyDescent="0.25">
      <c r="A129" s="28" t="s">
        <v>1688</v>
      </c>
      <c r="B129" s="28" t="s">
        <v>321</v>
      </c>
      <c r="C129" s="30">
        <v>44428</v>
      </c>
      <c r="D129" s="28">
        <v>28.6</v>
      </c>
      <c r="E129" s="28">
        <v>27.5</v>
      </c>
      <c r="F129" s="28">
        <v>28.8</v>
      </c>
      <c r="G129" s="28">
        <v>27.8</v>
      </c>
      <c r="H129" s="28">
        <v>28.06</v>
      </c>
      <c r="I129" s="28">
        <v>24435</v>
      </c>
      <c r="J129" s="28">
        <v>19194</v>
      </c>
      <c r="K129" s="28">
        <v>78.55</v>
      </c>
      <c r="L129" s="29">
        <f>SUM(NSE_BhavCopy[[#This Row],[ CLOSE_PRICE]]-NSE_BhavCopy[[#This Row],[ PREV_CLOSE]])/NSE_BhavCopy[[#This Row],[ PREV_CLOSE]]*100</f>
        <v>-2.7972027972027997</v>
      </c>
    </row>
    <row r="130" spans="1:12" hidden="1" x14ac:dyDescent="0.25">
      <c r="A130" s="28" t="s">
        <v>1779</v>
      </c>
      <c r="B130" s="28" t="s">
        <v>321</v>
      </c>
      <c r="C130" s="30">
        <v>44428</v>
      </c>
      <c r="D130" s="28">
        <v>261.3</v>
      </c>
      <c r="E130" s="28">
        <v>265</v>
      </c>
      <c r="F130" s="28">
        <v>274.35000000000002</v>
      </c>
      <c r="G130" s="28">
        <v>274.35000000000002</v>
      </c>
      <c r="H130" s="28">
        <v>272.02</v>
      </c>
      <c r="I130" s="28">
        <v>93953</v>
      </c>
      <c r="J130" s="28">
        <v>73716</v>
      </c>
      <c r="K130" s="28">
        <v>78.459999999999994</v>
      </c>
      <c r="L130" s="29">
        <f>SUM(NSE_BhavCopy[[#This Row],[ CLOSE_PRICE]]-NSE_BhavCopy[[#This Row],[ PREV_CLOSE]])/NSE_BhavCopy[[#This Row],[ PREV_CLOSE]]*100</f>
        <v>4.9942594718714162</v>
      </c>
    </row>
    <row r="131" spans="1:12" hidden="1" x14ac:dyDescent="0.25">
      <c r="A131" s="28" t="s">
        <v>564</v>
      </c>
      <c r="B131" s="28" t="s">
        <v>321</v>
      </c>
      <c r="C131" s="30">
        <v>44428</v>
      </c>
      <c r="D131" s="28">
        <v>25.57</v>
      </c>
      <c r="E131" s="28">
        <v>25.65</v>
      </c>
      <c r="F131" s="28">
        <v>25.65</v>
      </c>
      <c r="G131" s="28">
        <v>24.99</v>
      </c>
      <c r="H131" s="28">
        <v>25.11</v>
      </c>
      <c r="I131" s="28">
        <v>7266487</v>
      </c>
      <c r="J131" s="28">
        <v>5691412</v>
      </c>
      <c r="K131" s="28">
        <v>78.319999999999993</v>
      </c>
      <c r="L131" s="29">
        <f>SUM(NSE_BhavCopy[[#This Row],[ CLOSE_PRICE]]-NSE_BhavCopy[[#This Row],[ PREV_CLOSE]])/NSE_BhavCopy[[#This Row],[ PREV_CLOSE]]*100</f>
        <v>-2.2682831443097453</v>
      </c>
    </row>
    <row r="132" spans="1:12" hidden="1" x14ac:dyDescent="0.25">
      <c r="A132" s="28" t="s">
        <v>1667</v>
      </c>
      <c r="B132" s="28" t="s">
        <v>321</v>
      </c>
      <c r="C132" s="30">
        <v>44428</v>
      </c>
      <c r="D132" s="28">
        <v>103.55</v>
      </c>
      <c r="E132" s="28">
        <v>102.5</v>
      </c>
      <c r="F132" s="28">
        <v>103</v>
      </c>
      <c r="G132" s="28">
        <v>99.8</v>
      </c>
      <c r="H132" s="28">
        <v>100.42</v>
      </c>
      <c r="I132" s="28">
        <v>7099</v>
      </c>
      <c r="J132" s="28">
        <v>5539</v>
      </c>
      <c r="K132" s="28">
        <v>78.03</v>
      </c>
      <c r="L132" s="29">
        <f>SUM(NSE_BhavCopy[[#This Row],[ CLOSE_PRICE]]-NSE_BhavCopy[[#This Row],[ PREV_CLOSE]])/NSE_BhavCopy[[#This Row],[ PREV_CLOSE]]*100</f>
        <v>-3.6214389183969096</v>
      </c>
    </row>
    <row r="133" spans="1:12" hidden="1" x14ac:dyDescent="0.25">
      <c r="A133" s="28" t="s">
        <v>1734</v>
      </c>
      <c r="B133" s="28" t="s">
        <v>321</v>
      </c>
      <c r="C133" s="30">
        <v>44428</v>
      </c>
      <c r="D133" s="28">
        <v>237.05</v>
      </c>
      <c r="E133" s="28">
        <v>235</v>
      </c>
      <c r="F133" s="28">
        <v>235</v>
      </c>
      <c r="G133" s="28">
        <v>224.5</v>
      </c>
      <c r="H133" s="28">
        <v>227.06</v>
      </c>
      <c r="I133" s="28">
        <v>20694</v>
      </c>
      <c r="J133" s="28">
        <v>16122</v>
      </c>
      <c r="K133" s="28">
        <v>77.91</v>
      </c>
      <c r="L133" s="29">
        <f>SUM(NSE_BhavCopy[[#This Row],[ CLOSE_PRICE]]-NSE_BhavCopy[[#This Row],[ PREV_CLOSE]])/NSE_BhavCopy[[#This Row],[ PREV_CLOSE]]*100</f>
        <v>-5.2942417211558794</v>
      </c>
    </row>
    <row r="134" spans="1:12" hidden="1" x14ac:dyDescent="0.25">
      <c r="A134" s="28" t="s">
        <v>1710</v>
      </c>
      <c r="B134" s="28" t="s">
        <v>321</v>
      </c>
      <c r="C134" s="30">
        <v>44428</v>
      </c>
      <c r="D134" s="28">
        <v>88.1</v>
      </c>
      <c r="E134" s="28">
        <v>85.5</v>
      </c>
      <c r="F134" s="28">
        <v>87.7</v>
      </c>
      <c r="G134" s="28">
        <v>87.2</v>
      </c>
      <c r="H134" s="28">
        <v>86.58</v>
      </c>
      <c r="I134" s="28">
        <v>13823</v>
      </c>
      <c r="J134" s="28">
        <v>10758</v>
      </c>
      <c r="K134" s="28">
        <v>77.83</v>
      </c>
      <c r="L134" s="29">
        <f>SUM(NSE_BhavCopy[[#This Row],[ CLOSE_PRICE]]-NSE_BhavCopy[[#This Row],[ PREV_CLOSE]])/NSE_BhavCopy[[#This Row],[ PREV_CLOSE]]*100</f>
        <v>-1.0215664018161086</v>
      </c>
    </row>
    <row r="135" spans="1:12" hidden="1" x14ac:dyDescent="0.25">
      <c r="A135" s="28" t="s">
        <v>1167</v>
      </c>
      <c r="B135" s="28" t="s">
        <v>321</v>
      </c>
      <c r="C135" s="30">
        <v>44428</v>
      </c>
      <c r="D135" s="28">
        <v>5.65</v>
      </c>
      <c r="E135" s="28">
        <v>5.5</v>
      </c>
      <c r="F135" s="28">
        <v>5.75</v>
      </c>
      <c r="G135" s="28">
        <v>5.55</v>
      </c>
      <c r="H135" s="28">
        <v>5.58</v>
      </c>
      <c r="I135" s="28">
        <v>72002</v>
      </c>
      <c r="J135" s="28">
        <v>56038</v>
      </c>
      <c r="K135" s="28">
        <v>77.83</v>
      </c>
      <c r="L135" s="29">
        <f>SUM(NSE_BhavCopy[[#This Row],[ CLOSE_PRICE]]-NSE_BhavCopy[[#This Row],[ PREV_CLOSE]])/NSE_BhavCopy[[#This Row],[ PREV_CLOSE]]*100</f>
        <v>-1.7699115044247882</v>
      </c>
    </row>
    <row r="136" spans="1:12" hidden="1" x14ac:dyDescent="0.25">
      <c r="A136" s="28" t="s">
        <v>1697</v>
      </c>
      <c r="B136" s="28" t="s">
        <v>321</v>
      </c>
      <c r="C136" s="30">
        <v>44428</v>
      </c>
      <c r="D136" s="28">
        <v>4.0999999999999996</v>
      </c>
      <c r="E136" s="28">
        <v>3.9</v>
      </c>
      <c r="F136" s="28">
        <v>4.05</v>
      </c>
      <c r="G136" s="28">
        <v>3.9</v>
      </c>
      <c r="H136" s="28">
        <v>3.91</v>
      </c>
      <c r="I136" s="28">
        <v>78902</v>
      </c>
      <c r="J136" s="28">
        <v>61300</v>
      </c>
      <c r="K136" s="28">
        <v>77.69</v>
      </c>
      <c r="L136" s="29">
        <f>SUM(NSE_BhavCopy[[#This Row],[ CLOSE_PRICE]]-NSE_BhavCopy[[#This Row],[ PREV_CLOSE]])/NSE_BhavCopy[[#This Row],[ PREV_CLOSE]]*100</f>
        <v>-4.8780487804877986</v>
      </c>
    </row>
    <row r="137" spans="1:12" hidden="1" x14ac:dyDescent="0.25">
      <c r="A137" s="28" t="s">
        <v>542</v>
      </c>
      <c r="B137" s="28" t="s">
        <v>321</v>
      </c>
      <c r="C137" s="30">
        <v>44428</v>
      </c>
      <c r="D137" s="28">
        <v>156.19999999999999</v>
      </c>
      <c r="E137" s="28">
        <v>158</v>
      </c>
      <c r="F137" s="28">
        <v>158</v>
      </c>
      <c r="G137" s="28">
        <v>152.1</v>
      </c>
      <c r="H137" s="28">
        <v>152.55000000000001</v>
      </c>
      <c r="I137" s="28">
        <v>4072</v>
      </c>
      <c r="J137" s="28">
        <v>3163</v>
      </c>
      <c r="K137" s="28">
        <v>77.680000000000007</v>
      </c>
      <c r="L137" s="29">
        <f>SUM(NSE_BhavCopy[[#This Row],[ CLOSE_PRICE]]-NSE_BhavCopy[[#This Row],[ PREV_CLOSE]])/NSE_BhavCopy[[#This Row],[ PREV_CLOSE]]*100</f>
        <v>-2.6248399487836074</v>
      </c>
    </row>
    <row r="138" spans="1:12" hidden="1" x14ac:dyDescent="0.25">
      <c r="A138" s="28" t="s">
        <v>925</v>
      </c>
      <c r="B138" s="28" t="s">
        <v>321</v>
      </c>
      <c r="C138" s="30">
        <v>44428</v>
      </c>
      <c r="D138" s="28">
        <v>2.4500000000000002</v>
      </c>
      <c r="E138" s="28">
        <v>2.4500000000000002</v>
      </c>
      <c r="F138" s="28">
        <v>2.5</v>
      </c>
      <c r="G138" s="28">
        <v>2.5</v>
      </c>
      <c r="H138" s="28">
        <v>2.46</v>
      </c>
      <c r="I138" s="28">
        <v>299192</v>
      </c>
      <c r="J138" s="28">
        <v>232218</v>
      </c>
      <c r="K138" s="28">
        <v>77.62</v>
      </c>
      <c r="L138" s="29">
        <f>SUM(NSE_BhavCopy[[#This Row],[ CLOSE_PRICE]]-NSE_BhavCopy[[#This Row],[ PREV_CLOSE]])/NSE_BhavCopy[[#This Row],[ PREV_CLOSE]]*100</f>
        <v>2.0408163265306047</v>
      </c>
    </row>
    <row r="139" spans="1:12" hidden="1" x14ac:dyDescent="0.25">
      <c r="A139" s="28" t="s">
        <v>697</v>
      </c>
      <c r="B139" s="28" t="s">
        <v>321</v>
      </c>
      <c r="C139" s="30">
        <v>44428</v>
      </c>
      <c r="D139" s="28">
        <v>138.05000000000001</v>
      </c>
      <c r="E139" s="28">
        <v>138.1</v>
      </c>
      <c r="F139" s="28">
        <v>138.1</v>
      </c>
      <c r="G139" s="28">
        <v>131.35</v>
      </c>
      <c r="H139" s="28">
        <v>133.22</v>
      </c>
      <c r="I139" s="28">
        <v>23159</v>
      </c>
      <c r="J139" s="28">
        <v>17949</v>
      </c>
      <c r="K139" s="28">
        <v>77.5</v>
      </c>
      <c r="L139" s="29">
        <f>SUM(NSE_BhavCopy[[#This Row],[ CLOSE_PRICE]]-NSE_BhavCopy[[#This Row],[ PREV_CLOSE]])/NSE_BhavCopy[[#This Row],[ PREV_CLOSE]]*100</f>
        <v>-4.8533140166606419</v>
      </c>
    </row>
    <row r="140" spans="1:12" hidden="1" x14ac:dyDescent="0.25">
      <c r="A140" s="28" t="s">
        <v>1715</v>
      </c>
      <c r="B140" s="28" t="s">
        <v>321</v>
      </c>
      <c r="C140" s="30">
        <v>44428</v>
      </c>
      <c r="D140" s="28">
        <v>362.2</v>
      </c>
      <c r="E140" s="28">
        <v>356.15</v>
      </c>
      <c r="F140" s="28">
        <v>384.5</v>
      </c>
      <c r="G140" s="28">
        <v>369.1</v>
      </c>
      <c r="H140" s="28">
        <v>366.69</v>
      </c>
      <c r="I140" s="28">
        <v>12291</v>
      </c>
      <c r="J140" s="28">
        <v>9519</v>
      </c>
      <c r="K140" s="28">
        <v>77.45</v>
      </c>
      <c r="L140" s="29">
        <f>SUM(NSE_BhavCopy[[#This Row],[ CLOSE_PRICE]]-NSE_BhavCopy[[#This Row],[ PREV_CLOSE]])/NSE_BhavCopy[[#This Row],[ PREV_CLOSE]]*100</f>
        <v>1.9050248481502028</v>
      </c>
    </row>
    <row r="141" spans="1:12" hidden="1" x14ac:dyDescent="0.25">
      <c r="A141" s="28" t="s">
        <v>611</v>
      </c>
      <c r="B141" s="28" t="s">
        <v>321</v>
      </c>
      <c r="C141" s="30">
        <v>44428</v>
      </c>
      <c r="D141" s="28">
        <v>52.15</v>
      </c>
      <c r="E141" s="28">
        <v>52.4</v>
      </c>
      <c r="F141" s="28">
        <v>52.4</v>
      </c>
      <c r="G141" s="28">
        <v>49.9</v>
      </c>
      <c r="H141" s="28">
        <v>50.12</v>
      </c>
      <c r="I141" s="28">
        <v>128590</v>
      </c>
      <c r="J141" s="28">
        <v>99584</v>
      </c>
      <c r="K141" s="28">
        <v>77.44</v>
      </c>
      <c r="L141" s="29">
        <f>SUM(NSE_BhavCopy[[#This Row],[ CLOSE_PRICE]]-NSE_BhavCopy[[#This Row],[ PREV_CLOSE]])/NSE_BhavCopy[[#This Row],[ PREV_CLOSE]]*100</f>
        <v>-4.3144774688398853</v>
      </c>
    </row>
    <row r="142" spans="1:12" hidden="1" x14ac:dyDescent="0.25">
      <c r="A142" s="28" t="s">
        <v>1731</v>
      </c>
      <c r="B142" s="28" t="s">
        <v>321</v>
      </c>
      <c r="C142" s="30">
        <v>44428</v>
      </c>
      <c r="D142" s="28">
        <v>76.349999999999994</v>
      </c>
      <c r="E142" s="28">
        <v>77.900000000000006</v>
      </c>
      <c r="F142" s="28">
        <v>79.900000000000006</v>
      </c>
      <c r="G142" s="28">
        <v>74.849999999999994</v>
      </c>
      <c r="H142" s="28">
        <v>77.09</v>
      </c>
      <c r="I142" s="28">
        <v>206592</v>
      </c>
      <c r="J142" s="28">
        <v>159906</v>
      </c>
      <c r="K142" s="28">
        <v>77.400000000000006</v>
      </c>
      <c r="L142" s="29">
        <f>SUM(NSE_BhavCopy[[#This Row],[ CLOSE_PRICE]]-NSE_BhavCopy[[#This Row],[ PREV_CLOSE]])/NSE_BhavCopy[[#This Row],[ PREV_CLOSE]]*100</f>
        <v>-1.9646365422396859</v>
      </c>
    </row>
    <row r="143" spans="1:12" hidden="1" x14ac:dyDescent="0.25">
      <c r="A143" s="28" t="s">
        <v>1709</v>
      </c>
      <c r="B143" s="28" t="s">
        <v>321</v>
      </c>
      <c r="C143" s="30">
        <v>44428</v>
      </c>
      <c r="D143" s="28">
        <v>5.9</v>
      </c>
      <c r="E143" s="28">
        <v>5.65</v>
      </c>
      <c r="F143" s="28">
        <v>6.1</v>
      </c>
      <c r="G143" s="28">
        <v>5.75</v>
      </c>
      <c r="H143" s="28">
        <v>5.72</v>
      </c>
      <c r="I143" s="28">
        <v>855236</v>
      </c>
      <c r="J143" s="28">
        <v>659095</v>
      </c>
      <c r="K143" s="28">
        <v>77.069999999999993</v>
      </c>
      <c r="L143" s="29">
        <f>SUM(NSE_BhavCopy[[#This Row],[ CLOSE_PRICE]]-NSE_BhavCopy[[#This Row],[ PREV_CLOSE]])/NSE_BhavCopy[[#This Row],[ PREV_CLOSE]]*100</f>
        <v>-2.5423728813559379</v>
      </c>
    </row>
    <row r="144" spans="1:12" hidden="1" x14ac:dyDescent="0.25">
      <c r="A144" s="28" t="s">
        <v>381</v>
      </c>
      <c r="B144" s="28" t="s">
        <v>321</v>
      </c>
      <c r="C144" s="30">
        <v>44428</v>
      </c>
      <c r="D144" s="28">
        <v>691.35</v>
      </c>
      <c r="E144" s="28">
        <v>690</v>
      </c>
      <c r="F144" s="28">
        <v>698.4</v>
      </c>
      <c r="G144" s="28">
        <v>682.8</v>
      </c>
      <c r="H144" s="28">
        <v>686.06</v>
      </c>
      <c r="I144" s="28">
        <v>92700</v>
      </c>
      <c r="J144" s="28">
        <v>71411</v>
      </c>
      <c r="K144" s="28">
        <v>77.03</v>
      </c>
      <c r="L144" s="29">
        <f>SUM(NSE_BhavCopy[[#This Row],[ CLOSE_PRICE]]-NSE_BhavCopy[[#This Row],[ PREV_CLOSE]])/NSE_BhavCopy[[#This Row],[ PREV_CLOSE]]*100</f>
        <v>-1.2367107832501727</v>
      </c>
    </row>
    <row r="145" spans="1:12" hidden="1" x14ac:dyDescent="0.25">
      <c r="A145" s="28" t="s">
        <v>1065</v>
      </c>
      <c r="B145" s="28" t="s">
        <v>321</v>
      </c>
      <c r="C145" s="30">
        <v>44428</v>
      </c>
      <c r="D145" s="28">
        <v>71.349999999999994</v>
      </c>
      <c r="E145" s="28">
        <v>70.900000000000006</v>
      </c>
      <c r="F145" s="28">
        <v>71.5</v>
      </c>
      <c r="G145" s="28">
        <v>69.45</v>
      </c>
      <c r="H145" s="28">
        <v>70.02</v>
      </c>
      <c r="I145" s="28">
        <v>464943</v>
      </c>
      <c r="J145" s="28">
        <v>357544</v>
      </c>
      <c r="K145" s="28">
        <v>76.900000000000006</v>
      </c>
      <c r="L145" s="29">
        <f>SUM(NSE_BhavCopy[[#This Row],[ CLOSE_PRICE]]-NSE_BhavCopy[[#This Row],[ PREV_CLOSE]])/NSE_BhavCopy[[#This Row],[ PREV_CLOSE]]*100</f>
        <v>-2.662929222144347</v>
      </c>
    </row>
    <row r="146" spans="1:12" hidden="1" x14ac:dyDescent="0.25">
      <c r="A146" s="28" t="s">
        <v>1267</v>
      </c>
      <c r="B146" s="28" t="s">
        <v>321</v>
      </c>
      <c r="C146" s="30">
        <v>44428</v>
      </c>
      <c r="D146" s="28">
        <v>824.7</v>
      </c>
      <c r="E146" s="28">
        <v>816.5</v>
      </c>
      <c r="F146" s="28">
        <v>830.4</v>
      </c>
      <c r="G146" s="28">
        <v>822.25</v>
      </c>
      <c r="H146" s="28">
        <v>819.87</v>
      </c>
      <c r="I146" s="28">
        <v>169061</v>
      </c>
      <c r="J146" s="28">
        <v>129967</v>
      </c>
      <c r="K146" s="28">
        <v>76.88</v>
      </c>
      <c r="L146" s="29">
        <f>SUM(NSE_BhavCopy[[#This Row],[ CLOSE_PRICE]]-NSE_BhavCopy[[#This Row],[ PREV_CLOSE]])/NSE_BhavCopy[[#This Row],[ PREV_CLOSE]]*100</f>
        <v>-0.29707772523342374</v>
      </c>
    </row>
    <row r="147" spans="1:12" hidden="1" x14ac:dyDescent="0.25">
      <c r="A147" s="28" t="s">
        <v>392</v>
      </c>
      <c r="B147" s="28" t="s">
        <v>321</v>
      </c>
      <c r="C147" s="30">
        <v>44428</v>
      </c>
      <c r="D147" s="28">
        <v>332.15</v>
      </c>
      <c r="E147" s="28">
        <v>330</v>
      </c>
      <c r="F147" s="28">
        <v>330</v>
      </c>
      <c r="G147" s="28">
        <v>318.3</v>
      </c>
      <c r="H147" s="28">
        <v>323.14999999999998</v>
      </c>
      <c r="I147" s="28">
        <v>60622</v>
      </c>
      <c r="J147" s="28">
        <v>46527</v>
      </c>
      <c r="K147" s="28">
        <v>76.75</v>
      </c>
      <c r="L147" s="29">
        <f>SUM(NSE_BhavCopy[[#This Row],[ CLOSE_PRICE]]-NSE_BhavCopy[[#This Row],[ PREV_CLOSE]])/NSE_BhavCopy[[#This Row],[ PREV_CLOSE]]*100</f>
        <v>-4.1698027999397764</v>
      </c>
    </row>
    <row r="148" spans="1:12" hidden="1" x14ac:dyDescent="0.25">
      <c r="A148" s="28" t="s">
        <v>1767</v>
      </c>
      <c r="B148" s="28" t="s">
        <v>321</v>
      </c>
      <c r="C148" s="30">
        <v>44428</v>
      </c>
      <c r="D148" s="28">
        <v>4.95</v>
      </c>
      <c r="E148" s="28">
        <v>4.75</v>
      </c>
      <c r="F148" s="28">
        <v>4.9000000000000004</v>
      </c>
      <c r="G148" s="28">
        <v>4.75</v>
      </c>
      <c r="H148" s="28">
        <v>4.7699999999999996</v>
      </c>
      <c r="I148" s="28">
        <v>4295</v>
      </c>
      <c r="J148" s="28">
        <v>3295</v>
      </c>
      <c r="K148" s="28">
        <v>76.72</v>
      </c>
      <c r="L148" s="29">
        <f>SUM(NSE_BhavCopy[[#This Row],[ CLOSE_PRICE]]-NSE_BhavCopy[[#This Row],[ PREV_CLOSE]])/NSE_BhavCopy[[#This Row],[ PREV_CLOSE]]*100</f>
        <v>-4.0404040404040433</v>
      </c>
    </row>
    <row r="149" spans="1:12" hidden="1" x14ac:dyDescent="0.25">
      <c r="A149" s="28" t="s">
        <v>1044</v>
      </c>
      <c r="B149" s="28" t="s">
        <v>321</v>
      </c>
      <c r="C149" s="30">
        <v>44428</v>
      </c>
      <c r="D149" s="28">
        <v>36</v>
      </c>
      <c r="E149" s="28">
        <v>35.75</v>
      </c>
      <c r="F149" s="28">
        <v>37</v>
      </c>
      <c r="G149" s="28">
        <v>35</v>
      </c>
      <c r="H149" s="28">
        <v>35.56</v>
      </c>
      <c r="I149" s="28">
        <v>27253</v>
      </c>
      <c r="J149" s="28">
        <v>20874</v>
      </c>
      <c r="K149" s="28">
        <v>76.59</v>
      </c>
      <c r="L149" s="29">
        <f>SUM(NSE_BhavCopy[[#This Row],[ CLOSE_PRICE]]-NSE_BhavCopy[[#This Row],[ PREV_CLOSE]])/NSE_BhavCopy[[#This Row],[ PREV_CLOSE]]*100</f>
        <v>-2.7777777777777777</v>
      </c>
    </row>
    <row r="150" spans="1:12" hidden="1" x14ac:dyDescent="0.25">
      <c r="A150" s="28" t="s">
        <v>1111</v>
      </c>
      <c r="B150" s="28" t="s">
        <v>321</v>
      </c>
      <c r="C150" s="30">
        <v>44428</v>
      </c>
      <c r="D150" s="28">
        <v>36.35</v>
      </c>
      <c r="E150" s="28">
        <v>35.950000000000003</v>
      </c>
      <c r="F150" s="28">
        <v>36.799999999999997</v>
      </c>
      <c r="G150" s="28">
        <v>36.25</v>
      </c>
      <c r="H150" s="28">
        <v>36.36</v>
      </c>
      <c r="I150" s="28">
        <v>8155</v>
      </c>
      <c r="J150" s="28">
        <v>6239</v>
      </c>
      <c r="K150" s="28">
        <v>76.510000000000005</v>
      </c>
      <c r="L150" s="29">
        <f>SUM(NSE_BhavCopy[[#This Row],[ CLOSE_PRICE]]-NSE_BhavCopy[[#This Row],[ PREV_CLOSE]])/NSE_BhavCopy[[#This Row],[ PREV_CLOSE]]*100</f>
        <v>-0.27510316368638632</v>
      </c>
    </row>
    <row r="151" spans="1:12" hidden="1" x14ac:dyDescent="0.25">
      <c r="A151" s="28" t="s">
        <v>1776</v>
      </c>
      <c r="B151" s="28" t="s">
        <v>321</v>
      </c>
      <c r="C151" s="30">
        <v>44428</v>
      </c>
      <c r="D151" s="28">
        <v>10.15</v>
      </c>
      <c r="E151" s="28">
        <v>9.65</v>
      </c>
      <c r="F151" s="28">
        <v>9.8000000000000007</v>
      </c>
      <c r="G151" s="28">
        <v>9.65</v>
      </c>
      <c r="H151" s="28">
        <v>9.66</v>
      </c>
      <c r="I151" s="28">
        <v>33769</v>
      </c>
      <c r="J151" s="28">
        <v>25813</v>
      </c>
      <c r="K151" s="28">
        <v>76.44</v>
      </c>
      <c r="L151" s="29">
        <f>SUM(NSE_BhavCopy[[#This Row],[ CLOSE_PRICE]]-NSE_BhavCopy[[#This Row],[ PREV_CLOSE]])/NSE_BhavCopy[[#This Row],[ PREV_CLOSE]]*100</f>
        <v>-4.9261083743842358</v>
      </c>
    </row>
    <row r="152" spans="1:12" hidden="1" x14ac:dyDescent="0.25">
      <c r="A152" s="28" t="s">
        <v>862</v>
      </c>
      <c r="B152" s="28" t="s">
        <v>321</v>
      </c>
      <c r="C152" s="30">
        <v>44428</v>
      </c>
      <c r="D152" s="28">
        <v>12.6</v>
      </c>
      <c r="E152" s="28">
        <v>12.95</v>
      </c>
      <c r="F152" s="28">
        <v>12.95</v>
      </c>
      <c r="G152" s="28">
        <v>12.4</v>
      </c>
      <c r="H152" s="28">
        <v>12.45</v>
      </c>
      <c r="I152" s="28">
        <v>12876</v>
      </c>
      <c r="J152" s="28">
        <v>9811</v>
      </c>
      <c r="K152" s="28">
        <v>76.2</v>
      </c>
      <c r="L152" s="29">
        <f>SUM(NSE_BhavCopy[[#This Row],[ CLOSE_PRICE]]-NSE_BhavCopy[[#This Row],[ PREV_CLOSE]])/NSE_BhavCopy[[#This Row],[ PREV_CLOSE]]*100</f>
        <v>-1.5873015873015817</v>
      </c>
    </row>
    <row r="153" spans="1:12" hidden="1" x14ac:dyDescent="0.25">
      <c r="A153" s="28" t="s">
        <v>1493</v>
      </c>
      <c r="B153" s="28" t="s">
        <v>321</v>
      </c>
      <c r="C153" s="30">
        <v>44428</v>
      </c>
      <c r="D153" s="28">
        <v>4152.3</v>
      </c>
      <c r="E153" s="28">
        <v>4075</v>
      </c>
      <c r="F153" s="28">
        <v>4185</v>
      </c>
      <c r="G153" s="28">
        <v>3980.2</v>
      </c>
      <c r="H153" s="28">
        <v>4095.61</v>
      </c>
      <c r="I153" s="28">
        <v>49687</v>
      </c>
      <c r="J153" s="28">
        <v>37832</v>
      </c>
      <c r="K153" s="28">
        <v>76.14</v>
      </c>
      <c r="L153" s="29">
        <f>SUM(NSE_BhavCopy[[#This Row],[ CLOSE_PRICE]]-NSE_BhavCopy[[#This Row],[ PREV_CLOSE]])/NSE_BhavCopy[[#This Row],[ PREV_CLOSE]]*100</f>
        <v>-4.1446908942032215</v>
      </c>
    </row>
    <row r="154" spans="1:12" hidden="1" x14ac:dyDescent="0.25">
      <c r="A154" s="28" t="s">
        <v>1219</v>
      </c>
      <c r="B154" s="28" t="s">
        <v>321</v>
      </c>
      <c r="C154" s="30">
        <v>44428</v>
      </c>
      <c r="D154" s="28">
        <v>12807</v>
      </c>
      <c r="E154" s="28">
        <v>12800</v>
      </c>
      <c r="F154" s="28">
        <v>12968</v>
      </c>
      <c r="G154" s="28">
        <v>12806.9</v>
      </c>
      <c r="H154" s="28">
        <v>12667.36</v>
      </c>
      <c r="I154" s="28">
        <v>16595</v>
      </c>
      <c r="J154" s="28">
        <v>12602</v>
      </c>
      <c r="K154" s="28">
        <v>75.94</v>
      </c>
      <c r="L154" s="29">
        <f>SUM(NSE_BhavCopy[[#This Row],[ CLOSE_PRICE]]-NSE_BhavCopy[[#This Row],[ PREV_CLOSE]])/NSE_BhavCopy[[#This Row],[ PREV_CLOSE]]*100</f>
        <v>-7.8082298743159062E-4</v>
      </c>
    </row>
    <row r="155" spans="1:12" hidden="1" x14ac:dyDescent="0.25">
      <c r="A155" s="28" t="s">
        <v>1404</v>
      </c>
      <c r="B155" s="28" t="s">
        <v>321</v>
      </c>
      <c r="C155" s="30">
        <v>44428</v>
      </c>
      <c r="D155" s="28">
        <v>736.25</v>
      </c>
      <c r="E155" s="28">
        <v>723.6</v>
      </c>
      <c r="F155" s="28">
        <v>760</v>
      </c>
      <c r="G155" s="28">
        <v>746.45</v>
      </c>
      <c r="H155" s="28">
        <v>744.65</v>
      </c>
      <c r="I155" s="28">
        <v>10754</v>
      </c>
      <c r="J155" s="28">
        <v>8165</v>
      </c>
      <c r="K155" s="28">
        <v>75.930000000000007</v>
      </c>
      <c r="L155" s="29">
        <f>SUM(NSE_BhavCopy[[#This Row],[ CLOSE_PRICE]]-NSE_BhavCopy[[#This Row],[ PREV_CLOSE]])/NSE_BhavCopy[[#This Row],[ PREV_CLOSE]]*100</f>
        <v>1.3853989813242846</v>
      </c>
    </row>
    <row r="156" spans="1:12" hidden="1" x14ac:dyDescent="0.25">
      <c r="A156" s="28" t="s">
        <v>439</v>
      </c>
      <c r="B156" s="28" t="s">
        <v>321</v>
      </c>
      <c r="C156" s="30">
        <v>44428</v>
      </c>
      <c r="D156" s="28">
        <v>88.55</v>
      </c>
      <c r="E156" s="28">
        <v>88</v>
      </c>
      <c r="F156" s="28">
        <v>89.97</v>
      </c>
      <c r="G156" s="28">
        <v>88.14</v>
      </c>
      <c r="H156" s="28">
        <v>88.89</v>
      </c>
      <c r="I156" s="28">
        <v>8407</v>
      </c>
      <c r="J156" s="28">
        <v>6375</v>
      </c>
      <c r="K156" s="28">
        <v>75.83</v>
      </c>
      <c r="L156" s="29">
        <f>SUM(NSE_BhavCopy[[#This Row],[ CLOSE_PRICE]]-NSE_BhavCopy[[#This Row],[ PREV_CLOSE]])/NSE_BhavCopy[[#This Row],[ PREV_CLOSE]]*100</f>
        <v>-0.46301524562393748</v>
      </c>
    </row>
    <row r="157" spans="1:12" hidden="1" x14ac:dyDescent="0.25">
      <c r="A157" s="28" t="s">
        <v>398</v>
      </c>
      <c r="B157" s="28" t="s">
        <v>321</v>
      </c>
      <c r="C157" s="30">
        <v>44428</v>
      </c>
      <c r="D157" s="28">
        <v>1360.35</v>
      </c>
      <c r="E157" s="28">
        <v>1380</v>
      </c>
      <c r="F157" s="28">
        <v>1390</v>
      </c>
      <c r="G157" s="28">
        <v>1334</v>
      </c>
      <c r="H157" s="28">
        <v>1349.49</v>
      </c>
      <c r="I157" s="28">
        <v>84758</v>
      </c>
      <c r="J157" s="28">
        <v>64212</v>
      </c>
      <c r="K157" s="28">
        <v>75.760000000000005</v>
      </c>
      <c r="L157" s="29">
        <f>SUM(NSE_BhavCopy[[#This Row],[ CLOSE_PRICE]]-NSE_BhavCopy[[#This Row],[ PREV_CLOSE]])/NSE_BhavCopy[[#This Row],[ PREV_CLOSE]]*100</f>
        <v>-1.9370015069651125</v>
      </c>
    </row>
    <row r="158" spans="1:12" hidden="1" x14ac:dyDescent="0.25">
      <c r="A158" s="28" t="s">
        <v>1717</v>
      </c>
      <c r="B158" s="28" t="s">
        <v>321</v>
      </c>
      <c r="C158" s="30">
        <v>44428</v>
      </c>
      <c r="D158" s="28">
        <v>178.15</v>
      </c>
      <c r="E158" s="28">
        <v>178.15</v>
      </c>
      <c r="F158" s="28">
        <v>181.25</v>
      </c>
      <c r="G158" s="28">
        <v>179.35</v>
      </c>
      <c r="H158" s="28">
        <v>175.18</v>
      </c>
      <c r="I158" s="28">
        <v>7039</v>
      </c>
      <c r="J158" s="28">
        <v>5333</v>
      </c>
      <c r="K158" s="28">
        <v>75.760000000000005</v>
      </c>
      <c r="L158" s="29">
        <f>SUM(NSE_BhavCopy[[#This Row],[ CLOSE_PRICE]]-NSE_BhavCopy[[#This Row],[ PREV_CLOSE]])/NSE_BhavCopy[[#This Row],[ PREV_CLOSE]]*100</f>
        <v>0.6735896716250287</v>
      </c>
    </row>
    <row r="159" spans="1:12" hidden="1" x14ac:dyDescent="0.25">
      <c r="A159" s="28" t="s">
        <v>489</v>
      </c>
      <c r="B159" s="28" t="s">
        <v>321</v>
      </c>
      <c r="C159" s="30">
        <v>44428</v>
      </c>
      <c r="D159" s="28">
        <v>1357.7</v>
      </c>
      <c r="E159" s="28">
        <v>1350</v>
      </c>
      <c r="F159" s="28">
        <v>1350</v>
      </c>
      <c r="G159" s="28">
        <v>1312.5</v>
      </c>
      <c r="H159" s="28">
        <v>1309.72</v>
      </c>
      <c r="I159" s="28">
        <v>146056</v>
      </c>
      <c r="J159" s="28">
        <v>110569</v>
      </c>
      <c r="K159" s="28">
        <v>75.7</v>
      </c>
      <c r="L159" s="29">
        <f>SUM(NSE_BhavCopy[[#This Row],[ CLOSE_PRICE]]-NSE_BhavCopy[[#This Row],[ PREV_CLOSE]])/NSE_BhavCopy[[#This Row],[ PREV_CLOSE]]*100</f>
        <v>-3.3291596081608636</v>
      </c>
    </row>
    <row r="160" spans="1:12" hidden="1" x14ac:dyDescent="0.25">
      <c r="A160" s="28" t="s">
        <v>822</v>
      </c>
      <c r="B160" s="28" t="s">
        <v>321</v>
      </c>
      <c r="C160" s="30">
        <v>44428</v>
      </c>
      <c r="D160" s="28">
        <v>1000</v>
      </c>
      <c r="E160" s="28">
        <v>1000</v>
      </c>
      <c r="F160" s="28">
        <v>1000.01</v>
      </c>
      <c r="G160" s="28">
        <v>999.99</v>
      </c>
      <c r="H160" s="28">
        <v>1000</v>
      </c>
      <c r="I160" s="28">
        <v>65223</v>
      </c>
      <c r="J160" s="28">
        <v>49367</v>
      </c>
      <c r="K160" s="28">
        <v>75.69</v>
      </c>
      <c r="L160" s="29">
        <f>SUM(NSE_BhavCopy[[#This Row],[ CLOSE_PRICE]]-NSE_BhavCopy[[#This Row],[ PREV_CLOSE]])/NSE_BhavCopy[[#This Row],[ PREV_CLOSE]]*100</f>
        <v>-9.9999999999909059E-4</v>
      </c>
    </row>
    <row r="161" spans="1:12" hidden="1" x14ac:dyDescent="0.25">
      <c r="A161" s="28" t="s">
        <v>825</v>
      </c>
      <c r="B161" s="28" t="s">
        <v>321</v>
      </c>
      <c r="C161" s="30">
        <v>44428</v>
      </c>
      <c r="D161" s="28">
        <v>98.4</v>
      </c>
      <c r="E161" s="28">
        <v>98.4</v>
      </c>
      <c r="F161" s="28">
        <v>98.4</v>
      </c>
      <c r="G161" s="28">
        <v>96.99</v>
      </c>
      <c r="H161" s="28">
        <v>97.35</v>
      </c>
      <c r="I161" s="28">
        <v>9225</v>
      </c>
      <c r="J161" s="28">
        <v>6978</v>
      </c>
      <c r="K161" s="28">
        <v>75.64</v>
      </c>
      <c r="L161" s="29">
        <f>SUM(NSE_BhavCopy[[#This Row],[ CLOSE_PRICE]]-NSE_BhavCopy[[#This Row],[ PREV_CLOSE]])/NSE_BhavCopy[[#This Row],[ PREV_CLOSE]]*100</f>
        <v>-1.4329268292683035</v>
      </c>
    </row>
    <row r="162" spans="1:12" hidden="1" x14ac:dyDescent="0.25">
      <c r="A162" s="28" t="s">
        <v>1713</v>
      </c>
      <c r="B162" s="28" t="s">
        <v>321</v>
      </c>
      <c r="C162" s="30">
        <v>44428</v>
      </c>
      <c r="D162" s="28">
        <v>43.65</v>
      </c>
      <c r="E162" s="28">
        <v>43</v>
      </c>
      <c r="F162" s="28">
        <v>44.05</v>
      </c>
      <c r="G162" s="28">
        <v>43.65</v>
      </c>
      <c r="H162" s="28">
        <v>43.24</v>
      </c>
      <c r="I162" s="28">
        <v>17207</v>
      </c>
      <c r="J162" s="28">
        <v>12958</v>
      </c>
      <c r="K162" s="28">
        <v>75.31</v>
      </c>
      <c r="L162" s="29">
        <f>SUM(NSE_BhavCopy[[#This Row],[ CLOSE_PRICE]]-NSE_BhavCopy[[#This Row],[ PREV_CLOSE]])/NSE_BhavCopy[[#This Row],[ PREV_CLOSE]]*100</f>
        <v>0</v>
      </c>
    </row>
    <row r="163" spans="1:12" hidden="1" x14ac:dyDescent="0.25">
      <c r="A163" s="28" t="s">
        <v>814</v>
      </c>
      <c r="B163" s="28" t="s">
        <v>321</v>
      </c>
      <c r="C163" s="30">
        <v>44428</v>
      </c>
      <c r="D163" s="28">
        <v>76.5</v>
      </c>
      <c r="E163" s="28">
        <v>75</v>
      </c>
      <c r="F163" s="28">
        <v>76.45</v>
      </c>
      <c r="G163" s="28">
        <v>73.5</v>
      </c>
      <c r="H163" s="28">
        <v>74.239999999999995</v>
      </c>
      <c r="I163" s="28">
        <v>17331</v>
      </c>
      <c r="J163" s="28">
        <v>13049</v>
      </c>
      <c r="K163" s="28">
        <v>75.290000000000006</v>
      </c>
      <c r="L163" s="29">
        <f>SUM(NSE_BhavCopy[[#This Row],[ CLOSE_PRICE]]-NSE_BhavCopy[[#This Row],[ PREV_CLOSE]])/NSE_BhavCopy[[#This Row],[ PREV_CLOSE]]*100</f>
        <v>-3.9215686274509802</v>
      </c>
    </row>
    <row r="164" spans="1:12" hidden="1" x14ac:dyDescent="0.25">
      <c r="A164" s="28" t="s">
        <v>1201</v>
      </c>
      <c r="B164" s="28" t="s">
        <v>321</v>
      </c>
      <c r="C164" s="30">
        <v>44428</v>
      </c>
      <c r="D164" s="28">
        <v>314.60000000000002</v>
      </c>
      <c r="E164" s="28">
        <v>313</v>
      </c>
      <c r="F164" s="28">
        <v>313.35000000000002</v>
      </c>
      <c r="G164" s="28">
        <v>305.75</v>
      </c>
      <c r="H164" s="28">
        <v>308.23</v>
      </c>
      <c r="I164" s="28">
        <v>93929</v>
      </c>
      <c r="J164" s="28">
        <v>70629</v>
      </c>
      <c r="K164" s="28">
        <v>75.19</v>
      </c>
      <c r="L164" s="29">
        <f>SUM(NSE_BhavCopy[[#This Row],[ CLOSE_PRICE]]-NSE_BhavCopy[[#This Row],[ PREV_CLOSE]])/NSE_BhavCopy[[#This Row],[ PREV_CLOSE]]*100</f>
        <v>-2.8130959949141841</v>
      </c>
    </row>
    <row r="165" spans="1:12" hidden="1" x14ac:dyDescent="0.25">
      <c r="A165" s="28" t="s">
        <v>1362</v>
      </c>
      <c r="B165" s="28" t="s">
        <v>321</v>
      </c>
      <c r="C165" s="30">
        <v>44428</v>
      </c>
      <c r="D165" s="28">
        <v>62.3</v>
      </c>
      <c r="E165" s="28">
        <v>61.8</v>
      </c>
      <c r="F165" s="28">
        <v>61.8</v>
      </c>
      <c r="G165" s="28">
        <v>59.35</v>
      </c>
      <c r="H165" s="28">
        <v>59.66</v>
      </c>
      <c r="I165" s="28">
        <v>24398</v>
      </c>
      <c r="J165" s="28">
        <v>18343</v>
      </c>
      <c r="K165" s="28">
        <v>75.180000000000007</v>
      </c>
      <c r="L165" s="29">
        <f>SUM(NSE_BhavCopy[[#This Row],[ CLOSE_PRICE]]-NSE_BhavCopy[[#This Row],[ PREV_CLOSE]])/NSE_BhavCopy[[#This Row],[ PREV_CLOSE]]*100</f>
        <v>-4.7351524879614697</v>
      </c>
    </row>
    <row r="166" spans="1:12" hidden="1" x14ac:dyDescent="0.25">
      <c r="A166" s="28" t="s">
        <v>1738</v>
      </c>
      <c r="B166" s="28" t="s">
        <v>321</v>
      </c>
      <c r="C166" s="30">
        <v>44428</v>
      </c>
      <c r="D166" s="28">
        <v>36.450000000000003</v>
      </c>
      <c r="E166" s="28">
        <v>36.5</v>
      </c>
      <c r="F166" s="28">
        <v>36.5</v>
      </c>
      <c r="G166" s="28">
        <v>34.35</v>
      </c>
      <c r="H166" s="28">
        <v>35.159999999999997</v>
      </c>
      <c r="I166" s="28">
        <v>6351</v>
      </c>
      <c r="J166" s="28">
        <v>4765</v>
      </c>
      <c r="K166" s="28">
        <v>75.03</v>
      </c>
      <c r="L166" s="29">
        <f>SUM(NSE_BhavCopy[[#This Row],[ CLOSE_PRICE]]-NSE_BhavCopy[[#This Row],[ PREV_CLOSE]])/NSE_BhavCopy[[#This Row],[ PREV_CLOSE]]*100</f>
        <v>-5.7613168724279875</v>
      </c>
    </row>
    <row r="167" spans="1:12" hidden="1" x14ac:dyDescent="0.25">
      <c r="A167" s="28" t="s">
        <v>1502</v>
      </c>
      <c r="B167" s="28" t="s">
        <v>321</v>
      </c>
      <c r="C167" s="30">
        <v>44428</v>
      </c>
      <c r="D167" s="28">
        <v>1369.85</v>
      </c>
      <c r="E167" s="28">
        <v>1369</v>
      </c>
      <c r="F167" s="28">
        <v>1389</v>
      </c>
      <c r="G167" s="28">
        <v>1376.15</v>
      </c>
      <c r="H167" s="28">
        <v>1375.32</v>
      </c>
      <c r="I167" s="28">
        <v>62749</v>
      </c>
      <c r="J167" s="28">
        <v>47041</v>
      </c>
      <c r="K167" s="28">
        <v>74.97</v>
      </c>
      <c r="L167" s="29">
        <f>SUM(NSE_BhavCopy[[#This Row],[ CLOSE_PRICE]]-NSE_BhavCopy[[#This Row],[ PREV_CLOSE]])/NSE_BhavCopy[[#This Row],[ PREV_CLOSE]]*100</f>
        <v>0.45990436909151972</v>
      </c>
    </row>
    <row r="168" spans="1:12" hidden="1" x14ac:dyDescent="0.25">
      <c r="A168" s="28" t="s">
        <v>1777</v>
      </c>
      <c r="B168" s="28" t="s">
        <v>321</v>
      </c>
      <c r="C168" s="30">
        <v>44428</v>
      </c>
      <c r="D168" s="28">
        <v>0.75</v>
      </c>
      <c r="E168" s="28">
        <v>0.75</v>
      </c>
      <c r="F168" s="28">
        <v>0.8</v>
      </c>
      <c r="G168" s="28">
        <v>0.75</v>
      </c>
      <c r="H168" s="28">
        <v>0.77</v>
      </c>
      <c r="I168" s="28">
        <v>1978171</v>
      </c>
      <c r="J168" s="28">
        <v>1482375</v>
      </c>
      <c r="K168" s="28">
        <v>74.94</v>
      </c>
      <c r="L168" s="29">
        <f>SUM(NSE_BhavCopy[[#This Row],[ CLOSE_PRICE]]-NSE_BhavCopy[[#This Row],[ PREV_CLOSE]])/NSE_BhavCopy[[#This Row],[ PREV_CLOSE]]*100</f>
        <v>0</v>
      </c>
    </row>
    <row r="169" spans="1:12" hidden="1" x14ac:dyDescent="0.25">
      <c r="A169" s="28" t="s">
        <v>1270</v>
      </c>
      <c r="B169" s="28" t="s">
        <v>321</v>
      </c>
      <c r="C169" s="30">
        <v>44428</v>
      </c>
      <c r="D169" s="28">
        <v>23.55</v>
      </c>
      <c r="E169" s="28">
        <v>23.5</v>
      </c>
      <c r="F169" s="28">
        <v>23.6</v>
      </c>
      <c r="G169" s="28">
        <v>23.4</v>
      </c>
      <c r="H169" s="28">
        <v>23.27</v>
      </c>
      <c r="I169" s="28">
        <v>364089</v>
      </c>
      <c r="J169" s="28">
        <v>271873</v>
      </c>
      <c r="K169" s="28">
        <v>74.67</v>
      </c>
      <c r="L169" s="29">
        <f>SUM(NSE_BhavCopy[[#This Row],[ CLOSE_PRICE]]-NSE_BhavCopy[[#This Row],[ PREV_CLOSE]])/NSE_BhavCopy[[#This Row],[ PREV_CLOSE]]*100</f>
        <v>-0.63694267515924474</v>
      </c>
    </row>
    <row r="170" spans="1:12" hidden="1" x14ac:dyDescent="0.25">
      <c r="A170" s="28" t="s">
        <v>1578</v>
      </c>
      <c r="B170" s="28" t="s">
        <v>321</v>
      </c>
      <c r="C170" s="30">
        <v>44428</v>
      </c>
      <c r="D170" s="28">
        <v>2.2999999999999998</v>
      </c>
      <c r="E170" s="28">
        <v>2.2999999999999998</v>
      </c>
      <c r="F170" s="28">
        <v>2.4</v>
      </c>
      <c r="G170" s="28">
        <v>2.2999999999999998</v>
      </c>
      <c r="H170" s="28">
        <v>2.3199999999999998</v>
      </c>
      <c r="I170" s="28">
        <v>769860</v>
      </c>
      <c r="J170" s="28">
        <v>574520</v>
      </c>
      <c r="K170" s="28">
        <v>74.63</v>
      </c>
      <c r="L170" s="29">
        <f>SUM(NSE_BhavCopy[[#This Row],[ CLOSE_PRICE]]-NSE_BhavCopy[[#This Row],[ PREV_CLOSE]])/NSE_BhavCopy[[#This Row],[ PREV_CLOSE]]*100</f>
        <v>0</v>
      </c>
    </row>
    <row r="171" spans="1:12" hidden="1" x14ac:dyDescent="0.25">
      <c r="A171" s="28" t="s">
        <v>1701</v>
      </c>
      <c r="B171" s="28" t="s">
        <v>321</v>
      </c>
      <c r="C171" s="30">
        <v>44428</v>
      </c>
      <c r="D171" s="28">
        <v>3.15</v>
      </c>
      <c r="E171" s="28">
        <v>3.05</v>
      </c>
      <c r="F171" s="28">
        <v>3.1</v>
      </c>
      <c r="G171" s="28">
        <v>2.85</v>
      </c>
      <c r="H171" s="28">
        <v>2.88</v>
      </c>
      <c r="I171" s="28">
        <v>1052135</v>
      </c>
      <c r="J171" s="28">
        <v>784758</v>
      </c>
      <c r="K171" s="28">
        <v>74.59</v>
      </c>
      <c r="L171" s="29">
        <f>SUM(NSE_BhavCopy[[#This Row],[ CLOSE_PRICE]]-NSE_BhavCopy[[#This Row],[ PREV_CLOSE]])/NSE_BhavCopy[[#This Row],[ PREV_CLOSE]]*100</f>
        <v>-9.5238095238095184</v>
      </c>
    </row>
    <row r="172" spans="1:12" hidden="1" x14ac:dyDescent="0.25">
      <c r="A172" s="28" t="s">
        <v>1073</v>
      </c>
      <c r="B172" s="28" t="s">
        <v>321</v>
      </c>
      <c r="C172" s="30">
        <v>44428</v>
      </c>
      <c r="D172" s="28">
        <v>38.5</v>
      </c>
      <c r="E172" s="28">
        <v>38.950000000000003</v>
      </c>
      <c r="F172" s="28">
        <v>38.950000000000003</v>
      </c>
      <c r="G172" s="28">
        <v>36.950000000000003</v>
      </c>
      <c r="H172" s="28">
        <v>37.64</v>
      </c>
      <c r="I172" s="28">
        <v>65826</v>
      </c>
      <c r="J172" s="28">
        <v>49097</v>
      </c>
      <c r="K172" s="28">
        <v>74.59</v>
      </c>
      <c r="L172" s="29">
        <f>SUM(NSE_BhavCopy[[#This Row],[ CLOSE_PRICE]]-NSE_BhavCopy[[#This Row],[ PREV_CLOSE]])/NSE_BhavCopy[[#This Row],[ PREV_CLOSE]]*100</f>
        <v>-4.0259740259740182</v>
      </c>
    </row>
    <row r="173" spans="1:12" hidden="1" x14ac:dyDescent="0.25">
      <c r="A173" s="28" t="s">
        <v>1343</v>
      </c>
      <c r="B173" s="28" t="s">
        <v>321</v>
      </c>
      <c r="C173" s="30">
        <v>44428</v>
      </c>
      <c r="D173" s="28">
        <v>1010.75</v>
      </c>
      <c r="E173" s="28">
        <v>1003</v>
      </c>
      <c r="F173" s="28">
        <v>1013</v>
      </c>
      <c r="G173" s="28">
        <v>1001.55</v>
      </c>
      <c r="H173" s="28">
        <v>1005.63</v>
      </c>
      <c r="I173" s="28">
        <v>1407510</v>
      </c>
      <c r="J173" s="28">
        <v>1049499</v>
      </c>
      <c r="K173" s="28">
        <v>74.56</v>
      </c>
      <c r="L173" s="29">
        <f>SUM(NSE_BhavCopy[[#This Row],[ CLOSE_PRICE]]-NSE_BhavCopy[[#This Row],[ PREV_CLOSE]])/NSE_BhavCopy[[#This Row],[ PREV_CLOSE]]*100</f>
        <v>-0.91021518674252244</v>
      </c>
    </row>
    <row r="174" spans="1:12" hidden="1" x14ac:dyDescent="0.25">
      <c r="A174" s="28" t="s">
        <v>775</v>
      </c>
      <c r="B174" s="28" t="s">
        <v>321</v>
      </c>
      <c r="C174" s="30">
        <v>44428</v>
      </c>
      <c r="D174" s="28">
        <v>177.43</v>
      </c>
      <c r="E174" s="28">
        <v>176.8</v>
      </c>
      <c r="F174" s="28">
        <v>181.3</v>
      </c>
      <c r="G174" s="28">
        <v>177.39</v>
      </c>
      <c r="H174" s="28">
        <v>177.14</v>
      </c>
      <c r="I174" s="28">
        <v>21907</v>
      </c>
      <c r="J174" s="28">
        <v>16315</v>
      </c>
      <c r="K174" s="28">
        <v>74.47</v>
      </c>
      <c r="L174" s="29">
        <f>SUM(NSE_BhavCopy[[#This Row],[ CLOSE_PRICE]]-NSE_BhavCopy[[#This Row],[ PREV_CLOSE]])/NSE_BhavCopy[[#This Row],[ PREV_CLOSE]]*100</f>
        <v>-2.2544101899352118E-2</v>
      </c>
    </row>
    <row r="175" spans="1:12" hidden="1" x14ac:dyDescent="0.25">
      <c r="A175" s="28" t="s">
        <v>1418</v>
      </c>
      <c r="B175" s="28" t="s">
        <v>321</v>
      </c>
      <c r="C175" s="30">
        <v>44428</v>
      </c>
      <c r="D175" s="28">
        <v>649.54999999999995</v>
      </c>
      <c r="E175" s="28">
        <v>627</v>
      </c>
      <c r="F175" s="28">
        <v>649</v>
      </c>
      <c r="G175" s="28">
        <v>632.20000000000005</v>
      </c>
      <c r="H175" s="28">
        <v>632.99</v>
      </c>
      <c r="I175" s="28">
        <v>93217</v>
      </c>
      <c r="J175" s="28">
        <v>69403</v>
      </c>
      <c r="K175" s="28">
        <v>74.45</v>
      </c>
      <c r="L175" s="29">
        <f>SUM(NSE_BhavCopy[[#This Row],[ CLOSE_PRICE]]-NSE_BhavCopy[[#This Row],[ PREV_CLOSE]])/NSE_BhavCopy[[#This Row],[ PREV_CLOSE]]*100</f>
        <v>-2.6710799784466031</v>
      </c>
    </row>
    <row r="176" spans="1:12" hidden="1" x14ac:dyDescent="0.25">
      <c r="A176" s="28" t="s">
        <v>782</v>
      </c>
      <c r="B176" s="28" t="s">
        <v>321</v>
      </c>
      <c r="C176" s="30">
        <v>44428</v>
      </c>
      <c r="D176" s="28">
        <v>469.55</v>
      </c>
      <c r="E176" s="28">
        <v>465</v>
      </c>
      <c r="F176" s="28">
        <v>465.75</v>
      </c>
      <c r="G176" s="28">
        <v>454.9</v>
      </c>
      <c r="H176" s="28">
        <v>455.6</v>
      </c>
      <c r="I176" s="28">
        <v>176234</v>
      </c>
      <c r="J176" s="28">
        <v>130959</v>
      </c>
      <c r="K176" s="28">
        <v>74.31</v>
      </c>
      <c r="L176" s="29">
        <f>SUM(NSE_BhavCopy[[#This Row],[ CLOSE_PRICE]]-NSE_BhavCopy[[#This Row],[ PREV_CLOSE]])/NSE_BhavCopy[[#This Row],[ PREV_CLOSE]]*100</f>
        <v>-3.1200085187945978</v>
      </c>
    </row>
    <row r="177" spans="1:12" hidden="1" x14ac:dyDescent="0.25">
      <c r="A177" s="28" t="s">
        <v>1358</v>
      </c>
      <c r="B177" s="28" t="s">
        <v>321</v>
      </c>
      <c r="C177" s="30">
        <v>44428</v>
      </c>
      <c r="D177" s="28">
        <v>4210.8</v>
      </c>
      <c r="E177" s="28">
        <v>4218.5</v>
      </c>
      <c r="F177" s="28">
        <v>4219.95</v>
      </c>
      <c r="G177" s="28">
        <v>4205.6000000000004</v>
      </c>
      <c r="H177" s="28">
        <v>4213.58</v>
      </c>
      <c r="I177" s="28">
        <v>12303</v>
      </c>
      <c r="J177" s="28">
        <v>9137</v>
      </c>
      <c r="K177" s="28">
        <v>74.27</v>
      </c>
      <c r="L177" s="29">
        <f>SUM(NSE_BhavCopy[[#This Row],[ CLOSE_PRICE]]-NSE_BhavCopy[[#This Row],[ PREV_CLOSE]])/NSE_BhavCopy[[#This Row],[ PREV_CLOSE]]*100</f>
        <v>-0.12349197302174927</v>
      </c>
    </row>
    <row r="178" spans="1:12" hidden="1" x14ac:dyDescent="0.25">
      <c r="A178" s="28" t="s">
        <v>1695</v>
      </c>
      <c r="B178" s="28" t="s">
        <v>321</v>
      </c>
      <c r="C178" s="30">
        <v>44428</v>
      </c>
      <c r="D178" s="28">
        <v>47.6</v>
      </c>
      <c r="E178" s="28">
        <v>45.35</v>
      </c>
      <c r="F178" s="28">
        <v>49.95</v>
      </c>
      <c r="G178" s="28">
        <v>49.95</v>
      </c>
      <c r="H178" s="28">
        <v>49.44</v>
      </c>
      <c r="I178" s="28">
        <v>11577</v>
      </c>
      <c r="J178" s="28">
        <v>8596</v>
      </c>
      <c r="K178" s="28">
        <v>74.25</v>
      </c>
      <c r="L178" s="29">
        <f>SUM(NSE_BhavCopy[[#This Row],[ CLOSE_PRICE]]-NSE_BhavCopy[[#This Row],[ PREV_CLOSE]])/NSE_BhavCopy[[#This Row],[ PREV_CLOSE]]*100</f>
        <v>4.9369747899159693</v>
      </c>
    </row>
    <row r="179" spans="1:12" hidden="1" x14ac:dyDescent="0.25">
      <c r="A179" s="28" t="s">
        <v>438</v>
      </c>
      <c r="B179" s="28" t="s">
        <v>321</v>
      </c>
      <c r="C179" s="30">
        <v>44428</v>
      </c>
      <c r="D179" s="28">
        <v>40.99</v>
      </c>
      <c r="E179" s="28">
        <v>40.549999999999997</v>
      </c>
      <c r="F179" s="28">
        <v>41.12</v>
      </c>
      <c r="G179" s="28">
        <v>40.99</v>
      </c>
      <c r="H179" s="28">
        <v>41.03</v>
      </c>
      <c r="I179" s="28">
        <v>88360</v>
      </c>
      <c r="J179" s="28">
        <v>65564</v>
      </c>
      <c r="K179" s="28">
        <v>74.2</v>
      </c>
      <c r="L179" s="29">
        <f>SUM(NSE_BhavCopy[[#This Row],[ CLOSE_PRICE]]-NSE_BhavCopy[[#This Row],[ PREV_CLOSE]])/NSE_BhavCopy[[#This Row],[ PREV_CLOSE]]*100</f>
        <v>0</v>
      </c>
    </row>
    <row r="180" spans="1:12" hidden="1" x14ac:dyDescent="0.25">
      <c r="A180" s="28" t="s">
        <v>1506</v>
      </c>
      <c r="B180" s="28" t="s">
        <v>321</v>
      </c>
      <c r="C180" s="30">
        <v>44428</v>
      </c>
      <c r="D180" s="28">
        <v>1264.05</v>
      </c>
      <c r="E180" s="28">
        <v>1249.95</v>
      </c>
      <c r="F180" s="28">
        <v>1285</v>
      </c>
      <c r="G180" s="28">
        <v>1267.7</v>
      </c>
      <c r="H180" s="28">
        <v>1244.23</v>
      </c>
      <c r="I180" s="28">
        <v>199871</v>
      </c>
      <c r="J180" s="28">
        <v>148145</v>
      </c>
      <c r="K180" s="28">
        <v>74.12</v>
      </c>
      <c r="L180" s="29">
        <f>SUM(NSE_BhavCopy[[#This Row],[ CLOSE_PRICE]]-NSE_BhavCopy[[#This Row],[ PREV_CLOSE]])/NSE_BhavCopy[[#This Row],[ PREV_CLOSE]]*100</f>
        <v>0.28875440053796064</v>
      </c>
    </row>
    <row r="181" spans="1:12" hidden="1" x14ac:dyDescent="0.25">
      <c r="A181" s="28" t="s">
        <v>833</v>
      </c>
      <c r="B181" s="28" t="s">
        <v>321</v>
      </c>
      <c r="C181" s="30">
        <v>44428</v>
      </c>
      <c r="D181" s="28">
        <v>338.22</v>
      </c>
      <c r="E181" s="28">
        <v>339.99</v>
      </c>
      <c r="F181" s="28">
        <v>342</v>
      </c>
      <c r="G181" s="28">
        <v>338.94</v>
      </c>
      <c r="H181" s="28">
        <v>339.35</v>
      </c>
      <c r="I181" s="28">
        <v>19275</v>
      </c>
      <c r="J181" s="28">
        <v>14180</v>
      </c>
      <c r="K181" s="28">
        <v>73.569999999999993</v>
      </c>
      <c r="L181" s="29">
        <f>SUM(NSE_BhavCopy[[#This Row],[ CLOSE_PRICE]]-NSE_BhavCopy[[#This Row],[ PREV_CLOSE]])/NSE_BhavCopy[[#This Row],[ PREV_CLOSE]]*100</f>
        <v>0.21287919105906519</v>
      </c>
    </row>
    <row r="182" spans="1:12" hidden="1" x14ac:dyDescent="0.25">
      <c r="A182" s="28" t="s">
        <v>1093</v>
      </c>
      <c r="B182" s="28" t="s">
        <v>321</v>
      </c>
      <c r="C182" s="30">
        <v>44428</v>
      </c>
      <c r="D182" s="28">
        <v>48.57</v>
      </c>
      <c r="E182" s="28">
        <v>48.6</v>
      </c>
      <c r="F182" s="28">
        <v>48.64</v>
      </c>
      <c r="G182" s="28">
        <v>48.53</v>
      </c>
      <c r="H182" s="28">
        <v>48.58</v>
      </c>
      <c r="I182" s="28">
        <v>3073</v>
      </c>
      <c r="J182" s="28">
        <v>2253</v>
      </c>
      <c r="K182" s="28">
        <v>73.319999999999993</v>
      </c>
      <c r="L182" s="29">
        <f>SUM(NSE_BhavCopy[[#This Row],[ CLOSE_PRICE]]-NSE_BhavCopy[[#This Row],[ PREV_CLOSE]])/NSE_BhavCopy[[#This Row],[ PREV_CLOSE]]*100</f>
        <v>-8.2355363393039227E-2</v>
      </c>
    </row>
    <row r="183" spans="1:12" hidden="1" x14ac:dyDescent="0.25">
      <c r="A183" s="28" t="s">
        <v>1729</v>
      </c>
      <c r="B183" s="28" t="s">
        <v>321</v>
      </c>
      <c r="C183" s="30">
        <v>44428</v>
      </c>
      <c r="D183" s="28">
        <v>9.9499999999999993</v>
      </c>
      <c r="E183" s="28">
        <v>9.9499999999999993</v>
      </c>
      <c r="F183" s="28">
        <v>10.1</v>
      </c>
      <c r="G183" s="28">
        <v>9.5500000000000007</v>
      </c>
      <c r="H183" s="28">
        <v>9.65</v>
      </c>
      <c r="I183" s="28">
        <v>247662</v>
      </c>
      <c r="J183" s="28">
        <v>181585</v>
      </c>
      <c r="K183" s="28">
        <v>73.319999999999993</v>
      </c>
      <c r="L183" s="29">
        <f>SUM(NSE_BhavCopy[[#This Row],[ CLOSE_PRICE]]-NSE_BhavCopy[[#This Row],[ PREV_CLOSE]])/NSE_BhavCopy[[#This Row],[ PREV_CLOSE]]*100</f>
        <v>-4.0201005025125491</v>
      </c>
    </row>
    <row r="184" spans="1:12" hidden="1" x14ac:dyDescent="0.25">
      <c r="A184" s="28" t="s">
        <v>1735</v>
      </c>
      <c r="B184" s="28" t="s">
        <v>321</v>
      </c>
      <c r="C184" s="30">
        <v>44428</v>
      </c>
      <c r="D184" s="28">
        <v>69.25</v>
      </c>
      <c r="E184" s="28">
        <v>68.95</v>
      </c>
      <c r="F184" s="28">
        <v>70.400000000000006</v>
      </c>
      <c r="G184" s="28">
        <v>69.400000000000006</v>
      </c>
      <c r="H184" s="28">
        <v>68.87</v>
      </c>
      <c r="I184" s="28">
        <v>5659</v>
      </c>
      <c r="J184" s="28">
        <v>4149</v>
      </c>
      <c r="K184" s="28">
        <v>73.319999999999993</v>
      </c>
      <c r="L184" s="29">
        <f>SUM(NSE_BhavCopy[[#This Row],[ CLOSE_PRICE]]-NSE_BhavCopy[[#This Row],[ PREV_CLOSE]])/NSE_BhavCopy[[#This Row],[ PREV_CLOSE]]*100</f>
        <v>0.21660649819495403</v>
      </c>
    </row>
    <row r="185" spans="1:12" hidden="1" x14ac:dyDescent="0.25">
      <c r="A185" s="28" t="s">
        <v>887</v>
      </c>
      <c r="B185" s="28" t="s">
        <v>321</v>
      </c>
      <c r="C185" s="30">
        <v>44428</v>
      </c>
      <c r="D185" s="28">
        <v>717.9</v>
      </c>
      <c r="E185" s="28">
        <v>700</v>
      </c>
      <c r="F185" s="28">
        <v>705.3</v>
      </c>
      <c r="G185" s="28">
        <v>683.4</v>
      </c>
      <c r="H185" s="28">
        <v>689.49</v>
      </c>
      <c r="I185" s="28">
        <v>1311804</v>
      </c>
      <c r="J185" s="28">
        <v>960476</v>
      </c>
      <c r="K185" s="28">
        <v>73.22</v>
      </c>
      <c r="L185" s="29">
        <f>SUM(NSE_BhavCopy[[#This Row],[ CLOSE_PRICE]]-NSE_BhavCopy[[#This Row],[ PREV_CLOSE]])/NSE_BhavCopy[[#This Row],[ PREV_CLOSE]]*100</f>
        <v>-4.8056832427914751</v>
      </c>
    </row>
    <row r="186" spans="1:12" hidden="1" x14ac:dyDescent="0.25">
      <c r="A186" s="28" t="s">
        <v>464</v>
      </c>
      <c r="B186" s="28" t="s">
        <v>321</v>
      </c>
      <c r="C186" s="30">
        <v>44428</v>
      </c>
      <c r="D186" s="28">
        <v>5732.85</v>
      </c>
      <c r="E186" s="28">
        <v>5700</v>
      </c>
      <c r="F186" s="28">
        <v>5710</v>
      </c>
      <c r="G186" s="28">
        <v>5596.9</v>
      </c>
      <c r="H186" s="28">
        <v>5606.46</v>
      </c>
      <c r="I186" s="28">
        <v>30515</v>
      </c>
      <c r="J186" s="28">
        <v>22339</v>
      </c>
      <c r="K186" s="28">
        <v>73.209999999999994</v>
      </c>
      <c r="L186" s="29">
        <f>SUM(NSE_BhavCopy[[#This Row],[ CLOSE_PRICE]]-NSE_BhavCopy[[#This Row],[ PREV_CLOSE]])/NSE_BhavCopy[[#This Row],[ PREV_CLOSE]]*100</f>
        <v>-2.371420846524865</v>
      </c>
    </row>
    <row r="187" spans="1:12" hidden="1" x14ac:dyDescent="0.25">
      <c r="A187" s="28" t="s">
        <v>1088</v>
      </c>
      <c r="B187" s="28" t="s">
        <v>321</v>
      </c>
      <c r="C187" s="30">
        <v>44428</v>
      </c>
      <c r="D187" s="28">
        <v>10</v>
      </c>
      <c r="E187" s="28">
        <v>9.8000000000000007</v>
      </c>
      <c r="F187" s="28">
        <v>10.050000000000001</v>
      </c>
      <c r="G187" s="28">
        <v>9.5</v>
      </c>
      <c r="H187" s="28">
        <v>9.67</v>
      </c>
      <c r="I187" s="28">
        <v>47597</v>
      </c>
      <c r="J187" s="28">
        <v>34764</v>
      </c>
      <c r="K187" s="28">
        <v>73.040000000000006</v>
      </c>
      <c r="L187" s="29">
        <f>SUM(NSE_BhavCopy[[#This Row],[ CLOSE_PRICE]]-NSE_BhavCopy[[#This Row],[ PREV_CLOSE]])/NSE_BhavCopy[[#This Row],[ PREV_CLOSE]]*100</f>
        <v>-5</v>
      </c>
    </row>
    <row r="188" spans="1:12" hidden="1" x14ac:dyDescent="0.25">
      <c r="A188" s="28" t="s">
        <v>1260</v>
      </c>
      <c r="B188" s="28" t="s">
        <v>321</v>
      </c>
      <c r="C188" s="30">
        <v>44428</v>
      </c>
      <c r="D188" s="28">
        <v>95</v>
      </c>
      <c r="E188" s="28">
        <v>95</v>
      </c>
      <c r="F188" s="28">
        <v>95.8</v>
      </c>
      <c r="G188" s="28">
        <v>93.85</v>
      </c>
      <c r="H188" s="28">
        <v>94.52</v>
      </c>
      <c r="I188" s="28">
        <v>707068</v>
      </c>
      <c r="J188" s="28">
        <v>516301</v>
      </c>
      <c r="K188" s="28">
        <v>73.02</v>
      </c>
      <c r="L188" s="29">
        <f>SUM(NSE_BhavCopy[[#This Row],[ CLOSE_PRICE]]-NSE_BhavCopy[[#This Row],[ PREV_CLOSE]])/NSE_BhavCopy[[#This Row],[ PREV_CLOSE]]*100</f>
        <v>-1.2105263157894797</v>
      </c>
    </row>
    <row r="189" spans="1:12" hidden="1" x14ac:dyDescent="0.25">
      <c r="A189" s="28" t="s">
        <v>810</v>
      </c>
      <c r="B189" s="28" t="s">
        <v>321</v>
      </c>
      <c r="C189" s="30">
        <v>44428</v>
      </c>
      <c r="D189" s="28">
        <v>270.8</v>
      </c>
      <c r="E189" s="28">
        <v>269.85000000000002</v>
      </c>
      <c r="F189" s="28">
        <v>271.95</v>
      </c>
      <c r="G189" s="28">
        <v>267.2</v>
      </c>
      <c r="H189" s="28">
        <v>269.57</v>
      </c>
      <c r="I189" s="28">
        <v>102806</v>
      </c>
      <c r="J189" s="28">
        <v>75019</v>
      </c>
      <c r="K189" s="28">
        <v>72.97</v>
      </c>
      <c r="L189" s="29">
        <f>SUM(NSE_BhavCopy[[#This Row],[ CLOSE_PRICE]]-NSE_BhavCopy[[#This Row],[ PREV_CLOSE]])/NSE_BhavCopy[[#This Row],[ PREV_CLOSE]]*100</f>
        <v>-1.3293943870014855</v>
      </c>
    </row>
    <row r="190" spans="1:12" hidden="1" x14ac:dyDescent="0.25">
      <c r="A190" s="28" t="s">
        <v>1617</v>
      </c>
      <c r="B190" s="28" t="s">
        <v>321</v>
      </c>
      <c r="C190" s="30">
        <v>44428</v>
      </c>
      <c r="D190" s="28">
        <v>100</v>
      </c>
      <c r="E190" s="28">
        <v>98.1</v>
      </c>
      <c r="F190" s="28">
        <v>101.95</v>
      </c>
      <c r="G190" s="28">
        <v>95.4</v>
      </c>
      <c r="H190" s="28">
        <v>96.96</v>
      </c>
      <c r="I190" s="28">
        <v>44728</v>
      </c>
      <c r="J190" s="28">
        <v>32626</v>
      </c>
      <c r="K190" s="28">
        <v>72.94</v>
      </c>
      <c r="L190" s="29">
        <f>SUM(NSE_BhavCopy[[#This Row],[ CLOSE_PRICE]]-NSE_BhavCopy[[#This Row],[ PREV_CLOSE]])/NSE_BhavCopy[[#This Row],[ PREV_CLOSE]]*100</f>
        <v>-4.5999999999999943</v>
      </c>
    </row>
    <row r="191" spans="1:12" hidden="1" x14ac:dyDescent="0.25">
      <c r="A191" s="28" t="s">
        <v>652</v>
      </c>
      <c r="B191" s="28" t="s">
        <v>321</v>
      </c>
      <c r="C191" s="30">
        <v>44428</v>
      </c>
      <c r="D191" s="28">
        <v>18.7</v>
      </c>
      <c r="E191" s="28">
        <v>19.100000000000001</v>
      </c>
      <c r="F191" s="28">
        <v>19.100000000000001</v>
      </c>
      <c r="G191" s="28">
        <v>18.05</v>
      </c>
      <c r="H191" s="28">
        <v>18.43</v>
      </c>
      <c r="I191" s="28">
        <v>439459</v>
      </c>
      <c r="J191" s="28">
        <v>320484</v>
      </c>
      <c r="K191" s="28">
        <v>72.930000000000007</v>
      </c>
      <c r="L191" s="29">
        <f>SUM(NSE_BhavCopy[[#This Row],[ CLOSE_PRICE]]-NSE_BhavCopy[[#This Row],[ PREV_CLOSE]])/NSE_BhavCopy[[#This Row],[ PREV_CLOSE]]*100</f>
        <v>-3.4759358288769979</v>
      </c>
    </row>
    <row r="192" spans="1:12" hidden="1" x14ac:dyDescent="0.25">
      <c r="A192" s="28" t="s">
        <v>1488</v>
      </c>
      <c r="B192" s="28" t="s">
        <v>321</v>
      </c>
      <c r="C192" s="30">
        <v>44428</v>
      </c>
      <c r="D192" s="28">
        <v>322.25</v>
      </c>
      <c r="E192" s="28">
        <v>300.25</v>
      </c>
      <c r="F192" s="28">
        <v>320.05</v>
      </c>
      <c r="G192" s="28">
        <v>310.64999999999998</v>
      </c>
      <c r="H192" s="28">
        <v>310.5</v>
      </c>
      <c r="I192" s="28">
        <v>339</v>
      </c>
      <c r="J192" s="28">
        <v>247</v>
      </c>
      <c r="K192" s="28">
        <v>72.86</v>
      </c>
      <c r="L192" s="29">
        <f>SUM(NSE_BhavCopy[[#This Row],[ CLOSE_PRICE]]-NSE_BhavCopy[[#This Row],[ PREV_CLOSE]])/NSE_BhavCopy[[#This Row],[ PREV_CLOSE]]*100</f>
        <v>-3.5996896819239796</v>
      </c>
    </row>
    <row r="193" spans="1:12" hidden="1" x14ac:dyDescent="0.25">
      <c r="A193" s="28" t="s">
        <v>1365</v>
      </c>
      <c r="B193" s="28" t="s">
        <v>321</v>
      </c>
      <c r="C193" s="30">
        <v>44428</v>
      </c>
      <c r="D193" s="28">
        <v>708.45</v>
      </c>
      <c r="E193" s="28">
        <v>708.45</v>
      </c>
      <c r="F193" s="28">
        <v>708.45</v>
      </c>
      <c r="G193" s="28">
        <v>688</v>
      </c>
      <c r="H193" s="28">
        <v>694.43</v>
      </c>
      <c r="I193" s="28">
        <v>56092</v>
      </c>
      <c r="J193" s="28">
        <v>40864</v>
      </c>
      <c r="K193" s="28">
        <v>72.849999999999994</v>
      </c>
      <c r="L193" s="29">
        <f>SUM(NSE_BhavCopy[[#This Row],[ CLOSE_PRICE]]-NSE_BhavCopy[[#This Row],[ PREV_CLOSE]])/NSE_BhavCopy[[#This Row],[ PREV_CLOSE]]*100</f>
        <v>-2.8865833862657975</v>
      </c>
    </row>
    <row r="194" spans="1:12" hidden="1" x14ac:dyDescent="0.25">
      <c r="A194" s="28" t="s">
        <v>1797</v>
      </c>
      <c r="B194" s="28" t="s">
        <v>321</v>
      </c>
      <c r="C194" s="30">
        <v>44428</v>
      </c>
      <c r="D194" s="28">
        <v>108.35</v>
      </c>
      <c r="E194" s="28">
        <v>107.65</v>
      </c>
      <c r="F194" s="28">
        <v>107.85</v>
      </c>
      <c r="G194" s="28">
        <v>103.55</v>
      </c>
      <c r="H194" s="28">
        <v>104.42</v>
      </c>
      <c r="I194" s="28">
        <v>26381</v>
      </c>
      <c r="J194" s="28">
        <v>19189</v>
      </c>
      <c r="K194" s="28">
        <v>72.739999999999995</v>
      </c>
      <c r="L194" s="29">
        <f>SUM(NSE_BhavCopy[[#This Row],[ CLOSE_PRICE]]-NSE_BhavCopy[[#This Row],[ PREV_CLOSE]])/NSE_BhavCopy[[#This Row],[ PREV_CLOSE]]*100</f>
        <v>-4.4300876788186407</v>
      </c>
    </row>
    <row r="195" spans="1:12" hidden="1" x14ac:dyDescent="0.25">
      <c r="A195" s="28" t="s">
        <v>1266</v>
      </c>
      <c r="B195" s="28" t="s">
        <v>321</v>
      </c>
      <c r="C195" s="30">
        <v>44428</v>
      </c>
      <c r="D195" s="28">
        <v>1728</v>
      </c>
      <c r="E195" s="28">
        <v>1718.2</v>
      </c>
      <c r="F195" s="28">
        <v>1718.2</v>
      </c>
      <c r="G195" s="28">
        <v>1708.15</v>
      </c>
      <c r="H195" s="28">
        <v>1714.25</v>
      </c>
      <c r="I195" s="28">
        <v>11</v>
      </c>
      <c r="J195" s="28">
        <v>8</v>
      </c>
      <c r="K195" s="28">
        <v>72.73</v>
      </c>
      <c r="L195" s="29">
        <f>SUM(NSE_BhavCopy[[#This Row],[ CLOSE_PRICE]]-NSE_BhavCopy[[#This Row],[ PREV_CLOSE]])/NSE_BhavCopy[[#This Row],[ PREV_CLOSE]]*100</f>
        <v>-1.1487268518518465</v>
      </c>
    </row>
    <row r="196" spans="1:12" hidden="1" x14ac:dyDescent="0.25">
      <c r="A196" s="28" t="s">
        <v>485</v>
      </c>
      <c r="B196" s="28" t="s">
        <v>321</v>
      </c>
      <c r="C196" s="30">
        <v>44428</v>
      </c>
      <c r="D196" s="28">
        <v>119.35</v>
      </c>
      <c r="E196" s="28">
        <v>122</v>
      </c>
      <c r="F196" s="28">
        <v>122</v>
      </c>
      <c r="G196" s="28">
        <v>117.55</v>
      </c>
      <c r="H196" s="28">
        <v>118.24</v>
      </c>
      <c r="I196" s="28">
        <v>11009</v>
      </c>
      <c r="J196" s="28">
        <v>8004</v>
      </c>
      <c r="K196" s="28">
        <v>72.7</v>
      </c>
      <c r="L196" s="29">
        <f>SUM(NSE_BhavCopy[[#This Row],[ CLOSE_PRICE]]-NSE_BhavCopy[[#This Row],[ PREV_CLOSE]])/NSE_BhavCopy[[#This Row],[ PREV_CLOSE]]*100</f>
        <v>-1.5081692501047317</v>
      </c>
    </row>
    <row r="197" spans="1:12" hidden="1" x14ac:dyDescent="0.25">
      <c r="A197" s="28" t="s">
        <v>1403</v>
      </c>
      <c r="B197" s="28" t="s">
        <v>321</v>
      </c>
      <c r="C197" s="30">
        <v>44428</v>
      </c>
      <c r="D197" s="28">
        <v>587.1</v>
      </c>
      <c r="E197" s="28">
        <v>582.54999999999995</v>
      </c>
      <c r="F197" s="28">
        <v>589.9</v>
      </c>
      <c r="G197" s="28">
        <v>575.65</v>
      </c>
      <c r="H197" s="28">
        <v>581.24</v>
      </c>
      <c r="I197" s="28">
        <v>21144</v>
      </c>
      <c r="J197" s="28">
        <v>15368</v>
      </c>
      <c r="K197" s="28">
        <v>72.680000000000007</v>
      </c>
      <c r="L197" s="29">
        <f>SUM(NSE_BhavCopy[[#This Row],[ CLOSE_PRICE]]-NSE_BhavCopy[[#This Row],[ PREV_CLOSE]])/NSE_BhavCopy[[#This Row],[ PREV_CLOSE]]*100</f>
        <v>-1.9502640095384167</v>
      </c>
    </row>
    <row r="198" spans="1:12" hidden="1" x14ac:dyDescent="0.25">
      <c r="A198" s="28" t="s">
        <v>1378</v>
      </c>
      <c r="B198" s="28" t="s">
        <v>321</v>
      </c>
      <c r="C198" s="30">
        <v>44428</v>
      </c>
      <c r="D198" s="28">
        <v>51.3</v>
      </c>
      <c r="E198" s="28">
        <v>51.2</v>
      </c>
      <c r="F198" s="28">
        <v>51.2</v>
      </c>
      <c r="G198" s="28">
        <v>47</v>
      </c>
      <c r="H198" s="28">
        <v>47.39</v>
      </c>
      <c r="I198" s="28">
        <v>2909</v>
      </c>
      <c r="J198" s="28">
        <v>2113</v>
      </c>
      <c r="K198" s="28">
        <v>72.64</v>
      </c>
      <c r="L198" s="29">
        <f>SUM(NSE_BhavCopy[[#This Row],[ CLOSE_PRICE]]-NSE_BhavCopy[[#This Row],[ PREV_CLOSE]])/NSE_BhavCopy[[#This Row],[ PREV_CLOSE]]*100</f>
        <v>-8.3820662768031138</v>
      </c>
    </row>
    <row r="199" spans="1:12" x14ac:dyDescent="0.25">
      <c r="A199" s="28" t="s">
        <v>1214</v>
      </c>
      <c r="B199" s="28" t="s">
        <v>321</v>
      </c>
      <c r="C199" s="30">
        <v>44428</v>
      </c>
      <c r="D199" s="28">
        <v>223.65</v>
      </c>
      <c r="E199" s="28">
        <v>221</v>
      </c>
      <c r="F199" s="28">
        <v>227.65</v>
      </c>
      <c r="G199" s="28">
        <v>226.9</v>
      </c>
      <c r="H199" s="28">
        <v>224.44</v>
      </c>
      <c r="I199" s="28">
        <v>15512130</v>
      </c>
      <c r="J199" s="28">
        <v>11265187</v>
      </c>
      <c r="K199" s="28">
        <v>72.62</v>
      </c>
      <c r="L199" s="29">
        <f>SUM(NSE_BhavCopy[[#This Row],[ CLOSE_PRICE]]-NSE_BhavCopy[[#This Row],[ PREV_CLOSE]])/NSE_BhavCopy[[#This Row],[ PREV_CLOSE]]*100</f>
        <v>1.4531634249944108</v>
      </c>
    </row>
    <row r="200" spans="1:12" hidden="1" x14ac:dyDescent="0.25">
      <c r="A200" s="28" t="s">
        <v>1686</v>
      </c>
      <c r="B200" s="28" t="s">
        <v>321</v>
      </c>
      <c r="C200" s="30">
        <v>44428</v>
      </c>
      <c r="D200" s="28">
        <v>15</v>
      </c>
      <c r="E200" s="28">
        <v>14.95</v>
      </c>
      <c r="F200" s="28">
        <v>14.95</v>
      </c>
      <c r="G200" s="28">
        <v>14.5</v>
      </c>
      <c r="H200" s="28">
        <v>14.46</v>
      </c>
      <c r="I200" s="28">
        <v>5953</v>
      </c>
      <c r="J200" s="28">
        <v>4319</v>
      </c>
      <c r="K200" s="28">
        <v>72.55</v>
      </c>
      <c r="L200" s="29">
        <f>SUM(NSE_BhavCopy[[#This Row],[ CLOSE_PRICE]]-NSE_BhavCopy[[#This Row],[ PREV_CLOSE]])/NSE_BhavCopy[[#This Row],[ PREV_CLOSE]]*100</f>
        <v>-3.3333333333333335</v>
      </c>
    </row>
    <row r="201" spans="1:12" hidden="1" x14ac:dyDescent="0.25">
      <c r="A201" s="28" t="s">
        <v>982</v>
      </c>
      <c r="B201" s="28" t="s">
        <v>321</v>
      </c>
      <c r="C201" s="30">
        <v>44428</v>
      </c>
      <c r="D201" s="28">
        <v>228.28</v>
      </c>
      <c r="E201" s="28">
        <v>227.99</v>
      </c>
      <c r="F201" s="28">
        <v>227.99</v>
      </c>
      <c r="G201" s="28">
        <v>221.22</v>
      </c>
      <c r="H201" s="28">
        <v>223.3</v>
      </c>
      <c r="I201" s="28">
        <v>9927</v>
      </c>
      <c r="J201" s="28">
        <v>7188</v>
      </c>
      <c r="K201" s="28">
        <v>72.41</v>
      </c>
      <c r="L201" s="29">
        <f>SUM(NSE_BhavCopy[[#This Row],[ CLOSE_PRICE]]-NSE_BhavCopy[[#This Row],[ PREV_CLOSE]])/NSE_BhavCopy[[#This Row],[ PREV_CLOSE]]*100</f>
        <v>-3.0926931838093576</v>
      </c>
    </row>
    <row r="202" spans="1:12" hidden="1" x14ac:dyDescent="0.25">
      <c r="A202" s="28" t="s">
        <v>1163</v>
      </c>
      <c r="B202" s="28" t="s">
        <v>321</v>
      </c>
      <c r="C202" s="30">
        <v>44428</v>
      </c>
      <c r="D202" s="28">
        <v>21.8</v>
      </c>
      <c r="E202" s="28">
        <v>22</v>
      </c>
      <c r="F202" s="28">
        <v>22.3</v>
      </c>
      <c r="G202" s="28">
        <v>21</v>
      </c>
      <c r="H202" s="28">
        <v>21.6</v>
      </c>
      <c r="I202" s="28">
        <v>63308</v>
      </c>
      <c r="J202" s="28">
        <v>45809</v>
      </c>
      <c r="K202" s="28">
        <v>72.36</v>
      </c>
      <c r="L202" s="29">
        <f>SUM(NSE_BhavCopy[[#This Row],[ CLOSE_PRICE]]-NSE_BhavCopy[[#This Row],[ PREV_CLOSE]])/NSE_BhavCopy[[#This Row],[ PREV_CLOSE]]*100</f>
        <v>-3.6697247706422047</v>
      </c>
    </row>
    <row r="203" spans="1:12" hidden="1" x14ac:dyDescent="0.25">
      <c r="A203" s="28" t="s">
        <v>965</v>
      </c>
      <c r="B203" s="28" t="s">
        <v>321</v>
      </c>
      <c r="C203" s="30">
        <v>44428</v>
      </c>
      <c r="D203" s="28">
        <v>1119.5999999999999</v>
      </c>
      <c r="E203" s="28">
        <v>1099.9000000000001</v>
      </c>
      <c r="F203" s="28">
        <v>1115</v>
      </c>
      <c r="G203" s="28">
        <v>1092.55</v>
      </c>
      <c r="H203" s="28">
        <v>1098.02</v>
      </c>
      <c r="I203" s="28">
        <v>6515</v>
      </c>
      <c r="J203" s="28">
        <v>4703</v>
      </c>
      <c r="K203" s="28">
        <v>72.19</v>
      </c>
      <c r="L203" s="29">
        <f>SUM(NSE_BhavCopy[[#This Row],[ CLOSE_PRICE]]-NSE_BhavCopy[[#This Row],[ PREV_CLOSE]])/NSE_BhavCopy[[#This Row],[ PREV_CLOSE]]*100</f>
        <v>-2.4160414433726292</v>
      </c>
    </row>
    <row r="204" spans="1:12" hidden="1" x14ac:dyDescent="0.25">
      <c r="A204" s="28" t="s">
        <v>644</v>
      </c>
      <c r="B204" s="28" t="s">
        <v>321</v>
      </c>
      <c r="C204" s="30">
        <v>44428</v>
      </c>
      <c r="D204" s="28">
        <v>9.5</v>
      </c>
      <c r="E204" s="28">
        <v>9.5</v>
      </c>
      <c r="F204" s="28">
        <v>9.5</v>
      </c>
      <c r="G204" s="28">
        <v>9.1999999999999993</v>
      </c>
      <c r="H204" s="28">
        <v>9.1999999999999993</v>
      </c>
      <c r="I204" s="28">
        <v>55644</v>
      </c>
      <c r="J204" s="28">
        <v>40156</v>
      </c>
      <c r="K204" s="28">
        <v>72.17</v>
      </c>
      <c r="L204" s="29">
        <f>SUM(NSE_BhavCopy[[#This Row],[ CLOSE_PRICE]]-NSE_BhavCopy[[#This Row],[ PREV_CLOSE]])/NSE_BhavCopy[[#This Row],[ PREV_CLOSE]]*100</f>
        <v>-3.1578947368421129</v>
      </c>
    </row>
    <row r="205" spans="1:12" hidden="1" x14ac:dyDescent="0.25">
      <c r="A205" s="28" t="s">
        <v>533</v>
      </c>
      <c r="B205" s="28" t="s">
        <v>321</v>
      </c>
      <c r="C205" s="30">
        <v>44428</v>
      </c>
      <c r="D205" s="28">
        <v>408.6</v>
      </c>
      <c r="E205" s="28">
        <v>407.25</v>
      </c>
      <c r="F205" s="28">
        <v>408.4</v>
      </c>
      <c r="G205" s="28">
        <v>403.6</v>
      </c>
      <c r="H205" s="28">
        <v>404.97</v>
      </c>
      <c r="I205" s="28">
        <v>188118</v>
      </c>
      <c r="J205" s="28">
        <v>135709</v>
      </c>
      <c r="K205" s="28">
        <v>72.14</v>
      </c>
      <c r="L205" s="29">
        <f>SUM(NSE_BhavCopy[[#This Row],[ CLOSE_PRICE]]-NSE_BhavCopy[[#This Row],[ PREV_CLOSE]])/NSE_BhavCopy[[#This Row],[ PREV_CLOSE]]*100</f>
        <v>-1.2236906510034262</v>
      </c>
    </row>
    <row r="206" spans="1:12" hidden="1" x14ac:dyDescent="0.25">
      <c r="A206" s="28" t="s">
        <v>394</v>
      </c>
      <c r="B206" s="28" t="s">
        <v>321</v>
      </c>
      <c r="C206" s="30">
        <v>44428</v>
      </c>
      <c r="D206" s="28">
        <v>1623.85</v>
      </c>
      <c r="E206" s="28">
        <v>1620.9</v>
      </c>
      <c r="F206" s="28">
        <v>1632.25</v>
      </c>
      <c r="G206" s="28">
        <v>1606.1</v>
      </c>
      <c r="H206" s="28">
        <v>1608.34</v>
      </c>
      <c r="I206" s="28">
        <v>128399</v>
      </c>
      <c r="J206" s="28">
        <v>92597</v>
      </c>
      <c r="K206" s="28">
        <v>72.12</v>
      </c>
      <c r="L206" s="29">
        <f>SUM(NSE_BhavCopy[[#This Row],[ CLOSE_PRICE]]-NSE_BhavCopy[[#This Row],[ PREV_CLOSE]])/NSE_BhavCopy[[#This Row],[ PREV_CLOSE]]*100</f>
        <v>-1.0930812575053115</v>
      </c>
    </row>
    <row r="207" spans="1:12" hidden="1" x14ac:dyDescent="0.25">
      <c r="A207" s="28" t="s">
        <v>635</v>
      </c>
      <c r="B207" s="28" t="s">
        <v>321</v>
      </c>
      <c r="C207" s="30">
        <v>44428</v>
      </c>
      <c r="D207" s="28">
        <v>125.25</v>
      </c>
      <c r="E207" s="28">
        <v>126.85</v>
      </c>
      <c r="F207" s="28">
        <v>126.85</v>
      </c>
      <c r="G207" s="28">
        <v>119.35</v>
      </c>
      <c r="H207" s="28">
        <v>119.56</v>
      </c>
      <c r="I207" s="28">
        <v>38136</v>
      </c>
      <c r="J207" s="28">
        <v>27494</v>
      </c>
      <c r="K207" s="28">
        <v>72.09</v>
      </c>
      <c r="L207" s="29">
        <f>SUM(NSE_BhavCopy[[#This Row],[ CLOSE_PRICE]]-NSE_BhavCopy[[#This Row],[ PREV_CLOSE]])/NSE_BhavCopy[[#This Row],[ PREV_CLOSE]]*100</f>
        <v>-4.7105788423153738</v>
      </c>
    </row>
    <row r="208" spans="1:12" hidden="1" x14ac:dyDescent="0.25">
      <c r="A208" s="28" t="s">
        <v>1353</v>
      </c>
      <c r="B208" s="28" t="s">
        <v>321</v>
      </c>
      <c r="C208" s="30">
        <v>44428</v>
      </c>
      <c r="D208" s="28">
        <v>141</v>
      </c>
      <c r="E208" s="28">
        <v>138.25</v>
      </c>
      <c r="F208" s="28">
        <v>139.75</v>
      </c>
      <c r="G208" s="28">
        <v>136.55000000000001</v>
      </c>
      <c r="H208" s="28">
        <v>137.49</v>
      </c>
      <c r="I208" s="28">
        <v>41211</v>
      </c>
      <c r="J208" s="28">
        <v>29673</v>
      </c>
      <c r="K208" s="28">
        <v>72</v>
      </c>
      <c r="L208" s="29">
        <f>SUM(NSE_BhavCopy[[#This Row],[ CLOSE_PRICE]]-NSE_BhavCopy[[#This Row],[ PREV_CLOSE]])/NSE_BhavCopy[[#This Row],[ PREV_CLOSE]]*100</f>
        <v>-3.1560283687943183</v>
      </c>
    </row>
    <row r="209" spans="1:12" hidden="1" x14ac:dyDescent="0.25">
      <c r="A209" s="28" t="s">
        <v>1760</v>
      </c>
      <c r="B209" s="28" t="s">
        <v>321</v>
      </c>
      <c r="C209" s="30">
        <v>44428</v>
      </c>
      <c r="D209" s="28">
        <v>4.2</v>
      </c>
      <c r="E209" s="28">
        <v>4.0999999999999996</v>
      </c>
      <c r="F209" s="28">
        <v>4.1500000000000004</v>
      </c>
      <c r="G209" s="28">
        <v>4</v>
      </c>
      <c r="H209" s="28">
        <v>4.0199999999999996</v>
      </c>
      <c r="I209" s="28">
        <v>2426473</v>
      </c>
      <c r="J209" s="28">
        <v>1746359</v>
      </c>
      <c r="K209" s="28">
        <v>71.97</v>
      </c>
      <c r="L209" s="29">
        <f>SUM(NSE_BhavCopy[[#This Row],[ CLOSE_PRICE]]-NSE_BhavCopy[[#This Row],[ PREV_CLOSE]])/NSE_BhavCopy[[#This Row],[ PREV_CLOSE]]*100</f>
        <v>-4.7619047619047654</v>
      </c>
    </row>
    <row r="210" spans="1:12" hidden="1" x14ac:dyDescent="0.25">
      <c r="A210" s="28" t="s">
        <v>753</v>
      </c>
      <c r="B210" s="28" t="s">
        <v>321</v>
      </c>
      <c r="C210" s="30">
        <v>44428</v>
      </c>
      <c r="D210" s="28">
        <v>64.2</v>
      </c>
      <c r="E210" s="28">
        <v>63</v>
      </c>
      <c r="F210" s="28">
        <v>63.55</v>
      </c>
      <c r="G210" s="28">
        <v>62.5</v>
      </c>
      <c r="H210" s="28">
        <v>62.01</v>
      </c>
      <c r="I210" s="28">
        <v>182114</v>
      </c>
      <c r="J210" s="28">
        <v>131020</v>
      </c>
      <c r="K210" s="28">
        <v>71.94</v>
      </c>
      <c r="L210" s="29">
        <f>SUM(NSE_BhavCopy[[#This Row],[ CLOSE_PRICE]]-NSE_BhavCopy[[#This Row],[ PREV_CLOSE]])/NSE_BhavCopy[[#This Row],[ PREV_CLOSE]]*100</f>
        <v>-2.6479750778816245</v>
      </c>
    </row>
    <row r="211" spans="1:12" hidden="1" x14ac:dyDescent="0.25">
      <c r="A211" s="28" t="s">
        <v>1105</v>
      </c>
      <c r="B211" s="28" t="s">
        <v>321</v>
      </c>
      <c r="C211" s="30">
        <v>44428</v>
      </c>
      <c r="D211" s="28">
        <v>27.9</v>
      </c>
      <c r="E211" s="28">
        <v>28.05</v>
      </c>
      <c r="F211" s="28">
        <v>28.9</v>
      </c>
      <c r="G211" s="28">
        <v>26.05</v>
      </c>
      <c r="H211" s="28">
        <v>27.31</v>
      </c>
      <c r="I211" s="28">
        <v>11979</v>
      </c>
      <c r="J211" s="28">
        <v>8612</v>
      </c>
      <c r="K211" s="28">
        <v>71.89</v>
      </c>
      <c r="L211" s="29">
        <f>SUM(NSE_BhavCopy[[#This Row],[ CLOSE_PRICE]]-NSE_BhavCopy[[#This Row],[ PREV_CLOSE]])/NSE_BhavCopy[[#This Row],[ PREV_CLOSE]]*100</f>
        <v>-6.6308243727598501</v>
      </c>
    </row>
    <row r="212" spans="1:12" hidden="1" x14ac:dyDescent="0.25">
      <c r="A212" s="28" t="s">
        <v>1359</v>
      </c>
      <c r="B212" s="28" t="s">
        <v>321</v>
      </c>
      <c r="C212" s="30">
        <v>44428</v>
      </c>
      <c r="D212" s="28">
        <v>169.13</v>
      </c>
      <c r="E212" s="28">
        <v>168.52</v>
      </c>
      <c r="F212" s="28">
        <v>170.9</v>
      </c>
      <c r="G212" s="28">
        <v>167.78</v>
      </c>
      <c r="H212" s="28">
        <v>167.83</v>
      </c>
      <c r="I212" s="28">
        <v>187546</v>
      </c>
      <c r="J212" s="28">
        <v>134708</v>
      </c>
      <c r="K212" s="28">
        <v>71.83</v>
      </c>
      <c r="L212" s="29">
        <f>SUM(NSE_BhavCopy[[#This Row],[ CLOSE_PRICE]]-NSE_BhavCopy[[#This Row],[ PREV_CLOSE]])/NSE_BhavCopy[[#This Row],[ PREV_CLOSE]]*100</f>
        <v>-0.79820256607343132</v>
      </c>
    </row>
    <row r="213" spans="1:12" hidden="1" x14ac:dyDescent="0.25">
      <c r="A213" s="28" t="s">
        <v>1789</v>
      </c>
      <c r="B213" s="28" t="s">
        <v>321</v>
      </c>
      <c r="C213" s="30">
        <v>44428</v>
      </c>
      <c r="D213" s="28">
        <v>37.9</v>
      </c>
      <c r="E213" s="28">
        <v>37.9</v>
      </c>
      <c r="F213" s="28">
        <v>37.9</v>
      </c>
      <c r="G213" s="28">
        <v>37.15</v>
      </c>
      <c r="H213" s="28">
        <v>37.24</v>
      </c>
      <c r="I213" s="28">
        <v>39614</v>
      </c>
      <c r="J213" s="28">
        <v>28429</v>
      </c>
      <c r="K213" s="28">
        <v>71.77</v>
      </c>
      <c r="L213" s="29">
        <f>SUM(NSE_BhavCopy[[#This Row],[ CLOSE_PRICE]]-NSE_BhavCopy[[#This Row],[ PREV_CLOSE]])/NSE_BhavCopy[[#This Row],[ PREV_CLOSE]]*100</f>
        <v>-1.9788918205804751</v>
      </c>
    </row>
    <row r="214" spans="1:12" hidden="1" x14ac:dyDescent="0.25">
      <c r="A214" s="28" t="s">
        <v>517</v>
      </c>
      <c r="B214" s="28" t="s">
        <v>321</v>
      </c>
      <c r="C214" s="30">
        <v>44428</v>
      </c>
      <c r="D214" s="28">
        <v>380.1</v>
      </c>
      <c r="E214" s="28">
        <v>377.7</v>
      </c>
      <c r="F214" s="28">
        <v>379.95</v>
      </c>
      <c r="G214" s="28">
        <v>372.2</v>
      </c>
      <c r="H214" s="28">
        <v>374.12</v>
      </c>
      <c r="I214" s="28">
        <v>5876</v>
      </c>
      <c r="J214" s="28">
        <v>4216</v>
      </c>
      <c r="K214" s="28">
        <v>71.75</v>
      </c>
      <c r="L214" s="29">
        <f>SUM(NSE_BhavCopy[[#This Row],[ CLOSE_PRICE]]-NSE_BhavCopy[[#This Row],[ PREV_CLOSE]])/NSE_BhavCopy[[#This Row],[ PREV_CLOSE]]*100</f>
        <v>-2.0784004209418661</v>
      </c>
    </row>
    <row r="215" spans="1:12" hidden="1" x14ac:dyDescent="0.25">
      <c r="A215" s="28" t="s">
        <v>371</v>
      </c>
      <c r="B215" s="28" t="s">
        <v>321</v>
      </c>
      <c r="C215" s="30">
        <v>44428</v>
      </c>
      <c r="D215" s="28">
        <v>71.95</v>
      </c>
      <c r="E215" s="28">
        <v>71.95</v>
      </c>
      <c r="F215" s="28">
        <v>73.5</v>
      </c>
      <c r="G215" s="28">
        <v>69.2</v>
      </c>
      <c r="H215" s="28">
        <v>70.14</v>
      </c>
      <c r="I215" s="28">
        <v>21199</v>
      </c>
      <c r="J215" s="28">
        <v>15207</v>
      </c>
      <c r="K215" s="28">
        <v>71.73</v>
      </c>
      <c r="L215" s="29">
        <f>SUM(NSE_BhavCopy[[#This Row],[ CLOSE_PRICE]]-NSE_BhavCopy[[#This Row],[ PREV_CLOSE]])/NSE_BhavCopy[[#This Row],[ PREV_CLOSE]]*100</f>
        <v>-3.8220986796386378</v>
      </c>
    </row>
    <row r="216" spans="1:12" hidden="1" x14ac:dyDescent="0.25">
      <c r="A216" s="28" t="s">
        <v>1288</v>
      </c>
      <c r="B216" s="28" t="s">
        <v>321</v>
      </c>
      <c r="C216" s="30">
        <v>44428</v>
      </c>
      <c r="D216" s="28">
        <v>164.55</v>
      </c>
      <c r="E216" s="28">
        <v>165</v>
      </c>
      <c r="F216" s="28">
        <v>165</v>
      </c>
      <c r="G216" s="28">
        <v>159.19999999999999</v>
      </c>
      <c r="H216" s="28">
        <v>160.03</v>
      </c>
      <c r="I216" s="28">
        <v>843225</v>
      </c>
      <c r="J216" s="28">
        <v>604303</v>
      </c>
      <c r="K216" s="28">
        <v>71.67</v>
      </c>
      <c r="L216" s="29">
        <f>SUM(NSE_BhavCopy[[#This Row],[ CLOSE_PRICE]]-NSE_BhavCopy[[#This Row],[ PREV_CLOSE]])/NSE_BhavCopy[[#This Row],[ PREV_CLOSE]]*100</f>
        <v>-3.2512914007900471</v>
      </c>
    </row>
    <row r="217" spans="1:12" hidden="1" x14ac:dyDescent="0.25">
      <c r="A217" s="28" t="s">
        <v>1708</v>
      </c>
      <c r="B217" s="28" t="s">
        <v>321</v>
      </c>
      <c r="C217" s="30">
        <v>44428</v>
      </c>
      <c r="D217" s="28">
        <v>85.5</v>
      </c>
      <c r="E217" s="28">
        <v>85</v>
      </c>
      <c r="F217" s="28">
        <v>85.95</v>
      </c>
      <c r="G217" s="28">
        <v>84.9</v>
      </c>
      <c r="H217" s="28">
        <v>82.91</v>
      </c>
      <c r="I217" s="28">
        <v>36937</v>
      </c>
      <c r="J217" s="28">
        <v>26423</v>
      </c>
      <c r="K217" s="28">
        <v>71.540000000000006</v>
      </c>
      <c r="L217" s="29">
        <f>SUM(NSE_BhavCopy[[#This Row],[ CLOSE_PRICE]]-NSE_BhavCopy[[#This Row],[ PREV_CLOSE]])/NSE_BhavCopy[[#This Row],[ PREV_CLOSE]]*100</f>
        <v>-0.70175438596490558</v>
      </c>
    </row>
    <row r="218" spans="1:12" hidden="1" x14ac:dyDescent="0.25">
      <c r="A218" s="28" t="s">
        <v>1305</v>
      </c>
      <c r="B218" s="28" t="s">
        <v>321</v>
      </c>
      <c r="C218" s="30">
        <v>44428</v>
      </c>
      <c r="D218" s="28">
        <v>70</v>
      </c>
      <c r="E218" s="28">
        <v>70.5</v>
      </c>
      <c r="F218" s="28">
        <v>71.95</v>
      </c>
      <c r="G218" s="28">
        <v>70.45</v>
      </c>
      <c r="H218" s="28">
        <v>69.62</v>
      </c>
      <c r="I218" s="28">
        <v>42625</v>
      </c>
      <c r="J218" s="28">
        <v>30412</v>
      </c>
      <c r="K218" s="28">
        <v>71.349999999999994</v>
      </c>
      <c r="L218" s="29">
        <f>SUM(NSE_BhavCopy[[#This Row],[ CLOSE_PRICE]]-NSE_BhavCopy[[#This Row],[ PREV_CLOSE]])/NSE_BhavCopy[[#This Row],[ PREV_CLOSE]]*100</f>
        <v>0.6428571428571469</v>
      </c>
    </row>
    <row r="219" spans="1:12" hidden="1" x14ac:dyDescent="0.25">
      <c r="A219" s="28" t="s">
        <v>1388</v>
      </c>
      <c r="B219" s="28" t="s">
        <v>321</v>
      </c>
      <c r="C219" s="30">
        <v>44428</v>
      </c>
      <c r="D219" s="28">
        <v>11.4</v>
      </c>
      <c r="E219" s="28">
        <v>10.9</v>
      </c>
      <c r="F219" s="28">
        <v>11.5</v>
      </c>
      <c r="G219" s="28">
        <v>10.95</v>
      </c>
      <c r="H219" s="28">
        <v>10.97</v>
      </c>
      <c r="I219" s="28">
        <v>301510</v>
      </c>
      <c r="J219" s="28">
        <v>215091</v>
      </c>
      <c r="K219" s="28">
        <v>71.34</v>
      </c>
      <c r="L219" s="29">
        <f>SUM(NSE_BhavCopy[[#This Row],[ CLOSE_PRICE]]-NSE_BhavCopy[[#This Row],[ PREV_CLOSE]])/NSE_BhavCopy[[#This Row],[ PREV_CLOSE]]*100</f>
        <v>-3.9473684210526412</v>
      </c>
    </row>
    <row r="220" spans="1:12" hidden="1" x14ac:dyDescent="0.25">
      <c r="A220" s="28" t="s">
        <v>1554</v>
      </c>
      <c r="B220" s="28" t="s">
        <v>321</v>
      </c>
      <c r="C220" s="30">
        <v>44428</v>
      </c>
      <c r="D220" s="28">
        <v>41.25</v>
      </c>
      <c r="E220" s="28">
        <v>41.25</v>
      </c>
      <c r="F220" s="28">
        <v>49.5</v>
      </c>
      <c r="G220" s="28">
        <v>42.67</v>
      </c>
      <c r="H220" s="28">
        <v>42.05</v>
      </c>
      <c r="I220" s="28">
        <v>78247</v>
      </c>
      <c r="J220" s="28">
        <v>55744</v>
      </c>
      <c r="K220" s="28">
        <v>71.239999999999995</v>
      </c>
      <c r="L220" s="29">
        <f>SUM(NSE_BhavCopy[[#This Row],[ CLOSE_PRICE]]-NSE_BhavCopy[[#This Row],[ PREV_CLOSE]])/NSE_BhavCopy[[#This Row],[ PREV_CLOSE]]*100</f>
        <v>3.4424242424242468</v>
      </c>
    </row>
    <row r="221" spans="1:12" hidden="1" x14ac:dyDescent="0.25">
      <c r="A221" s="28" t="s">
        <v>370</v>
      </c>
      <c r="B221" s="28" t="s">
        <v>321</v>
      </c>
      <c r="C221" s="30">
        <v>44428</v>
      </c>
      <c r="D221" s="28">
        <v>425.8</v>
      </c>
      <c r="E221" s="28">
        <v>422</v>
      </c>
      <c r="F221" s="28">
        <v>423.85</v>
      </c>
      <c r="G221" s="28">
        <v>413.8</v>
      </c>
      <c r="H221" s="28">
        <v>417.72</v>
      </c>
      <c r="I221" s="28">
        <v>17319</v>
      </c>
      <c r="J221" s="28">
        <v>12303</v>
      </c>
      <c r="K221" s="28">
        <v>71.040000000000006</v>
      </c>
      <c r="L221" s="29">
        <f>SUM(NSE_BhavCopy[[#This Row],[ CLOSE_PRICE]]-NSE_BhavCopy[[#This Row],[ PREV_CLOSE]])/NSE_BhavCopy[[#This Row],[ PREV_CLOSE]]*100</f>
        <v>-2.8182245185533117</v>
      </c>
    </row>
    <row r="222" spans="1:12" hidden="1" x14ac:dyDescent="0.25">
      <c r="A222" s="28" t="s">
        <v>922</v>
      </c>
      <c r="B222" s="28" t="s">
        <v>321</v>
      </c>
      <c r="C222" s="30">
        <v>44428</v>
      </c>
      <c r="D222" s="28">
        <v>60.85</v>
      </c>
      <c r="E222" s="28">
        <v>60.75</v>
      </c>
      <c r="F222" s="28">
        <v>61.15</v>
      </c>
      <c r="G222" s="28">
        <v>59.45</v>
      </c>
      <c r="H222" s="28">
        <v>60.2</v>
      </c>
      <c r="I222" s="28">
        <v>19965</v>
      </c>
      <c r="J222" s="28">
        <v>14172</v>
      </c>
      <c r="K222" s="28">
        <v>70.98</v>
      </c>
      <c r="L222" s="29">
        <f>SUM(NSE_BhavCopy[[#This Row],[ CLOSE_PRICE]]-NSE_BhavCopy[[#This Row],[ PREV_CLOSE]])/NSE_BhavCopy[[#This Row],[ PREV_CLOSE]]*100</f>
        <v>-2.3007395234182391</v>
      </c>
    </row>
    <row r="223" spans="1:12" hidden="1" x14ac:dyDescent="0.25">
      <c r="A223" s="28" t="s">
        <v>1294</v>
      </c>
      <c r="B223" s="28" t="s">
        <v>321</v>
      </c>
      <c r="C223" s="30">
        <v>44428</v>
      </c>
      <c r="D223" s="28">
        <v>236.05</v>
      </c>
      <c r="E223" s="28">
        <v>235</v>
      </c>
      <c r="F223" s="28">
        <v>235.55</v>
      </c>
      <c r="G223" s="28">
        <v>221.65</v>
      </c>
      <c r="H223" s="28">
        <v>226.82</v>
      </c>
      <c r="I223" s="28">
        <v>33652</v>
      </c>
      <c r="J223" s="28">
        <v>23874</v>
      </c>
      <c r="K223" s="28">
        <v>70.94</v>
      </c>
      <c r="L223" s="29">
        <f>SUM(NSE_BhavCopy[[#This Row],[ CLOSE_PRICE]]-NSE_BhavCopy[[#This Row],[ PREV_CLOSE]])/NSE_BhavCopy[[#This Row],[ PREV_CLOSE]]*100</f>
        <v>-6.100402457106548</v>
      </c>
    </row>
    <row r="224" spans="1:12" hidden="1" x14ac:dyDescent="0.25">
      <c r="A224" s="28" t="s">
        <v>1340</v>
      </c>
      <c r="B224" s="28" t="s">
        <v>321</v>
      </c>
      <c r="C224" s="30">
        <v>44428</v>
      </c>
      <c r="D224" s="28">
        <v>97.35</v>
      </c>
      <c r="E224" s="28">
        <v>96.1</v>
      </c>
      <c r="F224" s="28">
        <v>97.45</v>
      </c>
      <c r="G224" s="28">
        <v>92.9</v>
      </c>
      <c r="H224" s="28">
        <v>94.79</v>
      </c>
      <c r="I224" s="28">
        <v>413220</v>
      </c>
      <c r="J224" s="28">
        <v>293105</v>
      </c>
      <c r="K224" s="28">
        <v>70.930000000000007</v>
      </c>
      <c r="L224" s="29">
        <f>SUM(NSE_BhavCopy[[#This Row],[ CLOSE_PRICE]]-NSE_BhavCopy[[#This Row],[ PREV_CLOSE]])/NSE_BhavCopy[[#This Row],[ PREV_CLOSE]]*100</f>
        <v>-4.5711350796096442</v>
      </c>
    </row>
    <row r="225" spans="1:12" hidden="1" x14ac:dyDescent="0.25">
      <c r="A225" s="28" t="s">
        <v>1707</v>
      </c>
      <c r="B225" s="28" t="s">
        <v>321</v>
      </c>
      <c r="C225" s="30">
        <v>44428</v>
      </c>
      <c r="D225" s="28">
        <v>7.9</v>
      </c>
      <c r="E225" s="28">
        <v>8</v>
      </c>
      <c r="F225" s="28">
        <v>8.0500000000000007</v>
      </c>
      <c r="G225" s="28">
        <v>7.95</v>
      </c>
      <c r="H225" s="28">
        <v>7.86</v>
      </c>
      <c r="I225" s="28">
        <v>64573</v>
      </c>
      <c r="J225" s="28">
        <v>45767</v>
      </c>
      <c r="K225" s="28">
        <v>70.88</v>
      </c>
      <c r="L225" s="29">
        <f>SUM(NSE_BhavCopy[[#This Row],[ CLOSE_PRICE]]-NSE_BhavCopy[[#This Row],[ PREV_CLOSE]])/NSE_BhavCopy[[#This Row],[ PREV_CLOSE]]*100</f>
        <v>0.632911392405061</v>
      </c>
    </row>
    <row r="226" spans="1:12" hidden="1" x14ac:dyDescent="0.25">
      <c r="A226" s="28" t="s">
        <v>828</v>
      </c>
      <c r="B226" s="28" t="s">
        <v>321</v>
      </c>
      <c r="C226" s="30">
        <v>44428</v>
      </c>
      <c r="D226" s="28">
        <v>91.14</v>
      </c>
      <c r="E226" s="28">
        <v>91</v>
      </c>
      <c r="F226" s="28">
        <v>91.5</v>
      </c>
      <c r="G226" s="28">
        <v>90.51</v>
      </c>
      <c r="H226" s="28">
        <v>90.58</v>
      </c>
      <c r="I226" s="28">
        <v>24637</v>
      </c>
      <c r="J226" s="28">
        <v>17444</v>
      </c>
      <c r="K226" s="28">
        <v>70.8</v>
      </c>
      <c r="L226" s="29">
        <f>SUM(NSE_BhavCopy[[#This Row],[ CLOSE_PRICE]]-NSE_BhavCopy[[#This Row],[ PREV_CLOSE]])/NSE_BhavCopy[[#This Row],[ PREV_CLOSE]]*100</f>
        <v>-0.69124423963133141</v>
      </c>
    </row>
    <row r="227" spans="1:12" hidden="1" x14ac:dyDescent="0.25">
      <c r="A227" s="28" t="s">
        <v>979</v>
      </c>
      <c r="B227" s="28" t="s">
        <v>321</v>
      </c>
      <c r="C227" s="30">
        <v>44428</v>
      </c>
      <c r="D227" s="28">
        <v>33.49</v>
      </c>
      <c r="E227" s="28">
        <v>33.479999999999997</v>
      </c>
      <c r="F227" s="28">
        <v>34.5</v>
      </c>
      <c r="G227" s="28">
        <v>33.479999999999997</v>
      </c>
      <c r="H227" s="28">
        <v>33.57</v>
      </c>
      <c r="I227" s="28">
        <v>54100</v>
      </c>
      <c r="J227" s="28">
        <v>38295</v>
      </c>
      <c r="K227" s="28">
        <v>70.790000000000006</v>
      </c>
      <c r="L227" s="29">
        <f>SUM(NSE_BhavCopy[[#This Row],[ CLOSE_PRICE]]-NSE_BhavCopy[[#This Row],[ PREV_CLOSE]])/NSE_BhavCopy[[#This Row],[ PREV_CLOSE]]*100</f>
        <v>-2.9859659599895835E-2</v>
      </c>
    </row>
    <row r="228" spans="1:12" hidden="1" x14ac:dyDescent="0.25">
      <c r="A228" s="28" t="s">
        <v>1626</v>
      </c>
      <c r="B228" s="28" t="s">
        <v>321</v>
      </c>
      <c r="C228" s="30">
        <v>44428</v>
      </c>
      <c r="D228" s="28">
        <v>110.2</v>
      </c>
      <c r="E228" s="28">
        <v>109.2</v>
      </c>
      <c r="F228" s="28">
        <v>111.75</v>
      </c>
      <c r="G228" s="28">
        <v>107.65</v>
      </c>
      <c r="H228" s="28">
        <v>108.83</v>
      </c>
      <c r="I228" s="28">
        <v>28400</v>
      </c>
      <c r="J228" s="28">
        <v>20102</v>
      </c>
      <c r="K228" s="28">
        <v>70.78</v>
      </c>
      <c r="L228" s="29">
        <f>SUM(NSE_BhavCopy[[#This Row],[ CLOSE_PRICE]]-NSE_BhavCopy[[#This Row],[ PREV_CLOSE]])/NSE_BhavCopy[[#This Row],[ PREV_CLOSE]]*100</f>
        <v>-2.3139745916515402</v>
      </c>
    </row>
    <row r="229" spans="1:12" hidden="1" x14ac:dyDescent="0.25">
      <c r="A229" s="28" t="s">
        <v>405</v>
      </c>
      <c r="B229" s="28" t="s">
        <v>321</v>
      </c>
      <c r="C229" s="30">
        <v>44428</v>
      </c>
      <c r="D229" s="28">
        <v>652.85</v>
      </c>
      <c r="E229" s="28">
        <v>652.85</v>
      </c>
      <c r="F229" s="28">
        <v>667.45</v>
      </c>
      <c r="G229" s="28">
        <v>662.05</v>
      </c>
      <c r="H229" s="28">
        <v>658.1</v>
      </c>
      <c r="I229" s="28">
        <v>5303</v>
      </c>
      <c r="J229" s="28">
        <v>3753</v>
      </c>
      <c r="K229" s="28">
        <v>70.77</v>
      </c>
      <c r="L229" s="29">
        <f>SUM(NSE_BhavCopy[[#This Row],[ CLOSE_PRICE]]-NSE_BhavCopy[[#This Row],[ PREV_CLOSE]])/NSE_BhavCopy[[#This Row],[ PREV_CLOSE]]*100</f>
        <v>1.409205789997692</v>
      </c>
    </row>
    <row r="230" spans="1:12" hidden="1" x14ac:dyDescent="0.25">
      <c r="A230" s="28" t="s">
        <v>640</v>
      </c>
      <c r="B230" s="28" t="s">
        <v>321</v>
      </c>
      <c r="C230" s="30">
        <v>44428</v>
      </c>
      <c r="D230" s="28">
        <v>68.849999999999994</v>
      </c>
      <c r="E230" s="28">
        <v>66.900000000000006</v>
      </c>
      <c r="F230" s="28">
        <v>69</v>
      </c>
      <c r="G230" s="28">
        <v>65.849999999999994</v>
      </c>
      <c r="H230" s="28">
        <v>66.650000000000006</v>
      </c>
      <c r="I230" s="28">
        <v>34101</v>
      </c>
      <c r="J230" s="28">
        <v>24110</v>
      </c>
      <c r="K230" s="28">
        <v>70.7</v>
      </c>
      <c r="L230" s="29">
        <f>SUM(NSE_BhavCopy[[#This Row],[ CLOSE_PRICE]]-NSE_BhavCopy[[#This Row],[ PREV_CLOSE]])/NSE_BhavCopy[[#This Row],[ PREV_CLOSE]]*100</f>
        <v>-4.3572984749455337</v>
      </c>
    </row>
    <row r="231" spans="1:12" hidden="1" x14ac:dyDescent="0.25">
      <c r="A231" s="28" t="s">
        <v>490</v>
      </c>
      <c r="B231" s="28" t="s">
        <v>321</v>
      </c>
      <c r="C231" s="30">
        <v>44428</v>
      </c>
      <c r="D231" s="28">
        <v>64.7</v>
      </c>
      <c r="E231" s="28">
        <v>62</v>
      </c>
      <c r="F231" s="28">
        <v>63.6</v>
      </c>
      <c r="G231" s="28">
        <v>61.55</v>
      </c>
      <c r="H231" s="28">
        <v>62.25</v>
      </c>
      <c r="I231" s="28">
        <v>126264</v>
      </c>
      <c r="J231" s="28">
        <v>89195</v>
      </c>
      <c r="K231" s="28">
        <v>70.64</v>
      </c>
      <c r="L231" s="29">
        <f>SUM(NSE_BhavCopy[[#This Row],[ CLOSE_PRICE]]-NSE_BhavCopy[[#This Row],[ PREV_CLOSE]])/NSE_BhavCopy[[#This Row],[ PREV_CLOSE]]*100</f>
        <v>-4.8686244204018632</v>
      </c>
    </row>
    <row r="232" spans="1:12" hidden="1" x14ac:dyDescent="0.25">
      <c r="A232" s="28" t="s">
        <v>1724</v>
      </c>
      <c r="B232" s="28" t="s">
        <v>321</v>
      </c>
      <c r="C232" s="30">
        <v>44428</v>
      </c>
      <c r="D232" s="28">
        <v>75.900000000000006</v>
      </c>
      <c r="E232" s="28">
        <v>72.5</v>
      </c>
      <c r="F232" s="28">
        <v>78.400000000000006</v>
      </c>
      <c r="G232" s="28">
        <v>73.3</v>
      </c>
      <c r="H232" s="28">
        <v>74.84</v>
      </c>
      <c r="I232" s="28">
        <v>254575</v>
      </c>
      <c r="J232" s="28">
        <v>179813</v>
      </c>
      <c r="K232" s="28">
        <v>70.63</v>
      </c>
      <c r="L232" s="29">
        <f>SUM(NSE_BhavCopy[[#This Row],[ CLOSE_PRICE]]-NSE_BhavCopy[[#This Row],[ PREV_CLOSE]])/NSE_BhavCopy[[#This Row],[ PREV_CLOSE]]*100</f>
        <v>-3.4255599472990887</v>
      </c>
    </row>
    <row r="233" spans="1:12" hidden="1" x14ac:dyDescent="0.25">
      <c r="A233" s="28" t="s">
        <v>385</v>
      </c>
      <c r="B233" s="28" t="s">
        <v>321</v>
      </c>
      <c r="C233" s="30">
        <v>44428</v>
      </c>
      <c r="D233" s="28">
        <v>18.95</v>
      </c>
      <c r="E233" s="28">
        <v>18.600000000000001</v>
      </c>
      <c r="F233" s="28">
        <v>19.5</v>
      </c>
      <c r="G233" s="28">
        <v>18.05</v>
      </c>
      <c r="H233" s="28">
        <v>18.18</v>
      </c>
      <c r="I233" s="28">
        <v>76055</v>
      </c>
      <c r="J233" s="28">
        <v>53700</v>
      </c>
      <c r="K233" s="28">
        <v>70.61</v>
      </c>
      <c r="L233" s="29">
        <f>SUM(NSE_BhavCopy[[#This Row],[ CLOSE_PRICE]]-NSE_BhavCopy[[#This Row],[ PREV_CLOSE]])/NSE_BhavCopy[[#This Row],[ PREV_CLOSE]]*100</f>
        <v>-4.7493403693931322</v>
      </c>
    </row>
    <row r="234" spans="1:12" hidden="1" x14ac:dyDescent="0.25">
      <c r="A234" s="28" t="s">
        <v>1245</v>
      </c>
      <c r="B234" s="28" t="s">
        <v>321</v>
      </c>
      <c r="C234" s="30">
        <v>44428</v>
      </c>
      <c r="D234" s="28">
        <v>44.65</v>
      </c>
      <c r="E234" s="28">
        <v>44.55</v>
      </c>
      <c r="F234" s="28">
        <v>46.85</v>
      </c>
      <c r="G234" s="28">
        <v>44.15</v>
      </c>
      <c r="H234" s="28">
        <v>45.03</v>
      </c>
      <c r="I234" s="28">
        <v>2890</v>
      </c>
      <c r="J234" s="28">
        <v>2040</v>
      </c>
      <c r="K234" s="28">
        <v>70.59</v>
      </c>
      <c r="L234" s="29">
        <f>SUM(NSE_BhavCopy[[#This Row],[ CLOSE_PRICE]]-NSE_BhavCopy[[#This Row],[ PREV_CLOSE]])/NSE_BhavCopy[[#This Row],[ PREV_CLOSE]]*100</f>
        <v>-1.1198208286674132</v>
      </c>
    </row>
    <row r="235" spans="1:12" hidden="1" x14ac:dyDescent="0.25">
      <c r="A235" s="28" t="s">
        <v>540</v>
      </c>
      <c r="B235" s="28" t="s">
        <v>321</v>
      </c>
      <c r="C235" s="30">
        <v>44428</v>
      </c>
      <c r="D235" s="28">
        <v>229.15</v>
      </c>
      <c r="E235" s="28">
        <v>233</v>
      </c>
      <c r="F235" s="28">
        <v>233</v>
      </c>
      <c r="G235" s="28">
        <v>221.3</v>
      </c>
      <c r="H235" s="28">
        <v>225.03</v>
      </c>
      <c r="I235" s="28">
        <v>25364</v>
      </c>
      <c r="J235" s="28">
        <v>17900</v>
      </c>
      <c r="K235" s="28">
        <v>70.569999999999993</v>
      </c>
      <c r="L235" s="29">
        <f>SUM(NSE_BhavCopy[[#This Row],[ CLOSE_PRICE]]-NSE_BhavCopy[[#This Row],[ PREV_CLOSE]])/NSE_BhavCopy[[#This Row],[ PREV_CLOSE]]*100</f>
        <v>-3.4257036875409099</v>
      </c>
    </row>
    <row r="236" spans="1:12" hidden="1" x14ac:dyDescent="0.25">
      <c r="A236" s="28" t="s">
        <v>1162</v>
      </c>
      <c r="B236" s="28" t="s">
        <v>321</v>
      </c>
      <c r="C236" s="30">
        <v>44428</v>
      </c>
      <c r="D236" s="28">
        <v>45.9</v>
      </c>
      <c r="E236" s="28">
        <v>45</v>
      </c>
      <c r="F236" s="28">
        <v>46.45</v>
      </c>
      <c r="G236" s="28">
        <v>44.45</v>
      </c>
      <c r="H236" s="28">
        <v>44.61</v>
      </c>
      <c r="I236" s="28">
        <v>10323</v>
      </c>
      <c r="J236" s="28">
        <v>7277</v>
      </c>
      <c r="K236" s="28">
        <v>70.489999999999995</v>
      </c>
      <c r="L236" s="29">
        <f>SUM(NSE_BhavCopy[[#This Row],[ CLOSE_PRICE]]-NSE_BhavCopy[[#This Row],[ PREV_CLOSE]])/NSE_BhavCopy[[#This Row],[ PREV_CLOSE]]*100</f>
        <v>-3.1590413943355031</v>
      </c>
    </row>
    <row r="237" spans="1:12" hidden="1" x14ac:dyDescent="0.25">
      <c r="A237" s="28" t="s">
        <v>330</v>
      </c>
      <c r="B237" s="28" t="s">
        <v>321</v>
      </c>
      <c r="C237" s="30">
        <v>44428</v>
      </c>
      <c r="D237" s="28">
        <v>54.7</v>
      </c>
      <c r="E237" s="28">
        <v>54.75</v>
      </c>
      <c r="F237" s="28">
        <v>54.75</v>
      </c>
      <c r="G237" s="28">
        <v>53.05</v>
      </c>
      <c r="H237" s="28">
        <v>53.02</v>
      </c>
      <c r="I237" s="28">
        <v>34971</v>
      </c>
      <c r="J237" s="28">
        <v>24640</v>
      </c>
      <c r="K237" s="28">
        <v>70.459999999999994</v>
      </c>
      <c r="L237" s="29">
        <f>SUM(NSE_BhavCopy[[#This Row],[ CLOSE_PRICE]]-NSE_BhavCopy[[#This Row],[ PREV_CLOSE]])/NSE_BhavCopy[[#This Row],[ PREV_CLOSE]]*100</f>
        <v>-3.0164533820841051</v>
      </c>
    </row>
    <row r="238" spans="1:12" hidden="1" x14ac:dyDescent="0.25">
      <c r="A238" s="28" t="s">
        <v>1364</v>
      </c>
      <c r="B238" s="28" t="s">
        <v>321</v>
      </c>
      <c r="C238" s="30">
        <v>44428</v>
      </c>
      <c r="D238" s="28">
        <v>13.1</v>
      </c>
      <c r="E238" s="28">
        <v>13.55</v>
      </c>
      <c r="F238" s="28">
        <v>13.55</v>
      </c>
      <c r="G238" s="28">
        <v>12.7</v>
      </c>
      <c r="H238" s="28">
        <v>12.95</v>
      </c>
      <c r="I238" s="28">
        <v>24670</v>
      </c>
      <c r="J238" s="28">
        <v>17377</v>
      </c>
      <c r="K238" s="28">
        <v>70.44</v>
      </c>
      <c r="L238" s="29">
        <f>SUM(NSE_BhavCopy[[#This Row],[ CLOSE_PRICE]]-NSE_BhavCopy[[#This Row],[ PREV_CLOSE]])/NSE_BhavCopy[[#This Row],[ PREV_CLOSE]]*100</f>
        <v>-3.0534351145038197</v>
      </c>
    </row>
    <row r="239" spans="1:12" hidden="1" x14ac:dyDescent="0.25">
      <c r="A239" s="28" t="s">
        <v>1613</v>
      </c>
      <c r="B239" s="28" t="s">
        <v>321</v>
      </c>
      <c r="C239" s="30">
        <v>44428</v>
      </c>
      <c r="D239" s="28">
        <v>21.95</v>
      </c>
      <c r="E239" s="28">
        <v>23.1</v>
      </c>
      <c r="F239" s="28">
        <v>23.1</v>
      </c>
      <c r="G239" s="28">
        <v>20.55</v>
      </c>
      <c r="H239" s="28">
        <v>21.15</v>
      </c>
      <c r="I239" s="28">
        <v>27497</v>
      </c>
      <c r="J239" s="28">
        <v>19327</v>
      </c>
      <c r="K239" s="28">
        <v>70.290000000000006</v>
      </c>
      <c r="L239" s="29">
        <f>SUM(NSE_BhavCopy[[#This Row],[ CLOSE_PRICE]]-NSE_BhavCopy[[#This Row],[ PREV_CLOSE]])/NSE_BhavCopy[[#This Row],[ PREV_CLOSE]]*100</f>
        <v>-6.3781321184510187</v>
      </c>
    </row>
    <row r="240" spans="1:12" hidden="1" x14ac:dyDescent="0.25">
      <c r="A240" s="28" t="s">
        <v>1456</v>
      </c>
      <c r="B240" s="28" t="s">
        <v>321</v>
      </c>
      <c r="C240" s="30">
        <v>44428</v>
      </c>
      <c r="D240" s="28">
        <v>12.95</v>
      </c>
      <c r="E240" s="28">
        <v>12.95</v>
      </c>
      <c r="F240" s="28">
        <v>13.15</v>
      </c>
      <c r="G240" s="28">
        <v>12.7</v>
      </c>
      <c r="H240" s="28">
        <v>12.8</v>
      </c>
      <c r="I240" s="28">
        <v>73561</v>
      </c>
      <c r="J240" s="28">
        <v>51697</v>
      </c>
      <c r="K240" s="28">
        <v>70.28</v>
      </c>
      <c r="L240" s="29">
        <f>SUM(NSE_BhavCopy[[#This Row],[ CLOSE_PRICE]]-NSE_BhavCopy[[#This Row],[ PREV_CLOSE]])/NSE_BhavCopy[[#This Row],[ PREV_CLOSE]]*100</f>
        <v>-1.9305019305019304</v>
      </c>
    </row>
    <row r="241" spans="1:12" hidden="1" x14ac:dyDescent="0.25">
      <c r="A241" s="28" t="s">
        <v>1762</v>
      </c>
      <c r="B241" s="28" t="s">
        <v>321</v>
      </c>
      <c r="C241" s="30">
        <v>44428</v>
      </c>
      <c r="D241" s="28">
        <v>29.4</v>
      </c>
      <c r="E241" s="28">
        <v>30.45</v>
      </c>
      <c r="F241" s="28">
        <v>30.45</v>
      </c>
      <c r="G241" s="28">
        <v>29.7</v>
      </c>
      <c r="H241" s="28">
        <v>29.61</v>
      </c>
      <c r="I241" s="28">
        <v>11352</v>
      </c>
      <c r="J241" s="28">
        <v>7967</v>
      </c>
      <c r="K241" s="28">
        <v>70.180000000000007</v>
      </c>
      <c r="L241" s="29">
        <f>SUM(NSE_BhavCopy[[#This Row],[ CLOSE_PRICE]]-NSE_BhavCopy[[#This Row],[ PREV_CLOSE]])/NSE_BhavCopy[[#This Row],[ PREV_CLOSE]]*100</f>
        <v>1.0204081632653086</v>
      </c>
    </row>
    <row r="242" spans="1:12" hidden="1" x14ac:dyDescent="0.25">
      <c r="A242" s="28" t="s">
        <v>621</v>
      </c>
      <c r="B242" s="28" t="s">
        <v>321</v>
      </c>
      <c r="C242" s="30">
        <v>44428</v>
      </c>
      <c r="D242" s="28">
        <v>534.54999999999995</v>
      </c>
      <c r="E242" s="28">
        <v>538.79999999999995</v>
      </c>
      <c r="F242" s="28">
        <v>544</v>
      </c>
      <c r="G242" s="28">
        <v>523</v>
      </c>
      <c r="H242" s="28">
        <v>526.1</v>
      </c>
      <c r="I242" s="28">
        <v>77644</v>
      </c>
      <c r="J242" s="28">
        <v>54461</v>
      </c>
      <c r="K242" s="28">
        <v>70.14</v>
      </c>
      <c r="L242" s="29">
        <f>SUM(NSE_BhavCopy[[#This Row],[ CLOSE_PRICE]]-NSE_BhavCopy[[#This Row],[ PREV_CLOSE]])/NSE_BhavCopy[[#This Row],[ PREV_CLOSE]]*100</f>
        <v>-2.1606959124497158</v>
      </c>
    </row>
    <row r="243" spans="1:12" hidden="1" x14ac:dyDescent="0.25">
      <c r="A243" s="28" t="s">
        <v>1257</v>
      </c>
      <c r="B243" s="28" t="s">
        <v>321</v>
      </c>
      <c r="C243" s="30">
        <v>44428</v>
      </c>
      <c r="D243" s="28">
        <v>17.149999999999999</v>
      </c>
      <c r="E243" s="28">
        <v>17.100000000000001</v>
      </c>
      <c r="F243" s="28">
        <v>17.350000000000001</v>
      </c>
      <c r="G243" s="28">
        <v>16.45</v>
      </c>
      <c r="H243" s="28">
        <v>16.7</v>
      </c>
      <c r="I243" s="28">
        <v>544335</v>
      </c>
      <c r="J243" s="28">
        <v>381791</v>
      </c>
      <c r="K243" s="28">
        <v>70.14</v>
      </c>
      <c r="L243" s="29">
        <f>SUM(NSE_BhavCopy[[#This Row],[ CLOSE_PRICE]]-NSE_BhavCopy[[#This Row],[ PREV_CLOSE]])/NSE_BhavCopy[[#This Row],[ PREV_CLOSE]]*100</f>
        <v>-4.081632653061221</v>
      </c>
    </row>
    <row r="244" spans="1:12" hidden="1" x14ac:dyDescent="0.25">
      <c r="A244" s="28" t="s">
        <v>443</v>
      </c>
      <c r="B244" s="28" t="s">
        <v>321</v>
      </c>
      <c r="C244" s="30">
        <v>44428</v>
      </c>
      <c r="D244" s="28">
        <v>140.44999999999999</v>
      </c>
      <c r="E244" s="28">
        <v>140.15</v>
      </c>
      <c r="F244" s="28">
        <v>143</v>
      </c>
      <c r="G244" s="28">
        <v>139.1</v>
      </c>
      <c r="H244" s="28">
        <v>140</v>
      </c>
      <c r="I244" s="28">
        <v>3488</v>
      </c>
      <c r="J244" s="28">
        <v>2446</v>
      </c>
      <c r="K244" s="28">
        <v>70.13</v>
      </c>
      <c r="L244" s="29">
        <f>SUM(NSE_BhavCopy[[#This Row],[ CLOSE_PRICE]]-NSE_BhavCopy[[#This Row],[ PREV_CLOSE]])/NSE_BhavCopy[[#This Row],[ PREV_CLOSE]]*100</f>
        <v>-0.96119615521537516</v>
      </c>
    </row>
    <row r="245" spans="1:12" hidden="1" x14ac:dyDescent="0.25">
      <c r="A245" s="28" t="s">
        <v>972</v>
      </c>
      <c r="B245" s="28" t="s">
        <v>321</v>
      </c>
      <c r="C245" s="30">
        <v>44428</v>
      </c>
      <c r="D245" s="28">
        <v>841.15</v>
      </c>
      <c r="E245" s="28">
        <v>839.95</v>
      </c>
      <c r="F245" s="28">
        <v>840.5</v>
      </c>
      <c r="G245" s="28">
        <v>816.7</v>
      </c>
      <c r="H245" s="28">
        <v>819.08</v>
      </c>
      <c r="I245" s="28">
        <v>4171</v>
      </c>
      <c r="J245" s="28">
        <v>2921</v>
      </c>
      <c r="K245" s="28">
        <v>70.03</v>
      </c>
      <c r="L245" s="29">
        <f>SUM(NSE_BhavCopy[[#This Row],[ CLOSE_PRICE]]-NSE_BhavCopy[[#This Row],[ PREV_CLOSE]])/NSE_BhavCopy[[#This Row],[ PREV_CLOSE]]*100</f>
        <v>-2.9067348273197329</v>
      </c>
    </row>
    <row r="246" spans="1:12" hidden="1" x14ac:dyDescent="0.25">
      <c r="A246" s="28" t="s">
        <v>1223</v>
      </c>
      <c r="B246" s="28" t="s">
        <v>321</v>
      </c>
      <c r="C246" s="30">
        <v>44428</v>
      </c>
      <c r="D246" s="28">
        <v>831.05</v>
      </c>
      <c r="E246" s="28">
        <v>820.05</v>
      </c>
      <c r="F246" s="28">
        <v>829.85</v>
      </c>
      <c r="G246" s="28">
        <v>809.2</v>
      </c>
      <c r="H246" s="28">
        <v>812.94</v>
      </c>
      <c r="I246" s="28">
        <v>165404</v>
      </c>
      <c r="J246" s="28">
        <v>115824</v>
      </c>
      <c r="K246" s="28">
        <v>70.02</v>
      </c>
      <c r="L246" s="29">
        <f>SUM(NSE_BhavCopy[[#This Row],[ CLOSE_PRICE]]-NSE_BhavCopy[[#This Row],[ PREV_CLOSE]])/NSE_BhavCopy[[#This Row],[ PREV_CLOSE]]*100</f>
        <v>-2.6292040190120822</v>
      </c>
    </row>
    <row r="247" spans="1:12" hidden="1" x14ac:dyDescent="0.25">
      <c r="A247" s="28" t="s">
        <v>1723</v>
      </c>
      <c r="B247" s="28" t="s">
        <v>321</v>
      </c>
      <c r="C247" s="30">
        <v>44428</v>
      </c>
      <c r="D247" s="28">
        <v>110.3</v>
      </c>
      <c r="E247" s="28">
        <v>109.95</v>
      </c>
      <c r="F247" s="28">
        <v>109.95</v>
      </c>
      <c r="G247" s="28">
        <v>106.35</v>
      </c>
      <c r="H247" s="28">
        <v>107.26</v>
      </c>
      <c r="I247" s="28">
        <v>20632</v>
      </c>
      <c r="J247" s="28">
        <v>14420</v>
      </c>
      <c r="K247" s="28">
        <v>69.89</v>
      </c>
      <c r="L247" s="29">
        <f>SUM(NSE_BhavCopy[[#This Row],[ CLOSE_PRICE]]-NSE_BhavCopy[[#This Row],[ PREV_CLOSE]])/NSE_BhavCopy[[#This Row],[ PREV_CLOSE]]*100</f>
        <v>-3.5811423390752521</v>
      </c>
    </row>
    <row r="248" spans="1:12" hidden="1" x14ac:dyDescent="0.25">
      <c r="A248" s="28" t="s">
        <v>849</v>
      </c>
      <c r="B248" s="28" t="s">
        <v>321</v>
      </c>
      <c r="C248" s="30">
        <v>44428</v>
      </c>
      <c r="D248" s="28">
        <v>94.15</v>
      </c>
      <c r="E248" s="28">
        <v>88</v>
      </c>
      <c r="F248" s="28">
        <v>94.4</v>
      </c>
      <c r="G248" s="28">
        <v>89.25</v>
      </c>
      <c r="H248" s="28">
        <v>91.25</v>
      </c>
      <c r="I248" s="28">
        <v>505257</v>
      </c>
      <c r="J248" s="28">
        <v>353014</v>
      </c>
      <c r="K248" s="28">
        <v>69.87</v>
      </c>
      <c r="L248" s="29">
        <f>SUM(NSE_BhavCopy[[#This Row],[ CLOSE_PRICE]]-NSE_BhavCopy[[#This Row],[ PREV_CLOSE]])/NSE_BhavCopy[[#This Row],[ PREV_CLOSE]]*100</f>
        <v>-5.2044609665427561</v>
      </c>
    </row>
    <row r="249" spans="1:12" hidden="1" x14ac:dyDescent="0.25">
      <c r="A249" s="28" t="s">
        <v>368</v>
      </c>
      <c r="B249" s="28" t="s">
        <v>321</v>
      </c>
      <c r="C249" s="30">
        <v>44428</v>
      </c>
      <c r="D249" s="28">
        <v>4194.55</v>
      </c>
      <c r="E249" s="28">
        <v>4170</v>
      </c>
      <c r="F249" s="28">
        <v>4182.45</v>
      </c>
      <c r="G249" s="28">
        <v>4098.8</v>
      </c>
      <c r="H249" s="28">
        <v>4122.1899999999996</v>
      </c>
      <c r="I249" s="28">
        <v>55411</v>
      </c>
      <c r="J249" s="28">
        <v>38708</v>
      </c>
      <c r="K249" s="28">
        <v>69.86</v>
      </c>
      <c r="L249" s="29">
        <f>SUM(NSE_BhavCopy[[#This Row],[ CLOSE_PRICE]]-NSE_BhavCopy[[#This Row],[ PREV_CLOSE]])/NSE_BhavCopy[[#This Row],[ PREV_CLOSE]]*100</f>
        <v>-2.2827240109189306</v>
      </c>
    </row>
    <row r="250" spans="1:12" hidden="1" x14ac:dyDescent="0.25">
      <c r="A250" s="28" t="s">
        <v>834</v>
      </c>
      <c r="B250" s="28" t="s">
        <v>321</v>
      </c>
      <c r="C250" s="30">
        <v>44428</v>
      </c>
      <c r="D250" s="28">
        <v>255.4</v>
      </c>
      <c r="E250" s="28">
        <v>246.1</v>
      </c>
      <c r="F250" s="28">
        <v>249.85</v>
      </c>
      <c r="G250" s="28">
        <v>232.95</v>
      </c>
      <c r="H250" s="28">
        <v>241.16</v>
      </c>
      <c r="I250" s="28">
        <v>578228</v>
      </c>
      <c r="J250" s="28">
        <v>403766</v>
      </c>
      <c r="K250" s="28">
        <v>69.83</v>
      </c>
      <c r="L250" s="29">
        <f>SUM(NSE_BhavCopy[[#This Row],[ CLOSE_PRICE]]-NSE_BhavCopy[[#This Row],[ PREV_CLOSE]])/NSE_BhavCopy[[#This Row],[ PREV_CLOSE]]*100</f>
        <v>-8.7901331245105787</v>
      </c>
    </row>
    <row r="251" spans="1:12" hidden="1" x14ac:dyDescent="0.25">
      <c r="A251" s="28" t="s">
        <v>1217</v>
      </c>
      <c r="B251" s="28" t="s">
        <v>321</v>
      </c>
      <c r="C251" s="30">
        <v>44428</v>
      </c>
      <c r="D251" s="28">
        <v>18.05</v>
      </c>
      <c r="E251" s="28">
        <v>17.899999999999999</v>
      </c>
      <c r="F251" s="28">
        <v>18.2</v>
      </c>
      <c r="G251" s="28">
        <v>18</v>
      </c>
      <c r="H251" s="28">
        <v>17.98</v>
      </c>
      <c r="I251" s="28">
        <v>782541</v>
      </c>
      <c r="J251" s="28">
        <v>545843</v>
      </c>
      <c r="K251" s="28">
        <v>69.75</v>
      </c>
      <c r="L251" s="29">
        <f>SUM(NSE_BhavCopy[[#This Row],[ CLOSE_PRICE]]-NSE_BhavCopy[[#This Row],[ PREV_CLOSE]])/NSE_BhavCopy[[#This Row],[ PREV_CLOSE]]*100</f>
        <v>-0.27700831024931144</v>
      </c>
    </row>
    <row r="252" spans="1:12" hidden="1" x14ac:dyDescent="0.25">
      <c r="A252" s="28" t="s">
        <v>504</v>
      </c>
      <c r="B252" s="28" t="s">
        <v>321</v>
      </c>
      <c r="C252" s="30">
        <v>44428</v>
      </c>
      <c r="D252" s="28">
        <v>32.15</v>
      </c>
      <c r="E252" s="28">
        <v>31.55</v>
      </c>
      <c r="F252" s="28">
        <v>32.799999999999997</v>
      </c>
      <c r="G252" s="28">
        <v>31.65</v>
      </c>
      <c r="H252" s="28">
        <v>31.68</v>
      </c>
      <c r="I252" s="28">
        <v>51557</v>
      </c>
      <c r="J252" s="28">
        <v>35918</v>
      </c>
      <c r="K252" s="28">
        <v>69.67</v>
      </c>
      <c r="L252" s="29">
        <f>SUM(NSE_BhavCopy[[#This Row],[ CLOSE_PRICE]]-NSE_BhavCopy[[#This Row],[ PREV_CLOSE]])/NSE_BhavCopy[[#This Row],[ PREV_CLOSE]]*100</f>
        <v>-1.5552099533437014</v>
      </c>
    </row>
    <row r="253" spans="1:12" hidden="1" x14ac:dyDescent="0.25">
      <c r="A253" s="28" t="s">
        <v>565</v>
      </c>
      <c r="B253" s="28" t="s">
        <v>321</v>
      </c>
      <c r="C253" s="30">
        <v>44428</v>
      </c>
      <c r="D253" s="28">
        <v>1947.7</v>
      </c>
      <c r="E253" s="28">
        <v>1905.55</v>
      </c>
      <c r="F253" s="28">
        <v>1940.4</v>
      </c>
      <c r="G253" s="28">
        <v>1920.7</v>
      </c>
      <c r="H253" s="28">
        <v>1920.34</v>
      </c>
      <c r="I253" s="28">
        <v>32866</v>
      </c>
      <c r="J253" s="28">
        <v>22896</v>
      </c>
      <c r="K253" s="28">
        <v>69.66</v>
      </c>
      <c r="L253" s="29">
        <f>SUM(NSE_BhavCopy[[#This Row],[ CLOSE_PRICE]]-NSE_BhavCopy[[#This Row],[ PREV_CLOSE]])/NSE_BhavCopy[[#This Row],[ PREV_CLOSE]]*100</f>
        <v>-1.3862504492478307</v>
      </c>
    </row>
    <row r="254" spans="1:12" hidden="1" x14ac:dyDescent="0.25">
      <c r="A254" s="28" t="s">
        <v>529</v>
      </c>
      <c r="B254" s="28" t="s">
        <v>321</v>
      </c>
      <c r="C254" s="30">
        <v>44428</v>
      </c>
      <c r="D254" s="28">
        <v>10.4</v>
      </c>
      <c r="E254" s="28">
        <v>10.199999999999999</v>
      </c>
      <c r="F254" s="28">
        <v>10.35</v>
      </c>
      <c r="G254" s="28">
        <v>9.9499999999999993</v>
      </c>
      <c r="H254" s="28">
        <v>10</v>
      </c>
      <c r="I254" s="28">
        <v>717573</v>
      </c>
      <c r="J254" s="28">
        <v>499329</v>
      </c>
      <c r="K254" s="28">
        <v>69.59</v>
      </c>
      <c r="L254" s="29">
        <f>SUM(NSE_BhavCopy[[#This Row],[ CLOSE_PRICE]]-NSE_BhavCopy[[#This Row],[ PREV_CLOSE]])/NSE_BhavCopy[[#This Row],[ PREV_CLOSE]]*100</f>
        <v>-4.3269230769230873</v>
      </c>
    </row>
    <row r="255" spans="1:12" hidden="1" x14ac:dyDescent="0.25">
      <c r="A255" s="28" t="s">
        <v>457</v>
      </c>
      <c r="B255" s="28" t="s">
        <v>321</v>
      </c>
      <c r="C255" s="30">
        <v>44428</v>
      </c>
      <c r="D255" s="28">
        <v>68.3</v>
      </c>
      <c r="E255" s="28">
        <v>68.2</v>
      </c>
      <c r="F255" s="28">
        <v>68.7</v>
      </c>
      <c r="G255" s="28">
        <v>63.45</v>
      </c>
      <c r="H255" s="28">
        <v>65.39</v>
      </c>
      <c r="I255" s="28">
        <v>19636</v>
      </c>
      <c r="J255" s="28">
        <v>13648</v>
      </c>
      <c r="K255" s="28">
        <v>69.5</v>
      </c>
      <c r="L255" s="29">
        <f>SUM(NSE_BhavCopy[[#This Row],[ CLOSE_PRICE]]-NSE_BhavCopy[[#This Row],[ PREV_CLOSE]])/NSE_BhavCopy[[#This Row],[ PREV_CLOSE]]*100</f>
        <v>-7.1010248901903283</v>
      </c>
    </row>
    <row r="256" spans="1:12" hidden="1" x14ac:dyDescent="0.25">
      <c r="A256" s="28" t="s">
        <v>790</v>
      </c>
      <c r="B256" s="28" t="s">
        <v>321</v>
      </c>
      <c r="C256" s="30">
        <v>44428</v>
      </c>
      <c r="D256" s="28">
        <v>7.95</v>
      </c>
      <c r="E256" s="28">
        <v>8</v>
      </c>
      <c r="F256" s="28">
        <v>8.0500000000000007</v>
      </c>
      <c r="G256" s="28">
        <v>7.85</v>
      </c>
      <c r="H256" s="28">
        <v>7.83</v>
      </c>
      <c r="I256" s="28">
        <v>164607</v>
      </c>
      <c r="J256" s="28">
        <v>114380</v>
      </c>
      <c r="K256" s="28">
        <v>69.489999999999995</v>
      </c>
      <c r="L256" s="29">
        <f>SUM(NSE_BhavCopy[[#This Row],[ CLOSE_PRICE]]-NSE_BhavCopy[[#This Row],[ PREV_CLOSE]])/NSE_BhavCopy[[#This Row],[ PREV_CLOSE]]*100</f>
        <v>-1.2578616352201324</v>
      </c>
    </row>
    <row r="257" spans="1:12" hidden="1" x14ac:dyDescent="0.25">
      <c r="A257" s="28" t="s">
        <v>1677</v>
      </c>
      <c r="B257" s="28" t="s">
        <v>321</v>
      </c>
      <c r="C257" s="30">
        <v>44428</v>
      </c>
      <c r="D257" s="28">
        <v>347.55</v>
      </c>
      <c r="E257" s="28">
        <v>347.55</v>
      </c>
      <c r="F257" s="28">
        <v>347.55</v>
      </c>
      <c r="G257" s="28">
        <v>333.95</v>
      </c>
      <c r="H257" s="28">
        <v>334.77</v>
      </c>
      <c r="I257" s="28">
        <v>4088</v>
      </c>
      <c r="J257" s="28">
        <v>2836</v>
      </c>
      <c r="K257" s="28">
        <v>69.37</v>
      </c>
      <c r="L257" s="29">
        <f>SUM(NSE_BhavCopy[[#This Row],[ CLOSE_PRICE]]-NSE_BhavCopy[[#This Row],[ PREV_CLOSE]])/NSE_BhavCopy[[#This Row],[ PREV_CLOSE]]*100</f>
        <v>-3.9131060279096594</v>
      </c>
    </row>
    <row r="258" spans="1:12" hidden="1" x14ac:dyDescent="0.25">
      <c r="A258" s="28" t="s">
        <v>446</v>
      </c>
      <c r="B258" s="28" t="s">
        <v>321</v>
      </c>
      <c r="C258" s="30">
        <v>44428</v>
      </c>
      <c r="D258" s="28">
        <v>4173.75</v>
      </c>
      <c r="E258" s="28">
        <v>4125.1000000000004</v>
      </c>
      <c r="F258" s="28">
        <v>4165</v>
      </c>
      <c r="G258" s="28">
        <v>4150.1000000000004</v>
      </c>
      <c r="H258" s="28">
        <v>4114</v>
      </c>
      <c r="I258" s="28">
        <v>48299</v>
      </c>
      <c r="J258" s="28">
        <v>33484</v>
      </c>
      <c r="K258" s="28">
        <v>69.33</v>
      </c>
      <c r="L258" s="29">
        <f>SUM(NSE_BhavCopy[[#This Row],[ CLOSE_PRICE]]-NSE_BhavCopy[[#This Row],[ PREV_CLOSE]])/NSE_BhavCopy[[#This Row],[ PREV_CLOSE]]*100</f>
        <v>-0.56663671758010514</v>
      </c>
    </row>
    <row r="259" spans="1:12" hidden="1" x14ac:dyDescent="0.25">
      <c r="A259" s="28" t="s">
        <v>1360</v>
      </c>
      <c r="B259" s="28" t="s">
        <v>321</v>
      </c>
      <c r="C259" s="30">
        <v>44428</v>
      </c>
      <c r="D259" s="28">
        <v>356.53</v>
      </c>
      <c r="E259" s="28">
        <v>356.53</v>
      </c>
      <c r="F259" s="28">
        <v>356.53</v>
      </c>
      <c r="G259" s="28">
        <v>350.48</v>
      </c>
      <c r="H259" s="28">
        <v>350.77</v>
      </c>
      <c r="I259" s="28">
        <v>132297</v>
      </c>
      <c r="J259" s="28">
        <v>91664</v>
      </c>
      <c r="K259" s="28">
        <v>69.290000000000006</v>
      </c>
      <c r="L259" s="29">
        <f>SUM(NSE_BhavCopy[[#This Row],[ CLOSE_PRICE]]-NSE_BhavCopy[[#This Row],[ PREV_CLOSE]])/NSE_BhavCopy[[#This Row],[ PREV_CLOSE]]*100</f>
        <v>-1.6969119008217977</v>
      </c>
    </row>
    <row r="260" spans="1:12" hidden="1" x14ac:dyDescent="0.25">
      <c r="A260" s="28" t="s">
        <v>1530</v>
      </c>
      <c r="B260" s="28" t="s">
        <v>321</v>
      </c>
      <c r="C260" s="30">
        <v>44428</v>
      </c>
      <c r="D260" s="28">
        <v>2133.5500000000002</v>
      </c>
      <c r="E260" s="28">
        <v>2144.25</v>
      </c>
      <c r="F260" s="28">
        <v>2150.0500000000002</v>
      </c>
      <c r="G260" s="28">
        <v>2091</v>
      </c>
      <c r="H260" s="28">
        <v>2104.63</v>
      </c>
      <c r="I260" s="28">
        <v>13136</v>
      </c>
      <c r="J260" s="28">
        <v>9095</v>
      </c>
      <c r="K260" s="28">
        <v>69.239999999999995</v>
      </c>
      <c r="L260" s="29">
        <f>SUM(NSE_BhavCopy[[#This Row],[ CLOSE_PRICE]]-NSE_BhavCopy[[#This Row],[ PREV_CLOSE]])/NSE_BhavCopy[[#This Row],[ PREV_CLOSE]]*100</f>
        <v>-1.994328700991314</v>
      </c>
    </row>
    <row r="261" spans="1:12" hidden="1" x14ac:dyDescent="0.25">
      <c r="A261" s="28" t="s">
        <v>978</v>
      </c>
      <c r="B261" s="28" t="s">
        <v>321</v>
      </c>
      <c r="C261" s="30">
        <v>44428</v>
      </c>
      <c r="D261" s="28">
        <v>41.22</v>
      </c>
      <c r="E261" s="28">
        <v>41.22</v>
      </c>
      <c r="F261" s="28">
        <v>41.48</v>
      </c>
      <c r="G261" s="28">
        <v>41.14</v>
      </c>
      <c r="H261" s="28">
        <v>41.27</v>
      </c>
      <c r="I261" s="28">
        <v>191089</v>
      </c>
      <c r="J261" s="28">
        <v>132266</v>
      </c>
      <c r="K261" s="28">
        <v>69.22</v>
      </c>
      <c r="L261" s="29">
        <f>SUM(NSE_BhavCopy[[#This Row],[ CLOSE_PRICE]]-NSE_BhavCopy[[#This Row],[ PREV_CLOSE]])/NSE_BhavCopy[[#This Row],[ PREV_CLOSE]]*100</f>
        <v>-0.19408054342551748</v>
      </c>
    </row>
    <row r="262" spans="1:12" hidden="1" x14ac:dyDescent="0.25">
      <c r="A262" s="28" t="s">
        <v>1174</v>
      </c>
      <c r="B262" s="28" t="s">
        <v>321</v>
      </c>
      <c r="C262" s="30">
        <v>44428</v>
      </c>
      <c r="D262" s="28">
        <v>1595.35</v>
      </c>
      <c r="E262" s="28">
        <v>1556</v>
      </c>
      <c r="F262" s="28">
        <v>1589</v>
      </c>
      <c r="G262" s="28">
        <v>1558.15</v>
      </c>
      <c r="H262" s="28">
        <v>1562.28</v>
      </c>
      <c r="I262" s="28">
        <v>9948</v>
      </c>
      <c r="J262" s="28">
        <v>6886</v>
      </c>
      <c r="K262" s="28">
        <v>69.22</v>
      </c>
      <c r="L262" s="29">
        <f>SUM(NSE_BhavCopy[[#This Row],[ CLOSE_PRICE]]-NSE_BhavCopy[[#This Row],[ PREV_CLOSE]])/NSE_BhavCopy[[#This Row],[ PREV_CLOSE]]*100</f>
        <v>-2.3317767261102467</v>
      </c>
    </row>
    <row r="263" spans="1:12" hidden="1" x14ac:dyDescent="0.25">
      <c r="A263" s="28" t="s">
        <v>1611</v>
      </c>
      <c r="B263" s="28" t="s">
        <v>321</v>
      </c>
      <c r="C263" s="30">
        <v>44428</v>
      </c>
      <c r="D263" s="28">
        <v>851.55</v>
      </c>
      <c r="E263" s="28">
        <v>845</v>
      </c>
      <c r="F263" s="28">
        <v>845</v>
      </c>
      <c r="G263" s="28">
        <v>820.1</v>
      </c>
      <c r="H263" s="28">
        <v>825.72</v>
      </c>
      <c r="I263" s="28">
        <v>15038</v>
      </c>
      <c r="J263" s="28">
        <v>10405</v>
      </c>
      <c r="K263" s="28">
        <v>69.19</v>
      </c>
      <c r="L263" s="29">
        <f>SUM(NSE_BhavCopy[[#This Row],[ CLOSE_PRICE]]-NSE_BhavCopy[[#This Row],[ PREV_CLOSE]])/NSE_BhavCopy[[#This Row],[ PREV_CLOSE]]*100</f>
        <v>-3.6932652222417865</v>
      </c>
    </row>
    <row r="264" spans="1:12" hidden="1" x14ac:dyDescent="0.25">
      <c r="A264" s="28" t="s">
        <v>986</v>
      </c>
      <c r="B264" s="28" t="s">
        <v>321</v>
      </c>
      <c r="C264" s="30">
        <v>44428</v>
      </c>
      <c r="D264" s="28">
        <v>1779.9</v>
      </c>
      <c r="E264" s="28">
        <v>1750</v>
      </c>
      <c r="F264" s="28">
        <v>1790.3</v>
      </c>
      <c r="G264" s="28">
        <v>1754.35</v>
      </c>
      <c r="H264" s="28">
        <v>1764.53</v>
      </c>
      <c r="I264" s="28">
        <v>20803</v>
      </c>
      <c r="J264" s="28">
        <v>14384</v>
      </c>
      <c r="K264" s="28">
        <v>69.14</v>
      </c>
      <c r="L264" s="29">
        <f>SUM(NSE_BhavCopy[[#This Row],[ CLOSE_PRICE]]-NSE_BhavCopy[[#This Row],[ PREV_CLOSE]])/NSE_BhavCopy[[#This Row],[ PREV_CLOSE]]*100</f>
        <v>-1.4354739030282702</v>
      </c>
    </row>
    <row r="265" spans="1:12" hidden="1" x14ac:dyDescent="0.25">
      <c r="A265" s="28" t="s">
        <v>1302</v>
      </c>
      <c r="B265" s="28" t="s">
        <v>321</v>
      </c>
      <c r="C265" s="30">
        <v>44428</v>
      </c>
      <c r="D265" s="28">
        <v>80.7</v>
      </c>
      <c r="E265" s="28">
        <v>80.55</v>
      </c>
      <c r="F265" s="28">
        <v>81</v>
      </c>
      <c r="G265" s="28">
        <v>78.55</v>
      </c>
      <c r="H265" s="28">
        <v>79.739999999999995</v>
      </c>
      <c r="I265" s="28">
        <v>16280</v>
      </c>
      <c r="J265" s="28">
        <v>11246</v>
      </c>
      <c r="K265" s="28">
        <v>69.08</v>
      </c>
      <c r="L265" s="29">
        <f>SUM(NSE_BhavCopy[[#This Row],[ CLOSE_PRICE]]-NSE_BhavCopy[[#This Row],[ PREV_CLOSE]])/NSE_BhavCopy[[#This Row],[ PREV_CLOSE]]*100</f>
        <v>-2.6641883519207008</v>
      </c>
    </row>
    <row r="266" spans="1:12" hidden="1" x14ac:dyDescent="0.25">
      <c r="A266" s="28" t="s">
        <v>1172</v>
      </c>
      <c r="B266" s="28" t="s">
        <v>321</v>
      </c>
      <c r="C266" s="30">
        <v>44428</v>
      </c>
      <c r="D266" s="28">
        <v>1733.05</v>
      </c>
      <c r="E266" s="28">
        <v>1731.85</v>
      </c>
      <c r="F266" s="28">
        <v>1740</v>
      </c>
      <c r="G266" s="28">
        <v>1692.3</v>
      </c>
      <c r="H266" s="28">
        <v>1696.19</v>
      </c>
      <c r="I266" s="28">
        <v>294</v>
      </c>
      <c r="J266" s="28">
        <v>203</v>
      </c>
      <c r="K266" s="28">
        <v>69.05</v>
      </c>
      <c r="L266" s="29">
        <f>SUM(NSE_BhavCopy[[#This Row],[ CLOSE_PRICE]]-NSE_BhavCopy[[#This Row],[ PREV_CLOSE]])/NSE_BhavCopy[[#This Row],[ PREV_CLOSE]]*100</f>
        <v>-2.3513458930786766</v>
      </c>
    </row>
    <row r="267" spans="1:12" hidden="1" x14ac:dyDescent="0.25">
      <c r="A267" s="28" t="s">
        <v>1623</v>
      </c>
      <c r="B267" s="28" t="s">
        <v>321</v>
      </c>
      <c r="C267" s="30">
        <v>44428</v>
      </c>
      <c r="D267" s="28">
        <v>10.1</v>
      </c>
      <c r="E267" s="28">
        <v>10.199999999999999</v>
      </c>
      <c r="F267" s="28">
        <v>10.199999999999999</v>
      </c>
      <c r="G267" s="28">
        <v>9.6999999999999993</v>
      </c>
      <c r="H267" s="28">
        <v>9.73</v>
      </c>
      <c r="I267" s="28">
        <v>1557743</v>
      </c>
      <c r="J267" s="28">
        <v>1074681</v>
      </c>
      <c r="K267" s="28">
        <v>68.989999999999995</v>
      </c>
      <c r="L267" s="29">
        <f>SUM(NSE_BhavCopy[[#This Row],[ CLOSE_PRICE]]-NSE_BhavCopy[[#This Row],[ PREV_CLOSE]])/NSE_BhavCopy[[#This Row],[ PREV_CLOSE]]*100</f>
        <v>-3.9603960396039639</v>
      </c>
    </row>
    <row r="268" spans="1:12" hidden="1" x14ac:dyDescent="0.25">
      <c r="A268" s="28" t="s">
        <v>440</v>
      </c>
      <c r="B268" s="28" t="s">
        <v>321</v>
      </c>
      <c r="C268" s="30">
        <v>44428</v>
      </c>
      <c r="D268" s="28">
        <v>174.96</v>
      </c>
      <c r="E268" s="28">
        <v>172.5</v>
      </c>
      <c r="F268" s="28">
        <v>190.7</v>
      </c>
      <c r="G268" s="28">
        <v>172.67</v>
      </c>
      <c r="H268" s="28">
        <v>176.5</v>
      </c>
      <c r="I268" s="28">
        <v>13191</v>
      </c>
      <c r="J268" s="28">
        <v>9091</v>
      </c>
      <c r="K268" s="28">
        <v>68.92</v>
      </c>
      <c r="L268" s="29">
        <f>SUM(NSE_BhavCopy[[#This Row],[ CLOSE_PRICE]]-NSE_BhavCopy[[#This Row],[ PREV_CLOSE]])/NSE_BhavCopy[[#This Row],[ PREV_CLOSE]]*100</f>
        <v>-1.3088705989940674</v>
      </c>
    </row>
    <row r="269" spans="1:12" hidden="1" x14ac:dyDescent="0.25">
      <c r="A269" s="28" t="s">
        <v>1183</v>
      </c>
      <c r="B269" s="28" t="s">
        <v>321</v>
      </c>
      <c r="C269" s="30">
        <v>44428</v>
      </c>
      <c r="D269" s="28">
        <v>15.35</v>
      </c>
      <c r="E269" s="28">
        <v>14.6</v>
      </c>
      <c r="F269" s="28">
        <v>15.35</v>
      </c>
      <c r="G269" s="28">
        <v>14.6</v>
      </c>
      <c r="H269" s="28">
        <v>14.69</v>
      </c>
      <c r="I269" s="28">
        <v>231496</v>
      </c>
      <c r="J269" s="28">
        <v>159457</v>
      </c>
      <c r="K269" s="28">
        <v>68.88</v>
      </c>
      <c r="L269" s="29">
        <f>SUM(NSE_BhavCopy[[#This Row],[ CLOSE_PRICE]]-NSE_BhavCopy[[#This Row],[ PREV_CLOSE]])/NSE_BhavCopy[[#This Row],[ PREV_CLOSE]]*100</f>
        <v>-4.8859934853420199</v>
      </c>
    </row>
    <row r="270" spans="1:12" hidden="1" x14ac:dyDescent="0.25">
      <c r="A270" s="28" t="s">
        <v>1250</v>
      </c>
      <c r="B270" s="28" t="s">
        <v>321</v>
      </c>
      <c r="C270" s="30">
        <v>44428</v>
      </c>
      <c r="D270" s="28">
        <v>29.15</v>
      </c>
      <c r="E270" s="28">
        <v>28.2</v>
      </c>
      <c r="F270" s="28">
        <v>29.95</v>
      </c>
      <c r="G270" s="28">
        <v>27.75</v>
      </c>
      <c r="H270" s="28">
        <v>28.12</v>
      </c>
      <c r="I270" s="28">
        <v>46404</v>
      </c>
      <c r="J270" s="28">
        <v>31961</v>
      </c>
      <c r="K270" s="28">
        <v>68.88</v>
      </c>
      <c r="L270" s="29">
        <f>SUM(NSE_BhavCopy[[#This Row],[ CLOSE_PRICE]]-NSE_BhavCopy[[#This Row],[ PREV_CLOSE]])/NSE_BhavCopy[[#This Row],[ PREV_CLOSE]]*100</f>
        <v>-4.8027444253859306</v>
      </c>
    </row>
    <row r="271" spans="1:12" hidden="1" x14ac:dyDescent="0.25">
      <c r="A271" s="28" t="s">
        <v>779</v>
      </c>
      <c r="B271" s="28" t="s">
        <v>321</v>
      </c>
      <c r="C271" s="30">
        <v>44428</v>
      </c>
      <c r="D271" s="28">
        <v>132.69999999999999</v>
      </c>
      <c r="E271" s="28">
        <v>131.19999999999999</v>
      </c>
      <c r="F271" s="28">
        <v>132.75</v>
      </c>
      <c r="G271" s="28">
        <v>127.4</v>
      </c>
      <c r="H271" s="28">
        <v>129.5</v>
      </c>
      <c r="I271" s="28">
        <v>537906</v>
      </c>
      <c r="J271" s="28">
        <v>370296</v>
      </c>
      <c r="K271" s="28">
        <v>68.84</v>
      </c>
      <c r="L271" s="29">
        <f>SUM(NSE_BhavCopy[[#This Row],[ CLOSE_PRICE]]-NSE_BhavCopy[[#This Row],[ PREV_CLOSE]])/NSE_BhavCopy[[#This Row],[ PREV_CLOSE]]*100</f>
        <v>-3.9939713639788867</v>
      </c>
    </row>
    <row r="272" spans="1:12" hidden="1" x14ac:dyDescent="0.25">
      <c r="A272" s="28" t="s">
        <v>951</v>
      </c>
      <c r="B272" s="28" t="s">
        <v>321</v>
      </c>
      <c r="C272" s="30">
        <v>44428</v>
      </c>
      <c r="D272" s="28">
        <v>146.44999999999999</v>
      </c>
      <c r="E272" s="28">
        <v>144.75</v>
      </c>
      <c r="F272" s="28">
        <v>146.30000000000001</v>
      </c>
      <c r="G272" s="28">
        <v>144.55000000000001</v>
      </c>
      <c r="H272" s="28">
        <v>143.72999999999999</v>
      </c>
      <c r="I272" s="28">
        <v>180900</v>
      </c>
      <c r="J272" s="28">
        <v>124507</v>
      </c>
      <c r="K272" s="28">
        <v>68.83</v>
      </c>
      <c r="L272" s="29">
        <f>SUM(NSE_BhavCopy[[#This Row],[ CLOSE_PRICE]]-NSE_BhavCopy[[#This Row],[ PREV_CLOSE]])/NSE_BhavCopy[[#This Row],[ PREV_CLOSE]]*100</f>
        <v>-1.2973711164219717</v>
      </c>
    </row>
    <row r="273" spans="1:12" hidden="1" x14ac:dyDescent="0.25">
      <c r="A273" s="28" t="s">
        <v>1682</v>
      </c>
      <c r="B273" s="28" t="s">
        <v>321</v>
      </c>
      <c r="C273" s="30">
        <v>44428</v>
      </c>
      <c r="D273" s="28">
        <v>96.25</v>
      </c>
      <c r="E273" s="28">
        <v>96.25</v>
      </c>
      <c r="F273" s="28">
        <v>98.95</v>
      </c>
      <c r="G273" s="28">
        <v>95.3</v>
      </c>
      <c r="H273" s="28">
        <v>95.66</v>
      </c>
      <c r="I273" s="28">
        <v>34327</v>
      </c>
      <c r="J273" s="28">
        <v>23615</v>
      </c>
      <c r="K273" s="28">
        <v>68.790000000000006</v>
      </c>
      <c r="L273" s="29">
        <f>SUM(NSE_BhavCopy[[#This Row],[ CLOSE_PRICE]]-NSE_BhavCopy[[#This Row],[ PREV_CLOSE]])/NSE_BhavCopy[[#This Row],[ PREV_CLOSE]]*100</f>
        <v>-0.98701298701299001</v>
      </c>
    </row>
    <row r="274" spans="1:12" hidden="1" x14ac:dyDescent="0.25">
      <c r="A274" s="28" t="s">
        <v>488</v>
      </c>
      <c r="B274" s="28" t="s">
        <v>321</v>
      </c>
      <c r="C274" s="30">
        <v>44428</v>
      </c>
      <c r="D274" s="28">
        <v>63.3</v>
      </c>
      <c r="E274" s="28">
        <v>64.25</v>
      </c>
      <c r="F274" s="28">
        <v>64.25</v>
      </c>
      <c r="G274" s="28">
        <v>62.3</v>
      </c>
      <c r="H274" s="28">
        <v>62.49</v>
      </c>
      <c r="I274" s="28">
        <v>21131</v>
      </c>
      <c r="J274" s="28">
        <v>14536</v>
      </c>
      <c r="K274" s="28">
        <v>68.790000000000006</v>
      </c>
      <c r="L274" s="29">
        <f>SUM(NSE_BhavCopy[[#This Row],[ CLOSE_PRICE]]-NSE_BhavCopy[[#This Row],[ PREV_CLOSE]])/NSE_BhavCopy[[#This Row],[ PREV_CLOSE]]*100</f>
        <v>-1.5797788309636653</v>
      </c>
    </row>
    <row r="275" spans="1:12" hidden="1" x14ac:dyDescent="0.25">
      <c r="A275" s="28" t="s">
        <v>980</v>
      </c>
      <c r="B275" s="28" t="s">
        <v>321</v>
      </c>
      <c r="C275" s="30">
        <v>44428</v>
      </c>
      <c r="D275" s="28">
        <v>174.5</v>
      </c>
      <c r="E275" s="28">
        <v>176</v>
      </c>
      <c r="F275" s="28">
        <v>176</v>
      </c>
      <c r="G275" s="28">
        <v>173.18</v>
      </c>
      <c r="H275" s="28">
        <v>172.75</v>
      </c>
      <c r="I275" s="28">
        <v>689107</v>
      </c>
      <c r="J275" s="28">
        <v>473956</v>
      </c>
      <c r="K275" s="28">
        <v>68.78</v>
      </c>
      <c r="L275" s="29">
        <f>SUM(NSE_BhavCopy[[#This Row],[ CLOSE_PRICE]]-NSE_BhavCopy[[#This Row],[ PREV_CLOSE]])/NSE_BhavCopy[[#This Row],[ PREV_CLOSE]]*100</f>
        <v>-0.75644699140400751</v>
      </c>
    </row>
    <row r="276" spans="1:12" hidden="1" x14ac:dyDescent="0.25">
      <c r="A276" s="28" t="s">
        <v>1331</v>
      </c>
      <c r="B276" s="28" t="s">
        <v>321</v>
      </c>
      <c r="C276" s="30">
        <v>44428</v>
      </c>
      <c r="D276" s="28">
        <v>840.25</v>
      </c>
      <c r="E276" s="28">
        <v>830.05</v>
      </c>
      <c r="F276" s="28">
        <v>835.1</v>
      </c>
      <c r="G276" s="28">
        <v>805.45</v>
      </c>
      <c r="H276" s="28">
        <v>813.44</v>
      </c>
      <c r="I276" s="28">
        <v>2020</v>
      </c>
      <c r="J276" s="28">
        <v>1387</v>
      </c>
      <c r="K276" s="28">
        <v>68.66</v>
      </c>
      <c r="L276" s="29">
        <f>SUM(NSE_BhavCopy[[#This Row],[ CLOSE_PRICE]]-NSE_BhavCopy[[#This Row],[ PREV_CLOSE]])/NSE_BhavCopy[[#This Row],[ PREV_CLOSE]]*100</f>
        <v>-4.1416245165129375</v>
      </c>
    </row>
    <row r="277" spans="1:12" hidden="1" x14ac:dyDescent="0.25">
      <c r="A277" s="28" t="s">
        <v>528</v>
      </c>
      <c r="B277" s="28" t="s">
        <v>321</v>
      </c>
      <c r="C277" s="30">
        <v>44428</v>
      </c>
      <c r="D277" s="28">
        <v>434.85</v>
      </c>
      <c r="E277" s="28">
        <v>430</v>
      </c>
      <c r="F277" s="28">
        <v>430.95</v>
      </c>
      <c r="G277" s="28">
        <v>417.3</v>
      </c>
      <c r="H277" s="28">
        <v>421.79</v>
      </c>
      <c r="I277" s="28">
        <v>80855</v>
      </c>
      <c r="J277" s="28">
        <v>55501</v>
      </c>
      <c r="K277" s="28">
        <v>68.64</v>
      </c>
      <c r="L277" s="29">
        <f>SUM(NSE_BhavCopy[[#This Row],[ CLOSE_PRICE]]-NSE_BhavCopy[[#This Row],[ PREV_CLOSE]])/NSE_BhavCopy[[#This Row],[ PREV_CLOSE]]*100</f>
        <v>-4.0358744394618862</v>
      </c>
    </row>
    <row r="278" spans="1:12" hidden="1" x14ac:dyDescent="0.25">
      <c r="A278" s="28" t="s">
        <v>1609</v>
      </c>
      <c r="B278" s="28" t="s">
        <v>321</v>
      </c>
      <c r="C278" s="30">
        <v>44428</v>
      </c>
      <c r="D278" s="28">
        <v>4185.1000000000004</v>
      </c>
      <c r="E278" s="28">
        <v>4152.6000000000004</v>
      </c>
      <c r="F278" s="28">
        <v>4189.8999999999996</v>
      </c>
      <c r="G278" s="28">
        <v>4077</v>
      </c>
      <c r="H278" s="28">
        <v>4105.0200000000004</v>
      </c>
      <c r="I278" s="28">
        <v>692</v>
      </c>
      <c r="J278" s="28">
        <v>475</v>
      </c>
      <c r="K278" s="28">
        <v>68.64</v>
      </c>
      <c r="L278" s="29">
        <f>SUM(NSE_BhavCopy[[#This Row],[ CLOSE_PRICE]]-NSE_BhavCopy[[#This Row],[ PREV_CLOSE]])/NSE_BhavCopy[[#This Row],[ PREV_CLOSE]]*100</f>
        <v>-2.5829729277675648</v>
      </c>
    </row>
    <row r="279" spans="1:12" hidden="1" x14ac:dyDescent="0.25">
      <c r="A279" s="28" t="s">
        <v>1579</v>
      </c>
      <c r="B279" s="28" t="s">
        <v>321</v>
      </c>
      <c r="C279" s="30">
        <v>44428</v>
      </c>
      <c r="D279" s="28">
        <v>5.75</v>
      </c>
      <c r="E279" s="28">
        <v>5.95</v>
      </c>
      <c r="F279" s="28">
        <v>5.95</v>
      </c>
      <c r="G279" s="28">
        <v>5.55</v>
      </c>
      <c r="H279" s="28">
        <v>5.74</v>
      </c>
      <c r="I279" s="28">
        <v>501282</v>
      </c>
      <c r="J279" s="28">
        <v>344023</v>
      </c>
      <c r="K279" s="28">
        <v>68.63</v>
      </c>
      <c r="L279" s="29">
        <f>SUM(NSE_BhavCopy[[#This Row],[ CLOSE_PRICE]]-NSE_BhavCopy[[#This Row],[ PREV_CLOSE]])/NSE_BhavCopy[[#This Row],[ PREV_CLOSE]]*100</f>
        <v>-3.4782608695652204</v>
      </c>
    </row>
    <row r="280" spans="1:12" hidden="1" x14ac:dyDescent="0.25">
      <c r="A280" s="28" t="s">
        <v>1261</v>
      </c>
      <c r="B280" s="28" t="s">
        <v>321</v>
      </c>
      <c r="C280" s="30">
        <v>44428</v>
      </c>
      <c r="D280" s="28">
        <v>46.9</v>
      </c>
      <c r="E280" s="28">
        <v>46.1</v>
      </c>
      <c r="F280" s="28">
        <v>46.85</v>
      </c>
      <c r="G280" s="28">
        <v>45.45</v>
      </c>
      <c r="H280" s="28">
        <v>45.63</v>
      </c>
      <c r="I280" s="28">
        <v>54823</v>
      </c>
      <c r="J280" s="28">
        <v>37622</v>
      </c>
      <c r="K280" s="28">
        <v>68.62</v>
      </c>
      <c r="L280" s="29">
        <f>SUM(NSE_BhavCopy[[#This Row],[ CLOSE_PRICE]]-NSE_BhavCopy[[#This Row],[ PREV_CLOSE]])/NSE_BhavCopy[[#This Row],[ PREV_CLOSE]]*100</f>
        <v>-3.0916844349680077</v>
      </c>
    </row>
    <row r="281" spans="1:12" hidden="1" x14ac:dyDescent="0.25">
      <c r="A281" s="28" t="s">
        <v>1392</v>
      </c>
      <c r="B281" s="28" t="s">
        <v>321</v>
      </c>
      <c r="C281" s="30">
        <v>44428</v>
      </c>
      <c r="D281" s="28">
        <v>38.1</v>
      </c>
      <c r="E281" s="28">
        <v>37.15</v>
      </c>
      <c r="F281" s="28">
        <v>38.549999999999997</v>
      </c>
      <c r="G281" s="28">
        <v>37.25</v>
      </c>
      <c r="H281" s="28">
        <v>37.69</v>
      </c>
      <c r="I281" s="28">
        <v>46146</v>
      </c>
      <c r="J281" s="28">
        <v>31635</v>
      </c>
      <c r="K281" s="28">
        <v>68.55</v>
      </c>
      <c r="L281" s="29">
        <f>SUM(NSE_BhavCopy[[#This Row],[ CLOSE_PRICE]]-NSE_BhavCopy[[#This Row],[ PREV_CLOSE]])/NSE_BhavCopy[[#This Row],[ PREV_CLOSE]]*100</f>
        <v>-2.2309711286089278</v>
      </c>
    </row>
    <row r="282" spans="1:12" hidden="1" x14ac:dyDescent="0.25">
      <c r="A282" s="28" t="s">
        <v>674</v>
      </c>
      <c r="B282" s="28" t="s">
        <v>321</v>
      </c>
      <c r="C282" s="30">
        <v>44428</v>
      </c>
      <c r="D282" s="28">
        <v>1690.25</v>
      </c>
      <c r="E282" s="28">
        <v>1675</v>
      </c>
      <c r="F282" s="28">
        <v>1707</v>
      </c>
      <c r="G282" s="28">
        <v>1634.8</v>
      </c>
      <c r="H282" s="28">
        <v>1659.29</v>
      </c>
      <c r="I282" s="28">
        <v>54113</v>
      </c>
      <c r="J282" s="28">
        <v>37064</v>
      </c>
      <c r="K282" s="28">
        <v>68.489999999999995</v>
      </c>
      <c r="L282" s="29">
        <f>SUM(NSE_BhavCopy[[#This Row],[ CLOSE_PRICE]]-NSE_BhavCopy[[#This Row],[ PREV_CLOSE]])/NSE_BhavCopy[[#This Row],[ PREV_CLOSE]]*100</f>
        <v>-3.2805797958881846</v>
      </c>
    </row>
    <row r="283" spans="1:12" hidden="1" x14ac:dyDescent="0.25">
      <c r="A283" s="28" t="s">
        <v>666</v>
      </c>
      <c r="B283" s="28" t="s">
        <v>321</v>
      </c>
      <c r="C283" s="30">
        <v>44428</v>
      </c>
      <c r="D283" s="28">
        <v>8.25</v>
      </c>
      <c r="E283" s="28">
        <v>8.25</v>
      </c>
      <c r="F283" s="28">
        <v>8.65</v>
      </c>
      <c r="G283" s="28">
        <v>8.4499999999999993</v>
      </c>
      <c r="H283" s="28">
        <v>8.3800000000000008</v>
      </c>
      <c r="I283" s="28">
        <v>843523</v>
      </c>
      <c r="J283" s="28">
        <v>577585</v>
      </c>
      <c r="K283" s="28">
        <v>68.47</v>
      </c>
      <c r="L283" s="29">
        <f>SUM(NSE_BhavCopy[[#This Row],[ CLOSE_PRICE]]-NSE_BhavCopy[[#This Row],[ PREV_CLOSE]])/NSE_BhavCopy[[#This Row],[ PREV_CLOSE]]*100</f>
        <v>2.4242424242424154</v>
      </c>
    </row>
    <row r="284" spans="1:12" hidden="1" x14ac:dyDescent="0.25">
      <c r="A284" s="28" t="s">
        <v>324</v>
      </c>
      <c r="B284" s="28" t="s">
        <v>321</v>
      </c>
      <c r="C284" s="30">
        <v>44428</v>
      </c>
      <c r="D284" s="28">
        <v>23477</v>
      </c>
      <c r="E284" s="28">
        <v>23440.05</v>
      </c>
      <c r="F284" s="28">
        <v>23789.95</v>
      </c>
      <c r="G284" s="28">
        <v>22839.65</v>
      </c>
      <c r="H284" s="28">
        <v>23271.29</v>
      </c>
      <c r="I284" s="28">
        <v>7309</v>
      </c>
      <c r="J284" s="28">
        <v>5001</v>
      </c>
      <c r="K284" s="28">
        <v>68.42</v>
      </c>
      <c r="L284" s="29">
        <f>SUM(NSE_BhavCopy[[#This Row],[ CLOSE_PRICE]]-NSE_BhavCopy[[#This Row],[ PREV_CLOSE]])/NSE_BhavCopy[[#This Row],[ PREV_CLOSE]]*100</f>
        <v>-2.7147846828811115</v>
      </c>
    </row>
    <row r="285" spans="1:12" hidden="1" x14ac:dyDescent="0.25">
      <c r="A285" s="28" t="s">
        <v>1182</v>
      </c>
      <c r="B285" s="28" t="s">
        <v>321</v>
      </c>
      <c r="C285" s="30">
        <v>44428</v>
      </c>
      <c r="D285" s="28">
        <v>32.15</v>
      </c>
      <c r="E285" s="28">
        <v>32.450000000000003</v>
      </c>
      <c r="F285" s="28">
        <v>32.75</v>
      </c>
      <c r="G285" s="28">
        <v>31</v>
      </c>
      <c r="H285" s="28">
        <v>31.41</v>
      </c>
      <c r="I285" s="28">
        <v>126987</v>
      </c>
      <c r="J285" s="28">
        <v>86762</v>
      </c>
      <c r="K285" s="28">
        <v>68.319999999999993</v>
      </c>
      <c r="L285" s="29">
        <f>SUM(NSE_BhavCopy[[#This Row],[ CLOSE_PRICE]]-NSE_BhavCopy[[#This Row],[ PREV_CLOSE]])/NSE_BhavCopy[[#This Row],[ PREV_CLOSE]]*100</f>
        <v>-3.5769828926905092</v>
      </c>
    </row>
    <row r="286" spans="1:12" hidden="1" x14ac:dyDescent="0.25">
      <c r="A286" s="28" t="s">
        <v>1398</v>
      </c>
      <c r="B286" s="28" t="s">
        <v>321</v>
      </c>
      <c r="C286" s="30">
        <v>44428</v>
      </c>
      <c r="D286" s="28">
        <v>2753.7</v>
      </c>
      <c r="E286" s="28">
        <v>2788</v>
      </c>
      <c r="F286" s="28">
        <v>2798.85</v>
      </c>
      <c r="G286" s="28">
        <v>2766.1</v>
      </c>
      <c r="H286" s="28">
        <v>2760.25</v>
      </c>
      <c r="I286" s="28">
        <v>23606</v>
      </c>
      <c r="J286" s="28">
        <v>16123</v>
      </c>
      <c r="K286" s="28">
        <v>68.3</v>
      </c>
      <c r="L286" s="29">
        <f>SUM(NSE_BhavCopy[[#This Row],[ CLOSE_PRICE]]-NSE_BhavCopy[[#This Row],[ PREV_CLOSE]])/NSE_BhavCopy[[#This Row],[ PREV_CLOSE]]*100</f>
        <v>0.45030322838363268</v>
      </c>
    </row>
    <row r="287" spans="1:12" hidden="1" x14ac:dyDescent="0.25">
      <c r="A287" s="28" t="s">
        <v>81</v>
      </c>
      <c r="B287" s="28" t="s">
        <v>321</v>
      </c>
      <c r="C287" s="30">
        <v>44428</v>
      </c>
      <c r="D287" s="28">
        <v>51.3</v>
      </c>
      <c r="E287" s="28">
        <v>51</v>
      </c>
      <c r="F287" s="28">
        <v>51</v>
      </c>
      <c r="G287" s="28">
        <v>50.35</v>
      </c>
      <c r="H287" s="28">
        <v>50.14</v>
      </c>
      <c r="I287" s="28">
        <v>17703</v>
      </c>
      <c r="J287" s="28">
        <v>12082</v>
      </c>
      <c r="K287" s="28">
        <v>68.25</v>
      </c>
      <c r="L287" s="29">
        <f>SUM(NSE_BhavCopy[[#This Row],[ CLOSE_PRICE]]-NSE_BhavCopy[[#This Row],[ PREV_CLOSE]])/NSE_BhavCopy[[#This Row],[ PREV_CLOSE]]*100</f>
        <v>-1.8518518518518439</v>
      </c>
    </row>
    <row r="288" spans="1:12" hidden="1" x14ac:dyDescent="0.25">
      <c r="A288" s="28" t="s">
        <v>1522</v>
      </c>
      <c r="B288" s="28" t="s">
        <v>321</v>
      </c>
      <c r="C288" s="30">
        <v>44428</v>
      </c>
      <c r="D288" s="28">
        <v>26.95</v>
      </c>
      <c r="E288" s="28">
        <v>26.95</v>
      </c>
      <c r="F288" s="28">
        <v>27.75</v>
      </c>
      <c r="G288" s="28">
        <v>26.75</v>
      </c>
      <c r="H288" s="28">
        <v>26.86</v>
      </c>
      <c r="I288" s="28">
        <v>245716</v>
      </c>
      <c r="J288" s="28">
        <v>167572</v>
      </c>
      <c r="K288" s="28">
        <v>68.2</v>
      </c>
      <c r="L288" s="29">
        <f>SUM(NSE_BhavCopy[[#This Row],[ CLOSE_PRICE]]-NSE_BhavCopy[[#This Row],[ PREV_CLOSE]])/NSE_BhavCopy[[#This Row],[ PREV_CLOSE]]*100</f>
        <v>-0.74211502782931094</v>
      </c>
    </row>
    <row r="289" spans="1:12" hidden="1" x14ac:dyDescent="0.25">
      <c r="A289" s="28" t="s">
        <v>1445</v>
      </c>
      <c r="B289" s="28" t="s">
        <v>321</v>
      </c>
      <c r="C289" s="30">
        <v>44428</v>
      </c>
      <c r="D289" s="28">
        <v>3665.6</v>
      </c>
      <c r="E289" s="28">
        <v>3560</v>
      </c>
      <c r="F289" s="28">
        <v>3631</v>
      </c>
      <c r="G289" s="28">
        <v>3590.15</v>
      </c>
      <c r="H289" s="28">
        <v>3583.03</v>
      </c>
      <c r="I289" s="28">
        <v>15861</v>
      </c>
      <c r="J289" s="28">
        <v>10806</v>
      </c>
      <c r="K289" s="28">
        <v>68.13</v>
      </c>
      <c r="L289" s="29">
        <f>SUM(NSE_BhavCopy[[#This Row],[ CLOSE_PRICE]]-NSE_BhavCopy[[#This Row],[ PREV_CLOSE]])/NSE_BhavCopy[[#This Row],[ PREV_CLOSE]]*100</f>
        <v>-2.0583260584897376</v>
      </c>
    </row>
    <row r="290" spans="1:12" hidden="1" x14ac:dyDescent="0.25">
      <c r="A290" s="28" t="s">
        <v>1056</v>
      </c>
      <c r="B290" s="28" t="s">
        <v>321</v>
      </c>
      <c r="C290" s="30">
        <v>44428</v>
      </c>
      <c r="D290" s="28">
        <v>77.95</v>
      </c>
      <c r="E290" s="28">
        <v>76.8</v>
      </c>
      <c r="F290" s="28">
        <v>76.8</v>
      </c>
      <c r="G290" s="28">
        <v>74.099999999999994</v>
      </c>
      <c r="H290" s="28">
        <v>74.55</v>
      </c>
      <c r="I290" s="28">
        <v>92018</v>
      </c>
      <c r="J290" s="28">
        <v>62637</v>
      </c>
      <c r="K290" s="28">
        <v>68.069999999999993</v>
      </c>
      <c r="L290" s="29">
        <f>SUM(NSE_BhavCopy[[#This Row],[ CLOSE_PRICE]]-NSE_BhavCopy[[#This Row],[ PREV_CLOSE]])/NSE_BhavCopy[[#This Row],[ PREV_CLOSE]]*100</f>
        <v>-4.9390635022450402</v>
      </c>
    </row>
    <row r="291" spans="1:12" hidden="1" x14ac:dyDescent="0.25">
      <c r="A291" s="28" t="s">
        <v>1526</v>
      </c>
      <c r="B291" s="28" t="s">
        <v>321</v>
      </c>
      <c r="C291" s="30">
        <v>44428</v>
      </c>
      <c r="D291" s="28">
        <v>8895.9</v>
      </c>
      <c r="E291" s="28">
        <v>8790.9</v>
      </c>
      <c r="F291" s="28">
        <v>9049.9500000000007</v>
      </c>
      <c r="G291" s="28">
        <v>8956.4500000000007</v>
      </c>
      <c r="H291" s="28">
        <v>8905.19</v>
      </c>
      <c r="I291" s="28">
        <v>11279</v>
      </c>
      <c r="J291" s="28">
        <v>7675</v>
      </c>
      <c r="K291" s="28">
        <v>68.05</v>
      </c>
      <c r="L291" s="29">
        <f>SUM(NSE_BhavCopy[[#This Row],[ CLOSE_PRICE]]-NSE_BhavCopy[[#This Row],[ PREV_CLOSE]])/NSE_BhavCopy[[#This Row],[ PREV_CLOSE]]*100</f>
        <v>0.6806506368102283</v>
      </c>
    </row>
    <row r="292" spans="1:12" hidden="1" x14ac:dyDescent="0.25">
      <c r="A292" s="28" t="s">
        <v>1627</v>
      </c>
      <c r="B292" s="28" t="s">
        <v>321</v>
      </c>
      <c r="C292" s="30">
        <v>44428</v>
      </c>
      <c r="D292" s="28">
        <v>335</v>
      </c>
      <c r="E292" s="28">
        <v>341.1</v>
      </c>
      <c r="F292" s="28">
        <v>341.15</v>
      </c>
      <c r="G292" s="28">
        <v>323.95</v>
      </c>
      <c r="H292" s="28">
        <v>325.62</v>
      </c>
      <c r="I292" s="28">
        <v>61438</v>
      </c>
      <c r="J292" s="28">
        <v>41806</v>
      </c>
      <c r="K292" s="28">
        <v>68.05</v>
      </c>
      <c r="L292" s="29">
        <f>SUM(NSE_BhavCopy[[#This Row],[ CLOSE_PRICE]]-NSE_BhavCopy[[#This Row],[ PREV_CLOSE]])/NSE_BhavCopy[[#This Row],[ PREV_CLOSE]]*100</f>
        <v>-3.2985074626865707</v>
      </c>
    </row>
    <row r="293" spans="1:12" hidden="1" x14ac:dyDescent="0.25">
      <c r="A293" s="28" t="s">
        <v>868</v>
      </c>
      <c r="B293" s="28" t="s">
        <v>321</v>
      </c>
      <c r="C293" s="30">
        <v>44428</v>
      </c>
      <c r="D293" s="28">
        <v>39.4</v>
      </c>
      <c r="E293" s="28">
        <v>39.25</v>
      </c>
      <c r="F293" s="28">
        <v>39.25</v>
      </c>
      <c r="G293" s="28">
        <v>38.049999999999997</v>
      </c>
      <c r="H293" s="28">
        <v>38.06</v>
      </c>
      <c r="I293" s="28">
        <v>131161</v>
      </c>
      <c r="J293" s="28">
        <v>89176</v>
      </c>
      <c r="K293" s="28">
        <v>67.989999999999995</v>
      </c>
      <c r="L293" s="29">
        <f>SUM(NSE_BhavCopy[[#This Row],[ CLOSE_PRICE]]-NSE_BhavCopy[[#This Row],[ PREV_CLOSE]])/NSE_BhavCopy[[#This Row],[ PREV_CLOSE]]*100</f>
        <v>-3.4263959390862984</v>
      </c>
    </row>
    <row r="294" spans="1:12" hidden="1" x14ac:dyDescent="0.25">
      <c r="A294" s="28" t="s">
        <v>816</v>
      </c>
      <c r="B294" s="28" t="s">
        <v>321</v>
      </c>
      <c r="C294" s="30">
        <v>44428</v>
      </c>
      <c r="D294" s="28">
        <v>168.2</v>
      </c>
      <c r="E294" s="28">
        <v>169.97</v>
      </c>
      <c r="F294" s="28">
        <v>171</v>
      </c>
      <c r="G294" s="28">
        <v>170.13</v>
      </c>
      <c r="H294" s="28">
        <v>169.1</v>
      </c>
      <c r="I294" s="28">
        <v>5401</v>
      </c>
      <c r="J294" s="28">
        <v>3670</v>
      </c>
      <c r="K294" s="28">
        <v>67.95</v>
      </c>
      <c r="L294" s="29">
        <f>SUM(NSE_BhavCopy[[#This Row],[ CLOSE_PRICE]]-NSE_BhavCopy[[#This Row],[ PREV_CLOSE]])/NSE_BhavCopy[[#This Row],[ PREV_CLOSE]]*100</f>
        <v>1.1474435196195047</v>
      </c>
    </row>
    <row r="295" spans="1:12" hidden="1" x14ac:dyDescent="0.25">
      <c r="A295" s="28" t="s">
        <v>1334</v>
      </c>
      <c r="B295" s="28" t="s">
        <v>321</v>
      </c>
      <c r="C295" s="30">
        <v>44428</v>
      </c>
      <c r="D295" s="28">
        <v>68.900000000000006</v>
      </c>
      <c r="E295" s="28">
        <v>68.5</v>
      </c>
      <c r="F295" s="28">
        <v>69.849999999999994</v>
      </c>
      <c r="G295" s="28">
        <v>67.05</v>
      </c>
      <c r="H295" s="28">
        <v>68.11</v>
      </c>
      <c r="I295" s="28">
        <v>757413</v>
      </c>
      <c r="J295" s="28">
        <v>514570</v>
      </c>
      <c r="K295" s="28">
        <v>67.94</v>
      </c>
      <c r="L295" s="29">
        <f>SUM(NSE_BhavCopy[[#This Row],[ CLOSE_PRICE]]-NSE_BhavCopy[[#This Row],[ PREV_CLOSE]])/NSE_BhavCopy[[#This Row],[ PREV_CLOSE]]*100</f>
        <v>-2.6850507982583576</v>
      </c>
    </row>
    <row r="296" spans="1:12" hidden="1" x14ac:dyDescent="0.25">
      <c r="A296" s="28" t="s">
        <v>521</v>
      </c>
      <c r="B296" s="28" t="s">
        <v>321</v>
      </c>
      <c r="C296" s="30">
        <v>44428</v>
      </c>
      <c r="D296" s="28">
        <v>708.95</v>
      </c>
      <c r="E296" s="28">
        <v>699</v>
      </c>
      <c r="F296" s="28">
        <v>710.95</v>
      </c>
      <c r="G296" s="28">
        <v>696.45</v>
      </c>
      <c r="H296" s="28">
        <v>698.95</v>
      </c>
      <c r="I296" s="28">
        <v>91775</v>
      </c>
      <c r="J296" s="28">
        <v>62336</v>
      </c>
      <c r="K296" s="28">
        <v>67.92</v>
      </c>
      <c r="L296" s="29">
        <f>SUM(NSE_BhavCopy[[#This Row],[ CLOSE_PRICE]]-NSE_BhavCopy[[#This Row],[ PREV_CLOSE]])/NSE_BhavCopy[[#This Row],[ PREV_CLOSE]]*100</f>
        <v>-1.7631708865223215</v>
      </c>
    </row>
    <row r="297" spans="1:12" hidden="1" x14ac:dyDescent="0.25">
      <c r="A297" s="28" t="s">
        <v>1739</v>
      </c>
      <c r="B297" s="28" t="s">
        <v>321</v>
      </c>
      <c r="C297" s="30">
        <v>44428</v>
      </c>
      <c r="D297" s="28">
        <v>2.35</v>
      </c>
      <c r="E297" s="28">
        <v>2.25</v>
      </c>
      <c r="F297" s="28">
        <v>2.2999999999999998</v>
      </c>
      <c r="G297" s="28">
        <v>2.25</v>
      </c>
      <c r="H297" s="28">
        <v>2.25</v>
      </c>
      <c r="I297" s="28">
        <v>1460471</v>
      </c>
      <c r="J297" s="28">
        <v>990433</v>
      </c>
      <c r="K297" s="28">
        <v>67.819999999999993</v>
      </c>
      <c r="L297" s="29">
        <f>SUM(NSE_BhavCopy[[#This Row],[ CLOSE_PRICE]]-NSE_BhavCopy[[#This Row],[ PREV_CLOSE]])/NSE_BhavCopy[[#This Row],[ PREV_CLOSE]]*100</f>
        <v>-4.2553191489361737</v>
      </c>
    </row>
    <row r="298" spans="1:12" hidden="1" x14ac:dyDescent="0.25">
      <c r="A298" s="28" t="s">
        <v>1381</v>
      </c>
      <c r="B298" s="28" t="s">
        <v>321</v>
      </c>
      <c r="C298" s="30">
        <v>44428</v>
      </c>
      <c r="D298" s="28">
        <v>12.6</v>
      </c>
      <c r="E298" s="28">
        <v>12.5</v>
      </c>
      <c r="F298" s="28">
        <v>12.6</v>
      </c>
      <c r="G298" s="28">
        <v>12.4</v>
      </c>
      <c r="H298" s="28">
        <v>12.41</v>
      </c>
      <c r="I298" s="28">
        <v>36776</v>
      </c>
      <c r="J298" s="28">
        <v>24925</v>
      </c>
      <c r="K298" s="28">
        <v>67.78</v>
      </c>
      <c r="L298" s="29">
        <f>SUM(NSE_BhavCopy[[#This Row],[ CLOSE_PRICE]]-NSE_BhavCopy[[#This Row],[ PREV_CLOSE]])/NSE_BhavCopy[[#This Row],[ PREV_CLOSE]]*100</f>
        <v>-1.5873015873015817</v>
      </c>
    </row>
    <row r="299" spans="1:12" hidden="1" x14ac:dyDescent="0.25">
      <c r="A299" s="28" t="s">
        <v>903</v>
      </c>
      <c r="B299" s="28" t="s">
        <v>321</v>
      </c>
      <c r="C299" s="30">
        <v>44428</v>
      </c>
      <c r="D299" s="28">
        <v>471.55</v>
      </c>
      <c r="E299" s="28">
        <v>465</v>
      </c>
      <c r="F299" s="28">
        <v>494.95</v>
      </c>
      <c r="G299" s="28">
        <v>488.15</v>
      </c>
      <c r="H299" s="28">
        <v>482.72</v>
      </c>
      <c r="I299" s="28">
        <v>22182</v>
      </c>
      <c r="J299" s="28">
        <v>15033</v>
      </c>
      <c r="K299" s="28">
        <v>67.77</v>
      </c>
      <c r="L299" s="29">
        <f>SUM(NSE_BhavCopy[[#This Row],[ CLOSE_PRICE]]-NSE_BhavCopy[[#This Row],[ PREV_CLOSE]])/NSE_BhavCopy[[#This Row],[ PREV_CLOSE]]*100</f>
        <v>3.5203053758880212</v>
      </c>
    </row>
    <row r="300" spans="1:12" hidden="1" x14ac:dyDescent="0.25">
      <c r="A300" s="28" t="s">
        <v>1793</v>
      </c>
      <c r="B300" s="28" t="s">
        <v>321</v>
      </c>
      <c r="C300" s="30">
        <v>44428</v>
      </c>
      <c r="D300" s="28">
        <v>4.2</v>
      </c>
      <c r="E300" s="28">
        <v>4.4000000000000004</v>
      </c>
      <c r="F300" s="28">
        <v>4.4000000000000004</v>
      </c>
      <c r="G300" s="28">
        <v>4.1500000000000004</v>
      </c>
      <c r="H300" s="28">
        <v>4.1399999999999997</v>
      </c>
      <c r="I300" s="28">
        <v>16416</v>
      </c>
      <c r="J300" s="28">
        <v>11125</v>
      </c>
      <c r="K300" s="28">
        <v>67.77</v>
      </c>
      <c r="L300" s="29">
        <f>SUM(NSE_BhavCopy[[#This Row],[ CLOSE_PRICE]]-NSE_BhavCopy[[#This Row],[ PREV_CLOSE]])/NSE_BhavCopy[[#This Row],[ PREV_CLOSE]]*100</f>
        <v>-1.1904761904761862</v>
      </c>
    </row>
    <row r="301" spans="1:12" hidden="1" x14ac:dyDescent="0.25">
      <c r="A301" s="28" t="s">
        <v>1726</v>
      </c>
      <c r="B301" s="28" t="s">
        <v>321</v>
      </c>
      <c r="C301" s="30">
        <v>44428</v>
      </c>
      <c r="D301" s="28">
        <v>14.7</v>
      </c>
      <c r="E301" s="28">
        <v>14.7</v>
      </c>
      <c r="F301" s="28">
        <v>15.4</v>
      </c>
      <c r="G301" s="28">
        <v>15.4</v>
      </c>
      <c r="H301" s="28">
        <v>15.08</v>
      </c>
      <c r="I301" s="28">
        <v>81554</v>
      </c>
      <c r="J301" s="28">
        <v>55204</v>
      </c>
      <c r="K301" s="28">
        <v>67.69</v>
      </c>
      <c r="L301" s="29">
        <f>SUM(NSE_BhavCopy[[#This Row],[ CLOSE_PRICE]]-NSE_BhavCopy[[#This Row],[ PREV_CLOSE]])/NSE_BhavCopy[[#This Row],[ PREV_CLOSE]]*100</f>
        <v>4.761904761904769</v>
      </c>
    </row>
    <row r="302" spans="1:12" hidden="1" x14ac:dyDescent="0.25">
      <c r="A302" s="28" t="s">
        <v>1143</v>
      </c>
      <c r="B302" s="28" t="s">
        <v>321</v>
      </c>
      <c r="C302" s="30">
        <v>44428</v>
      </c>
      <c r="D302" s="28">
        <v>70.56</v>
      </c>
      <c r="E302" s="28">
        <v>71</v>
      </c>
      <c r="F302" s="28">
        <v>71.900000000000006</v>
      </c>
      <c r="G302" s="28">
        <v>71.84</v>
      </c>
      <c r="H302" s="28">
        <v>71.73</v>
      </c>
      <c r="I302" s="28">
        <v>18840</v>
      </c>
      <c r="J302" s="28">
        <v>12729</v>
      </c>
      <c r="K302" s="28">
        <v>67.56</v>
      </c>
      <c r="L302" s="29">
        <f>SUM(NSE_BhavCopy[[#This Row],[ CLOSE_PRICE]]-NSE_BhavCopy[[#This Row],[ PREV_CLOSE]])/NSE_BhavCopy[[#This Row],[ PREV_CLOSE]]*100</f>
        <v>1.8140589569161012</v>
      </c>
    </row>
    <row r="303" spans="1:12" hidden="1" x14ac:dyDescent="0.25">
      <c r="A303" s="28" t="s">
        <v>975</v>
      </c>
      <c r="B303" s="28" t="s">
        <v>321</v>
      </c>
      <c r="C303" s="30">
        <v>44428</v>
      </c>
      <c r="D303" s="28">
        <v>64.3</v>
      </c>
      <c r="E303" s="28">
        <v>63.1</v>
      </c>
      <c r="F303" s="28">
        <v>64.099999999999994</v>
      </c>
      <c r="G303" s="28">
        <v>62.25</v>
      </c>
      <c r="H303" s="28">
        <v>62.82</v>
      </c>
      <c r="I303" s="28">
        <v>118429</v>
      </c>
      <c r="J303" s="28">
        <v>79966</v>
      </c>
      <c r="K303" s="28">
        <v>67.52</v>
      </c>
      <c r="L303" s="29">
        <f>SUM(NSE_BhavCopy[[#This Row],[ CLOSE_PRICE]]-NSE_BhavCopy[[#This Row],[ PREV_CLOSE]])/NSE_BhavCopy[[#This Row],[ PREV_CLOSE]]*100</f>
        <v>-3.1881804043545832</v>
      </c>
    </row>
    <row r="304" spans="1:12" hidden="1" x14ac:dyDescent="0.25">
      <c r="A304" s="28" t="s">
        <v>1727</v>
      </c>
      <c r="B304" s="28" t="s">
        <v>321</v>
      </c>
      <c r="C304" s="30">
        <v>44428</v>
      </c>
      <c r="D304" s="28">
        <v>42.2</v>
      </c>
      <c r="E304" s="28">
        <v>42.9</v>
      </c>
      <c r="F304" s="28">
        <v>42.9</v>
      </c>
      <c r="G304" s="28">
        <v>41.25</v>
      </c>
      <c r="H304" s="28">
        <v>41.61</v>
      </c>
      <c r="I304" s="28">
        <v>94034</v>
      </c>
      <c r="J304" s="28">
        <v>63496</v>
      </c>
      <c r="K304" s="28">
        <v>67.52</v>
      </c>
      <c r="L304" s="29">
        <f>SUM(NSE_BhavCopy[[#This Row],[ CLOSE_PRICE]]-NSE_BhavCopy[[#This Row],[ PREV_CLOSE]])/NSE_BhavCopy[[#This Row],[ PREV_CLOSE]]*100</f>
        <v>-2.2511848341232295</v>
      </c>
    </row>
    <row r="305" spans="1:12" hidden="1" x14ac:dyDescent="0.25">
      <c r="A305" s="28" t="s">
        <v>1736</v>
      </c>
      <c r="B305" s="28" t="s">
        <v>321</v>
      </c>
      <c r="C305" s="30">
        <v>44428</v>
      </c>
      <c r="D305" s="28">
        <v>8.15</v>
      </c>
      <c r="E305" s="28">
        <v>7.75</v>
      </c>
      <c r="F305" s="28">
        <v>8.15</v>
      </c>
      <c r="G305" s="28">
        <v>7.9</v>
      </c>
      <c r="H305" s="28">
        <v>7.89</v>
      </c>
      <c r="I305" s="28">
        <v>14611</v>
      </c>
      <c r="J305" s="28">
        <v>9861</v>
      </c>
      <c r="K305" s="28">
        <v>67.489999999999995</v>
      </c>
      <c r="L305" s="29">
        <f>SUM(NSE_BhavCopy[[#This Row],[ CLOSE_PRICE]]-NSE_BhavCopy[[#This Row],[ PREV_CLOSE]])/NSE_BhavCopy[[#This Row],[ PREV_CLOSE]]*100</f>
        <v>-3.0674846625766872</v>
      </c>
    </row>
    <row r="306" spans="1:12" hidden="1" x14ac:dyDescent="0.25">
      <c r="A306" s="28" t="s">
        <v>1019</v>
      </c>
      <c r="B306" s="28" t="s">
        <v>321</v>
      </c>
      <c r="C306" s="30">
        <v>44428</v>
      </c>
      <c r="D306" s="28">
        <v>1441.85</v>
      </c>
      <c r="E306" s="28">
        <v>1430</v>
      </c>
      <c r="F306" s="28">
        <v>1445</v>
      </c>
      <c r="G306" s="28">
        <v>1429.65</v>
      </c>
      <c r="H306" s="28">
        <v>1429.7</v>
      </c>
      <c r="I306" s="28">
        <v>3168</v>
      </c>
      <c r="J306" s="28">
        <v>2136</v>
      </c>
      <c r="K306" s="28">
        <v>67.42</v>
      </c>
      <c r="L306" s="29">
        <f>SUM(NSE_BhavCopy[[#This Row],[ CLOSE_PRICE]]-NSE_BhavCopy[[#This Row],[ PREV_CLOSE]])/NSE_BhavCopy[[#This Row],[ PREV_CLOSE]]*100</f>
        <v>-0.84613517356173107</v>
      </c>
    </row>
    <row r="307" spans="1:12" hidden="1" x14ac:dyDescent="0.25">
      <c r="A307" s="28" t="s">
        <v>1176</v>
      </c>
      <c r="B307" s="28" t="s">
        <v>321</v>
      </c>
      <c r="C307" s="30">
        <v>44428</v>
      </c>
      <c r="D307" s="28">
        <v>858.5</v>
      </c>
      <c r="E307" s="28">
        <v>851</v>
      </c>
      <c r="F307" s="28">
        <v>858.5</v>
      </c>
      <c r="G307" s="28">
        <v>805.45</v>
      </c>
      <c r="H307" s="28">
        <v>824.17</v>
      </c>
      <c r="I307" s="28">
        <v>23799</v>
      </c>
      <c r="J307" s="28">
        <v>16025</v>
      </c>
      <c r="K307" s="28">
        <v>67.33</v>
      </c>
      <c r="L307" s="29">
        <f>SUM(NSE_BhavCopy[[#This Row],[ CLOSE_PRICE]]-NSE_BhavCopy[[#This Row],[ PREV_CLOSE]])/NSE_BhavCopy[[#This Row],[ PREV_CLOSE]]*100</f>
        <v>-6.1793826441467621</v>
      </c>
    </row>
    <row r="308" spans="1:12" hidden="1" x14ac:dyDescent="0.25">
      <c r="A308" s="28" t="s">
        <v>1560</v>
      </c>
      <c r="B308" s="28" t="s">
        <v>321</v>
      </c>
      <c r="C308" s="30">
        <v>44428</v>
      </c>
      <c r="D308" s="28">
        <v>763.55</v>
      </c>
      <c r="E308" s="28">
        <v>756</v>
      </c>
      <c r="F308" s="28">
        <v>765.15</v>
      </c>
      <c r="G308" s="28">
        <v>737.8</v>
      </c>
      <c r="H308" s="28">
        <v>747.65</v>
      </c>
      <c r="I308" s="28">
        <v>126328</v>
      </c>
      <c r="J308" s="28">
        <v>85017</v>
      </c>
      <c r="K308" s="28">
        <v>67.3</v>
      </c>
      <c r="L308" s="29">
        <f>SUM(NSE_BhavCopy[[#This Row],[ CLOSE_PRICE]]-NSE_BhavCopy[[#This Row],[ PREV_CLOSE]])/NSE_BhavCopy[[#This Row],[ PREV_CLOSE]]*100</f>
        <v>-3.3724052124942707</v>
      </c>
    </row>
    <row r="309" spans="1:12" hidden="1" x14ac:dyDescent="0.25">
      <c r="A309" s="28" t="s">
        <v>410</v>
      </c>
      <c r="B309" s="28" t="s">
        <v>321</v>
      </c>
      <c r="C309" s="30">
        <v>44428</v>
      </c>
      <c r="D309" s="28">
        <v>121.9</v>
      </c>
      <c r="E309" s="28">
        <v>116.5</v>
      </c>
      <c r="F309" s="28">
        <v>122.45</v>
      </c>
      <c r="G309" s="28">
        <v>117.55</v>
      </c>
      <c r="H309" s="28">
        <v>116.54</v>
      </c>
      <c r="I309" s="28">
        <v>80765</v>
      </c>
      <c r="J309" s="28">
        <v>54290</v>
      </c>
      <c r="K309" s="28">
        <v>67.22</v>
      </c>
      <c r="L309" s="29">
        <f>SUM(NSE_BhavCopy[[#This Row],[ CLOSE_PRICE]]-NSE_BhavCopy[[#This Row],[ PREV_CLOSE]])/NSE_BhavCopy[[#This Row],[ PREV_CLOSE]]*100</f>
        <v>-3.5684987694831896</v>
      </c>
    </row>
    <row r="310" spans="1:12" hidden="1" x14ac:dyDescent="0.25">
      <c r="A310" s="28" t="s">
        <v>1265</v>
      </c>
      <c r="B310" s="28" t="s">
        <v>321</v>
      </c>
      <c r="C310" s="30">
        <v>44428</v>
      </c>
      <c r="D310" s="28">
        <v>2042</v>
      </c>
      <c r="E310" s="28">
        <v>2041.95</v>
      </c>
      <c r="F310" s="28">
        <v>2041.95</v>
      </c>
      <c r="G310" s="28">
        <v>2035.8</v>
      </c>
      <c r="H310" s="28">
        <v>2035.4</v>
      </c>
      <c r="I310" s="28">
        <v>594</v>
      </c>
      <c r="J310" s="28">
        <v>399</v>
      </c>
      <c r="K310" s="28">
        <v>67.17</v>
      </c>
      <c r="L310" s="29">
        <f>SUM(NSE_BhavCopy[[#This Row],[ CLOSE_PRICE]]-NSE_BhavCopy[[#This Row],[ PREV_CLOSE]])/NSE_BhavCopy[[#This Row],[ PREV_CLOSE]]*100</f>
        <v>-0.30362389813908153</v>
      </c>
    </row>
    <row r="311" spans="1:12" hidden="1" x14ac:dyDescent="0.25">
      <c r="A311" s="28" t="s">
        <v>1135</v>
      </c>
      <c r="B311" s="28" t="s">
        <v>321</v>
      </c>
      <c r="C311" s="30">
        <v>44428</v>
      </c>
      <c r="D311" s="28">
        <v>77.25</v>
      </c>
      <c r="E311" s="28">
        <v>75.5</v>
      </c>
      <c r="F311" s="28">
        <v>75.95</v>
      </c>
      <c r="G311" s="28">
        <v>73.25</v>
      </c>
      <c r="H311" s="28">
        <v>74.17</v>
      </c>
      <c r="I311" s="28">
        <v>30486</v>
      </c>
      <c r="J311" s="28">
        <v>20465</v>
      </c>
      <c r="K311" s="28">
        <v>67.13</v>
      </c>
      <c r="L311" s="29">
        <f>SUM(NSE_BhavCopy[[#This Row],[ CLOSE_PRICE]]-NSE_BhavCopy[[#This Row],[ PREV_CLOSE]])/NSE_BhavCopy[[#This Row],[ PREV_CLOSE]]*100</f>
        <v>-5.1779935275080913</v>
      </c>
    </row>
    <row r="312" spans="1:12" hidden="1" x14ac:dyDescent="0.25">
      <c r="A312" s="28" t="s">
        <v>507</v>
      </c>
      <c r="B312" s="28" t="s">
        <v>321</v>
      </c>
      <c r="C312" s="30">
        <v>44428</v>
      </c>
      <c r="D312" s="28">
        <v>60.9</v>
      </c>
      <c r="E312" s="28">
        <v>62.5</v>
      </c>
      <c r="F312" s="28">
        <v>62.65</v>
      </c>
      <c r="G312" s="28">
        <v>59.7</v>
      </c>
      <c r="H312" s="28">
        <v>60.05</v>
      </c>
      <c r="I312" s="28">
        <v>25263</v>
      </c>
      <c r="J312" s="28">
        <v>16944</v>
      </c>
      <c r="K312" s="28">
        <v>67.069999999999993</v>
      </c>
      <c r="L312" s="29">
        <f>SUM(NSE_BhavCopy[[#This Row],[ CLOSE_PRICE]]-NSE_BhavCopy[[#This Row],[ PREV_CLOSE]])/NSE_BhavCopy[[#This Row],[ PREV_CLOSE]]*100</f>
        <v>-1.9704433497536877</v>
      </c>
    </row>
    <row r="313" spans="1:12" hidden="1" x14ac:dyDescent="0.25">
      <c r="A313" s="28" t="s">
        <v>352</v>
      </c>
      <c r="B313" s="28" t="s">
        <v>321</v>
      </c>
      <c r="C313" s="30">
        <v>44428</v>
      </c>
      <c r="D313" s="28">
        <v>165.45</v>
      </c>
      <c r="E313" s="28">
        <v>165.45</v>
      </c>
      <c r="F313" s="28">
        <v>169.95</v>
      </c>
      <c r="G313" s="28">
        <v>167.35</v>
      </c>
      <c r="H313" s="28">
        <v>166.47</v>
      </c>
      <c r="I313" s="28">
        <v>27367</v>
      </c>
      <c r="J313" s="28">
        <v>18348</v>
      </c>
      <c r="K313" s="28">
        <v>67.040000000000006</v>
      </c>
      <c r="L313" s="29">
        <f>SUM(NSE_BhavCopy[[#This Row],[ CLOSE_PRICE]]-NSE_BhavCopy[[#This Row],[ PREV_CLOSE]])/NSE_BhavCopy[[#This Row],[ PREV_CLOSE]]*100</f>
        <v>1.1483831973405898</v>
      </c>
    </row>
    <row r="314" spans="1:12" hidden="1" x14ac:dyDescent="0.25">
      <c r="A314" s="28" t="s">
        <v>746</v>
      </c>
      <c r="B314" s="28" t="s">
        <v>321</v>
      </c>
      <c r="C314" s="30">
        <v>44428</v>
      </c>
      <c r="D314" s="28">
        <v>1210.75</v>
      </c>
      <c r="E314" s="28">
        <v>1199.95</v>
      </c>
      <c r="F314" s="28">
        <v>1206.7</v>
      </c>
      <c r="G314" s="28">
        <v>1191.05</v>
      </c>
      <c r="H314" s="28">
        <v>1185.58</v>
      </c>
      <c r="I314" s="28">
        <v>57972</v>
      </c>
      <c r="J314" s="28">
        <v>38863</v>
      </c>
      <c r="K314" s="28">
        <v>67.040000000000006</v>
      </c>
      <c r="L314" s="29">
        <f>SUM(NSE_BhavCopy[[#This Row],[ CLOSE_PRICE]]-NSE_BhavCopy[[#This Row],[ PREV_CLOSE]])/NSE_BhavCopy[[#This Row],[ PREV_CLOSE]]*100</f>
        <v>-1.6270906462936232</v>
      </c>
    </row>
    <row r="315" spans="1:12" hidden="1" x14ac:dyDescent="0.25">
      <c r="A315" s="28" t="s">
        <v>1248</v>
      </c>
      <c r="B315" s="28" t="s">
        <v>321</v>
      </c>
      <c r="C315" s="30">
        <v>44428</v>
      </c>
      <c r="D315" s="28">
        <v>221.75</v>
      </c>
      <c r="E315" s="28">
        <v>218</v>
      </c>
      <c r="F315" s="28">
        <v>227.85</v>
      </c>
      <c r="G315" s="28">
        <v>226.35</v>
      </c>
      <c r="H315" s="28">
        <v>224.27</v>
      </c>
      <c r="I315" s="28">
        <v>57581</v>
      </c>
      <c r="J315" s="28">
        <v>38529</v>
      </c>
      <c r="K315" s="28">
        <v>66.91</v>
      </c>
      <c r="L315" s="29">
        <f>SUM(NSE_BhavCopy[[#This Row],[ CLOSE_PRICE]]-NSE_BhavCopy[[#This Row],[ PREV_CLOSE]])/NSE_BhavCopy[[#This Row],[ PREV_CLOSE]]*100</f>
        <v>2.0744081172491518</v>
      </c>
    </row>
    <row r="316" spans="1:12" hidden="1" x14ac:dyDescent="0.25">
      <c r="A316" s="28" t="s">
        <v>1333</v>
      </c>
      <c r="B316" s="28" t="s">
        <v>321</v>
      </c>
      <c r="C316" s="30">
        <v>44428</v>
      </c>
      <c r="D316" s="28">
        <v>142.9</v>
      </c>
      <c r="E316" s="28">
        <v>142.85</v>
      </c>
      <c r="F316" s="28">
        <v>145.1</v>
      </c>
      <c r="G316" s="28">
        <v>135.80000000000001</v>
      </c>
      <c r="H316" s="28">
        <v>139.18</v>
      </c>
      <c r="I316" s="28">
        <v>28603</v>
      </c>
      <c r="J316" s="28">
        <v>19133</v>
      </c>
      <c r="K316" s="28">
        <v>66.89</v>
      </c>
      <c r="L316" s="29">
        <f>SUM(NSE_BhavCopy[[#This Row],[ CLOSE_PRICE]]-NSE_BhavCopy[[#This Row],[ PREV_CLOSE]])/NSE_BhavCopy[[#This Row],[ PREV_CLOSE]]*100</f>
        <v>-4.9685094471658457</v>
      </c>
    </row>
    <row r="317" spans="1:12" hidden="1" x14ac:dyDescent="0.25">
      <c r="A317" s="28" t="s">
        <v>954</v>
      </c>
      <c r="B317" s="28" t="s">
        <v>321</v>
      </c>
      <c r="C317" s="30">
        <v>44428</v>
      </c>
      <c r="D317" s="28">
        <v>18.2</v>
      </c>
      <c r="E317" s="28">
        <v>18.95</v>
      </c>
      <c r="F317" s="28">
        <v>18.95</v>
      </c>
      <c r="G317" s="28">
        <v>18</v>
      </c>
      <c r="H317" s="28">
        <v>18.18</v>
      </c>
      <c r="I317" s="28">
        <v>4783</v>
      </c>
      <c r="J317" s="28">
        <v>3194</v>
      </c>
      <c r="K317" s="28">
        <v>66.78</v>
      </c>
      <c r="L317" s="29">
        <f>SUM(NSE_BhavCopy[[#This Row],[ CLOSE_PRICE]]-NSE_BhavCopy[[#This Row],[ PREV_CLOSE]])/NSE_BhavCopy[[#This Row],[ PREV_CLOSE]]*100</f>
        <v>-1.098901098901095</v>
      </c>
    </row>
    <row r="318" spans="1:12" hidden="1" x14ac:dyDescent="0.25">
      <c r="A318" s="28" t="s">
        <v>1685</v>
      </c>
      <c r="B318" s="28" t="s">
        <v>321</v>
      </c>
      <c r="C318" s="30">
        <v>44428</v>
      </c>
      <c r="D318" s="28">
        <v>3.8</v>
      </c>
      <c r="E318" s="28">
        <v>3.75</v>
      </c>
      <c r="F318" s="28">
        <v>3.8</v>
      </c>
      <c r="G318" s="28">
        <v>3.65</v>
      </c>
      <c r="H318" s="28">
        <v>3.69</v>
      </c>
      <c r="I318" s="28">
        <v>195747</v>
      </c>
      <c r="J318" s="28">
        <v>130632</v>
      </c>
      <c r="K318" s="28">
        <v>66.739999999999995</v>
      </c>
      <c r="L318" s="29">
        <f>SUM(NSE_BhavCopy[[#This Row],[ CLOSE_PRICE]]-NSE_BhavCopy[[#This Row],[ PREV_CLOSE]])/NSE_BhavCopy[[#This Row],[ PREV_CLOSE]]*100</f>
        <v>-3.9473684210526292</v>
      </c>
    </row>
    <row r="319" spans="1:12" hidden="1" x14ac:dyDescent="0.25">
      <c r="A319" s="28" t="s">
        <v>1012</v>
      </c>
      <c r="B319" s="28" t="s">
        <v>321</v>
      </c>
      <c r="C319" s="30">
        <v>44428</v>
      </c>
      <c r="D319" s="28">
        <v>335.25</v>
      </c>
      <c r="E319" s="28">
        <v>333.4</v>
      </c>
      <c r="F319" s="28">
        <v>335.7</v>
      </c>
      <c r="G319" s="28">
        <v>322.7</v>
      </c>
      <c r="H319" s="28">
        <v>328.37</v>
      </c>
      <c r="I319" s="28">
        <v>146227</v>
      </c>
      <c r="J319" s="28">
        <v>97567</v>
      </c>
      <c r="K319" s="28">
        <v>66.72</v>
      </c>
      <c r="L319" s="29">
        <f>SUM(NSE_BhavCopy[[#This Row],[ CLOSE_PRICE]]-NSE_BhavCopy[[#This Row],[ PREV_CLOSE]])/NSE_BhavCopy[[#This Row],[ PREV_CLOSE]]*100</f>
        <v>-3.743475018642807</v>
      </c>
    </row>
    <row r="320" spans="1:12" hidden="1" x14ac:dyDescent="0.25">
      <c r="A320" s="28" t="s">
        <v>649</v>
      </c>
      <c r="B320" s="28" t="s">
        <v>321</v>
      </c>
      <c r="C320" s="30">
        <v>44428</v>
      </c>
      <c r="D320" s="28">
        <v>123.65</v>
      </c>
      <c r="E320" s="28">
        <v>121.8</v>
      </c>
      <c r="F320" s="28">
        <v>123.6</v>
      </c>
      <c r="G320" s="28">
        <v>119.1</v>
      </c>
      <c r="H320" s="28">
        <v>120.2</v>
      </c>
      <c r="I320" s="28">
        <v>657887</v>
      </c>
      <c r="J320" s="28">
        <v>438820</v>
      </c>
      <c r="K320" s="28">
        <v>66.7</v>
      </c>
      <c r="L320" s="29">
        <f>SUM(NSE_BhavCopy[[#This Row],[ CLOSE_PRICE]]-NSE_BhavCopy[[#This Row],[ PREV_CLOSE]])/NSE_BhavCopy[[#This Row],[ PREV_CLOSE]]*100</f>
        <v>-3.679741205014162</v>
      </c>
    </row>
    <row r="321" spans="1:12" hidden="1" x14ac:dyDescent="0.25">
      <c r="A321" s="28" t="s">
        <v>711</v>
      </c>
      <c r="B321" s="28" t="s">
        <v>321</v>
      </c>
      <c r="C321" s="30">
        <v>44428</v>
      </c>
      <c r="D321" s="28">
        <v>4071.35</v>
      </c>
      <c r="E321" s="28">
        <v>4055</v>
      </c>
      <c r="F321" s="28">
        <v>4057.3</v>
      </c>
      <c r="G321" s="28">
        <v>3959.1</v>
      </c>
      <c r="H321" s="28">
        <v>3994.71</v>
      </c>
      <c r="I321" s="28">
        <v>119703</v>
      </c>
      <c r="J321" s="28">
        <v>79819</v>
      </c>
      <c r="K321" s="28">
        <v>66.680000000000007</v>
      </c>
      <c r="L321" s="29">
        <f>SUM(NSE_BhavCopy[[#This Row],[ CLOSE_PRICE]]-NSE_BhavCopy[[#This Row],[ PREV_CLOSE]])/NSE_BhavCopy[[#This Row],[ PREV_CLOSE]]*100</f>
        <v>-2.7570707504881673</v>
      </c>
    </row>
    <row r="322" spans="1:12" hidden="1" x14ac:dyDescent="0.25">
      <c r="A322" s="28" t="s">
        <v>1745</v>
      </c>
      <c r="B322" s="28" t="s">
        <v>321</v>
      </c>
      <c r="C322" s="30">
        <v>44428</v>
      </c>
      <c r="D322" s="28">
        <v>258.25</v>
      </c>
      <c r="E322" s="28">
        <v>258.25</v>
      </c>
      <c r="F322" s="28">
        <v>258.25</v>
      </c>
      <c r="G322" s="28">
        <v>245.5</v>
      </c>
      <c r="H322" s="28">
        <v>248.19</v>
      </c>
      <c r="I322" s="28">
        <v>52864</v>
      </c>
      <c r="J322" s="28">
        <v>35249</v>
      </c>
      <c r="K322" s="28">
        <v>66.680000000000007</v>
      </c>
      <c r="L322" s="29">
        <f>SUM(NSE_BhavCopy[[#This Row],[ CLOSE_PRICE]]-NSE_BhavCopy[[#This Row],[ PREV_CLOSE]])/NSE_BhavCopy[[#This Row],[ PREV_CLOSE]]*100</f>
        <v>-4.9370764762826713</v>
      </c>
    </row>
    <row r="323" spans="1:12" hidden="1" x14ac:dyDescent="0.25">
      <c r="A323" s="28" t="s">
        <v>648</v>
      </c>
      <c r="B323" s="28" t="s">
        <v>321</v>
      </c>
      <c r="C323" s="30">
        <v>44428</v>
      </c>
      <c r="D323" s="28">
        <v>394.86</v>
      </c>
      <c r="E323" s="28">
        <v>394.86</v>
      </c>
      <c r="F323" s="28">
        <v>394.99</v>
      </c>
      <c r="G323" s="28">
        <v>393.28</v>
      </c>
      <c r="H323" s="28">
        <v>392.47</v>
      </c>
      <c r="I323" s="28">
        <v>333</v>
      </c>
      <c r="J323" s="28">
        <v>222</v>
      </c>
      <c r="K323" s="28">
        <v>66.67</v>
      </c>
      <c r="L323" s="29">
        <f>SUM(NSE_BhavCopy[[#This Row],[ CLOSE_PRICE]]-NSE_BhavCopy[[#This Row],[ PREV_CLOSE]])/NSE_BhavCopy[[#This Row],[ PREV_CLOSE]]*100</f>
        <v>-0.40014182241808255</v>
      </c>
    </row>
    <row r="324" spans="1:12" hidden="1" x14ac:dyDescent="0.25">
      <c r="A324" s="28" t="s">
        <v>1159</v>
      </c>
      <c r="B324" s="28" t="s">
        <v>321</v>
      </c>
      <c r="C324" s="30">
        <v>44428</v>
      </c>
      <c r="D324" s="28">
        <v>6</v>
      </c>
      <c r="E324" s="28">
        <v>5.9</v>
      </c>
      <c r="F324" s="28">
        <v>6.15</v>
      </c>
      <c r="G324" s="28">
        <v>6</v>
      </c>
      <c r="H324" s="28">
        <v>6.01</v>
      </c>
      <c r="I324" s="28">
        <v>228039</v>
      </c>
      <c r="J324" s="28">
        <v>151806</v>
      </c>
      <c r="K324" s="28">
        <v>66.569999999999993</v>
      </c>
      <c r="L324" s="29">
        <f>SUM(NSE_BhavCopy[[#This Row],[ CLOSE_PRICE]]-NSE_BhavCopy[[#This Row],[ PREV_CLOSE]])/NSE_BhavCopy[[#This Row],[ PREV_CLOSE]]*100</f>
        <v>0</v>
      </c>
    </row>
    <row r="325" spans="1:12" hidden="1" x14ac:dyDescent="0.25">
      <c r="A325" s="28" t="s">
        <v>1798</v>
      </c>
      <c r="B325" s="28" t="s">
        <v>321</v>
      </c>
      <c r="C325" s="30">
        <v>44428</v>
      </c>
      <c r="D325" s="28">
        <v>131.4</v>
      </c>
      <c r="E325" s="28">
        <v>132.25</v>
      </c>
      <c r="F325" s="28">
        <v>134</v>
      </c>
      <c r="G325" s="28">
        <v>128.35</v>
      </c>
      <c r="H325" s="28">
        <v>130.55000000000001</v>
      </c>
      <c r="I325" s="28">
        <v>70346</v>
      </c>
      <c r="J325" s="28">
        <v>46828</v>
      </c>
      <c r="K325" s="28">
        <v>66.569999999999993</v>
      </c>
      <c r="L325" s="29">
        <f>SUM(NSE_BhavCopy[[#This Row],[ CLOSE_PRICE]]-NSE_BhavCopy[[#This Row],[ PREV_CLOSE]])/NSE_BhavCopy[[#This Row],[ PREV_CLOSE]]*100</f>
        <v>-2.3211567732115763</v>
      </c>
    </row>
    <row r="326" spans="1:12" hidden="1" x14ac:dyDescent="0.25">
      <c r="A326" s="28" t="s">
        <v>1247</v>
      </c>
      <c r="B326" s="28" t="s">
        <v>321</v>
      </c>
      <c r="C326" s="30">
        <v>44428</v>
      </c>
      <c r="D326" s="28">
        <v>246.2</v>
      </c>
      <c r="E326" s="28">
        <v>237.1</v>
      </c>
      <c r="F326" s="28">
        <v>247.25</v>
      </c>
      <c r="G326" s="28">
        <v>234.5</v>
      </c>
      <c r="H326" s="28">
        <v>237.99</v>
      </c>
      <c r="I326" s="28">
        <v>13333</v>
      </c>
      <c r="J326" s="28">
        <v>8872</v>
      </c>
      <c r="K326" s="28">
        <v>66.540000000000006</v>
      </c>
      <c r="L326" s="29">
        <f>SUM(NSE_BhavCopy[[#This Row],[ CLOSE_PRICE]]-NSE_BhavCopy[[#This Row],[ PREV_CLOSE]])/NSE_BhavCopy[[#This Row],[ PREV_CLOSE]]*100</f>
        <v>-4.752233956133221</v>
      </c>
    </row>
    <row r="327" spans="1:12" hidden="1" x14ac:dyDescent="0.25">
      <c r="A327" s="28" t="s">
        <v>1775</v>
      </c>
      <c r="B327" s="28" t="s">
        <v>321</v>
      </c>
      <c r="C327" s="30">
        <v>44428</v>
      </c>
      <c r="D327" s="28">
        <v>29.9</v>
      </c>
      <c r="E327" s="28">
        <v>30.85</v>
      </c>
      <c r="F327" s="28">
        <v>30.95</v>
      </c>
      <c r="G327" s="28">
        <v>28.85</v>
      </c>
      <c r="H327" s="28">
        <v>29.41</v>
      </c>
      <c r="I327" s="28">
        <v>14822</v>
      </c>
      <c r="J327" s="28">
        <v>9863</v>
      </c>
      <c r="K327" s="28">
        <v>66.540000000000006</v>
      </c>
      <c r="L327" s="29">
        <f>SUM(NSE_BhavCopy[[#This Row],[ CLOSE_PRICE]]-NSE_BhavCopy[[#This Row],[ PREV_CLOSE]])/NSE_BhavCopy[[#This Row],[ PREV_CLOSE]]*100</f>
        <v>-3.5117056856187197</v>
      </c>
    </row>
    <row r="328" spans="1:12" hidden="1" x14ac:dyDescent="0.25">
      <c r="A328" s="28" t="s">
        <v>846</v>
      </c>
      <c r="B328" s="28" t="s">
        <v>321</v>
      </c>
      <c r="C328" s="30">
        <v>44428</v>
      </c>
      <c r="D328" s="28">
        <v>365.35</v>
      </c>
      <c r="E328" s="28">
        <v>359.95</v>
      </c>
      <c r="F328" s="28">
        <v>365.8</v>
      </c>
      <c r="G328" s="28">
        <v>330.95</v>
      </c>
      <c r="H328" s="28">
        <v>341.83</v>
      </c>
      <c r="I328" s="28">
        <v>94526</v>
      </c>
      <c r="J328" s="28">
        <v>62822</v>
      </c>
      <c r="K328" s="28">
        <v>66.459999999999994</v>
      </c>
      <c r="L328" s="29">
        <f>SUM(NSE_BhavCopy[[#This Row],[ CLOSE_PRICE]]-NSE_BhavCopy[[#This Row],[ PREV_CLOSE]])/NSE_BhavCopy[[#This Row],[ PREV_CLOSE]]*100</f>
        <v>-9.4156288490488649</v>
      </c>
    </row>
    <row r="329" spans="1:12" hidden="1" x14ac:dyDescent="0.25">
      <c r="A329" s="28" t="s">
        <v>1244</v>
      </c>
      <c r="B329" s="28" t="s">
        <v>321</v>
      </c>
      <c r="C329" s="30">
        <v>44428</v>
      </c>
      <c r="D329" s="28">
        <v>71.099999999999994</v>
      </c>
      <c r="E329" s="28">
        <v>69.099999999999994</v>
      </c>
      <c r="F329" s="28">
        <v>69.849999999999994</v>
      </c>
      <c r="G329" s="28">
        <v>67.150000000000006</v>
      </c>
      <c r="H329" s="28">
        <v>68.14</v>
      </c>
      <c r="I329" s="28">
        <v>1203497</v>
      </c>
      <c r="J329" s="28">
        <v>799756</v>
      </c>
      <c r="K329" s="28">
        <v>66.45</v>
      </c>
      <c r="L329" s="29">
        <f>SUM(NSE_BhavCopy[[#This Row],[ CLOSE_PRICE]]-NSE_BhavCopy[[#This Row],[ PREV_CLOSE]])/NSE_BhavCopy[[#This Row],[ PREV_CLOSE]]*100</f>
        <v>-5.5555555555555403</v>
      </c>
    </row>
    <row r="330" spans="1:12" hidden="1" x14ac:dyDescent="0.25">
      <c r="A330" s="28" t="s">
        <v>1588</v>
      </c>
      <c r="B330" s="28" t="s">
        <v>321</v>
      </c>
      <c r="C330" s="30">
        <v>44428</v>
      </c>
      <c r="D330" s="28">
        <v>648.79999999999995</v>
      </c>
      <c r="E330" s="28">
        <v>649</v>
      </c>
      <c r="F330" s="28">
        <v>649</v>
      </c>
      <c r="G330" s="28">
        <v>616.70000000000005</v>
      </c>
      <c r="H330" s="28">
        <v>623.94000000000005</v>
      </c>
      <c r="I330" s="28">
        <v>32609</v>
      </c>
      <c r="J330" s="28">
        <v>21662</v>
      </c>
      <c r="K330" s="28">
        <v>66.430000000000007</v>
      </c>
      <c r="L330" s="29">
        <f>SUM(NSE_BhavCopy[[#This Row],[ CLOSE_PRICE]]-NSE_BhavCopy[[#This Row],[ PREV_CLOSE]])/NSE_BhavCopy[[#This Row],[ PREV_CLOSE]]*100</f>
        <v>-4.9475955610357447</v>
      </c>
    </row>
    <row r="331" spans="1:12" hidden="1" x14ac:dyDescent="0.25">
      <c r="A331" s="28" t="s">
        <v>1046</v>
      </c>
      <c r="B331" s="28" t="s">
        <v>321</v>
      </c>
      <c r="C331" s="30">
        <v>44428</v>
      </c>
      <c r="D331" s="28">
        <v>11.45</v>
      </c>
      <c r="E331" s="28">
        <v>11.05</v>
      </c>
      <c r="F331" s="28">
        <v>12.4</v>
      </c>
      <c r="G331" s="28">
        <v>11.95</v>
      </c>
      <c r="H331" s="28">
        <v>11.91</v>
      </c>
      <c r="I331" s="28">
        <v>31703</v>
      </c>
      <c r="J331" s="28">
        <v>21047</v>
      </c>
      <c r="K331" s="28">
        <v>66.39</v>
      </c>
      <c r="L331" s="29">
        <f>SUM(NSE_BhavCopy[[#This Row],[ CLOSE_PRICE]]-NSE_BhavCopy[[#This Row],[ PREV_CLOSE]])/NSE_BhavCopy[[#This Row],[ PREV_CLOSE]]*100</f>
        <v>4.3668122270742362</v>
      </c>
    </row>
    <row r="332" spans="1:12" hidden="1" x14ac:dyDescent="0.25">
      <c r="A332" s="28" t="s">
        <v>888</v>
      </c>
      <c r="B332" s="28" t="s">
        <v>321</v>
      </c>
      <c r="C332" s="30">
        <v>44428</v>
      </c>
      <c r="D332" s="28">
        <v>105.15</v>
      </c>
      <c r="E332" s="28">
        <v>105</v>
      </c>
      <c r="F332" s="28">
        <v>107</v>
      </c>
      <c r="G332" s="28">
        <v>105.2</v>
      </c>
      <c r="H332" s="28">
        <v>104.2</v>
      </c>
      <c r="I332" s="28">
        <v>60485</v>
      </c>
      <c r="J332" s="28">
        <v>40124</v>
      </c>
      <c r="K332" s="28">
        <v>66.34</v>
      </c>
      <c r="L332" s="29">
        <f>SUM(NSE_BhavCopy[[#This Row],[ CLOSE_PRICE]]-NSE_BhavCopy[[#This Row],[ PREV_CLOSE]])/NSE_BhavCopy[[#This Row],[ PREV_CLOSE]]*100</f>
        <v>4.7551117451257403E-2</v>
      </c>
    </row>
    <row r="333" spans="1:12" hidden="1" x14ac:dyDescent="0.25">
      <c r="A333" s="28" t="s">
        <v>549</v>
      </c>
      <c r="B333" s="28" t="s">
        <v>321</v>
      </c>
      <c r="C333" s="30">
        <v>44428</v>
      </c>
      <c r="D333" s="28">
        <v>111.2</v>
      </c>
      <c r="E333" s="28">
        <v>110</v>
      </c>
      <c r="F333" s="28">
        <v>110.95</v>
      </c>
      <c r="G333" s="28">
        <v>108.85</v>
      </c>
      <c r="H333" s="28">
        <v>109.03</v>
      </c>
      <c r="I333" s="28">
        <v>53964</v>
      </c>
      <c r="J333" s="28">
        <v>35789</v>
      </c>
      <c r="K333" s="28">
        <v>66.319999999999993</v>
      </c>
      <c r="L333" s="29">
        <f>SUM(NSE_BhavCopy[[#This Row],[ CLOSE_PRICE]]-NSE_BhavCopy[[#This Row],[ PREV_CLOSE]])/NSE_BhavCopy[[#This Row],[ PREV_CLOSE]]*100</f>
        <v>-2.1133093525179931</v>
      </c>
    </row>
    <row r="334" spans="1:12" hidden="1" x14ac:dyDescent="0.25">
      <c r="A334" s="28" t="s">
        <v>963</v>
      </c>
      <c r="B334" s="28" t="s">
        <v>321</v>
      </c>
      <c r="C334" s="30">
        <v>44428</v>
      </c>
      <c r="D334" s="28">
        <v>2218.0500000000002</v>
      </c>
      <c r="E334" s="28">
        <v>2188.5</v>
      </c>
      <c r="F334" s="28">
        <v>2221.9499999999998</v>
      </c>
      <c r="G334" s="28">
        <v>2060.0500000000002</v>
      </c>
      <c r="H334" s="28">
        <v>2106.5</v>
      </c>
      <c r="I334" s="28">
        <v>3601</v>
      </c>
      <c r="J334" s="28">
        <v>2387</v>
      </c>
      <c r="K334" s="28">
        <v>66.290000000000006</v>
      </c>
      <c r="L334" s="29">
        <f>SUM(NSE_BhavCopy[[#This Row],[ CLOSE_PRICE]]-NSE_BhavCopy[[#This Row],[ PREV_CLOSE]])/NSE_BhavCopy[[#This Row],[ PREV_CLOSE]]*100</f>
        <v>-7.1233741349383459</v>
      </c>
    </row>
    <row r="335" spans="1:12" hidden="1" x14ac:dyDescent="0.25">
      <c r="A335" s="28" t="s">
        <v>1503</v>
      </c>
      <c r="B335" s="28" t="s">
        <v>321</v>
      </c>
      <c r="C335" s="30">
        <v>44428</v>
      </c>
      <c r="D335" s="28">
        <v>57.9</v>
      </c>
      <c r="E335" s="28">
        <v>58</v>
      </c>
      <c r="F335" s="28">
        <v>58.75</v>
      </c>
      <c r="G335" s="28">
        <v>57.3</v>
      </c>
      <c r="H335" s="28">
        <v>57.56</v>
      </c>
      <c r="I335" s="28">
        <v>158387</v>
      </c>
      <c r="J335" s="28">
        <v>104974</v>
      </c>
      <c r="K335" s="28">
        <v>66.28</v>
      </c>
      <c r="L335" s="29">
        <f>SUM(NSE_BhavCopy[[#This Row],[ CLOSE_PRICE]]-NSE_BhavCopy[[#This Row],[ PREV_CLOSE]])/NSE_BhavCopy[[#This Row],[ PREV_CLOSE]]*100</f>
        <v>-1.036269430051816</v>
      </c>
    </row>
    <row r="336" spans="1:12" hidden="1" x14ac:dyDescent="0.25">
      <c r="A336" s="28" t="s">
        <v>1681</v>
      </c>
      <c r="B336" s="28" t="s">
        <v>321</v>
      </c>
      <c r="C336" s="30">
        <v>44428</v>
      </c>
      <c r="D336" s="28">
        <v>3.25</v>
      </c>
      <c r="E336" s="28">
        <v>3.3</v>
      </c>
      <c r="F336" s="28">
        <v>3.45</v>
      </c>
      <c r="G336" s="28">
        <v>3.3</v>
      </c>
      <c r="H336" s="28">
        <v>3.34</v>
      </c>
      <c r="I336" s="28">
        <v>407454</v>
      </c>
      <c r="J336" s="28">
        <v>269913</v>
      </c>
      <c r="K336" s="28">
        <v>66.239999999999995</v>
      </c>
      <c r="L336" s="29">
        <f>SUM(NSE_BhavCopy[[#This Row],[ CLOSE_PRICE]]-NSE_BhavCopy[[#This Row],[ PREV_CLOSE]])/NSE_BhavCopy[[#This Row],[ PREV_CLOSE]]*100</f>
        <v>1.538461538461533</v>
      </c>
    </row>
    <row r="337" spans="1:12" hidden="1" x14ac:dyDescent="0.25">
      <c r="A337" s="28" t="s">
        <v>788</v>
      </c>
      <c r="B337" s="28" t="s">
        <v>321</v>
      </c>
      <c r="C337" s="30">
        <v>44428</v>
      </c>
      <c r="D337" s="28">
        <v>64.45</v>
      </c>
      <c r="E337" s="28">
        <v>62.35</v>
      </c>
      <c r="F337" s="28">
        <v>65.95</v>
      </c>
      <c r="G337" s="28">
        <v>62.95</v>
      </c>
      <c r="H337" s="28">
        <v>62.9</v>
      </c>
      <c r="I337" s="28">
        <v>26718</v>
      </c>
      <c r="J337" s="28">
        <v>17691</v>
      </c>
      <c r="K337" s="28">
        <v>66.209999999999994</v>
      </c>
      <c r="L337" s="29">
        <f>SUM(NSE_BhavCopy[[#This Row],[ CLOSE_PRICE]]-NSE_BhavCopy[[#This Row],[ PREV_CLOSE]])/NSE_BhavCopy[[#This Row],[ PREV_CLOSE]]*100</f>
        <v>-2.3273855702094646</v>
      </c>
    </row>
    <row r="338" spans="1:12" hidden="1" x14ac:dyDescent="0.25">
      <c r="A338" s="28" t="s">
        <v>1668</v>
      </c>
      <c r="B338" s="28" t="s">
        <v>321</v>
      </c>
      <c r="C338" s="30">
        <v>44428</v>
      </c>
      <c r="D338" s="28">
        <v>19.45</v>
      </c>
      <c r="E338" s="28">
        <v>20</v>
      </c>
      <c r="F338" s="28">
        <v>20</v>
      </c>
      <c r="G338" s="28">
        <v>18.5</v>
      </c>
      <c r="H338" s="28">
        <v>18.809999999999999</v>
      </c>
      <c r="I338" s="28">
        <v>49760</v>
      </c>
      <c r="J338" s="28">
        <v>32915</v>
      </c>
      <c r="K338" s="28">
        <v>66.150000000000006</v>
      </c>
      <c r="L338" s="29">
        <f>SUM(NSE_BhavCopy[[#This Row],[ CLOSE_PRICE]]-NSE_BhavCopy[[#This Row],[ PREV_CLOSE]])/NSE_BhavCopy[[#This Row],[ PREV_CLOSE]]*100</f>
        <v>-4.8843187660668343</v>
      </c>
    </row>
    <row r="339" spans="1:12" hidden="1" x14ac:dyDescent="0.25">
      <c r="A339" s="28" t="s">
        <v>1391</v>
      </c>
      <c r="B339" s="28" t="s">
        <v>321</v>
      </c>
      <c r="C339" s="30">
        <v>44428</v>
      </c>
      <c r="D339" s="28">
        <v>33.9</v>
      </c>
      <c r="E339" s="28">
        <v>33.9</v>
      </c>
      <c r="F339" s="28">
        <v>34.9</v>
      </c>
      <c r="G339" s="28">
        <v>33.4</v>
      </c>
      <c r="H339" s="28">
        <v>33.74</v>
      </c>
      <c r="I339" s="28">
        <v>15260</v>
      </c>
      <c r="J339" s="28">
        <v>10083</v>
      </c>
      <c r="K339" s="28">
        <v>66.069999999999993</v>
      </c>
      <c r="L339" s="29">
        <f>SUM(NSE_BhavCopy[[#This Row],[ CLOSE_PRICE]]-NSE_BhavCopy[[#This Row],[ PREV_CLOSE]])/NSE_BhavCopy[[#This Row],[ PREV_CLOSE]]*100</f>
        <v>-1.4749262536873156</v>
      </c>
    </row>
    <row r="340" spans="1:12" hidden="1" x14ac:dyDescent="0.25">
      <c r="A340" s="28" t="s">
        <v>936</v>
      </c>
      <c r="B340" s="28" t="s">
        <v>321</v>
      </c>
      <c r="C340" s="30">
        <v>44428</v>
      </c>
      <c r="D340" s="28">
        <v>7.95</v>
      </c>
      <c r="E340" s="28">
        <v>8.0500000000000007</v>
      </c>
      <c r="F340" s="28">
        <v>8.3000000000000007</v>
      </c>
      <c r="G340" s="28">
        <v>8.25</v>
      </c>
      <c r="H340" s="28">
        <v>8.07</v>
      </c>
      <c r="I340" s="28">
        <v>633013</v>
      </c>
      <c r="J340" s="28">
        <v>418044</v>
      </c>
      <c r="K340" s="28">
        <v>66.040000000000006</v>
      </c>
      <c r="L340" s="29">
        <f>SUM(NSE_BhavCopy[[#This Row],[ CLOSE_PRICE]]-NSE_BhavCopy[[#This Row],[ PREV_CLOSE]])/NSE_BhavCopy[[#This Row],[ PREV_CLOSE]]*100</f>
        <v>3.7735849056603752</v>
      </c>
    </row>
    <row r="341" spans="1:12" hidden="1" x14ac:dyDescent="0.25">
      <c r="A341" s="28" t="s">
        <v>1769</v>
      </c>
      <c r="B341" s="28" t="s">
        <v>321</v>
      </c>
      <c r="C341" s="30">
        <v>44428</v>
      </c>
      <c r="D341" s="28">
        <v>147.85</v>
      </c>
      <c r="E341" s="28">
        <v>147.80000000000001</v>
      </c>
      <c r="F341" s="28">
        <v>147.80000000000001</v>
      </c>
      <c r="G341" s="28">
        <v>142.15</v>
      </c>
      <c r="H341" s="28">
        <v>144.03</v>
      </c>
      <c r="I341" s="28">
        <v>10221</v>
      </c>
      <c r="J341" s="28">
        <v>6749</v>
      </c>
      <c r="K341" s="28">
        <v>66.03</v>
      </c>
      <c r="L341" s="29">
        <f>SUM(NSE_BhavCopy[[#This Row],[ CLOSE_PRICE]]-NSE_BhavCopy[[#This Row],[ PREV_CLOSE]])/NSE_BhavCopy[[#This Row],[ PREV_CLOSE]]*100</f>
        <v>-3.8552587081501444</v>
      </c>
    </row>
    <row r="342" spans="1:12" hidden="1" x14ac:dyDescent="0.25">
      <c r="A342" s="28" t="s">
        <v>803</v>
      </c>
      <c r="B342" s="28" t="s">
        <v>321</v>
      </c>
      <c r="C342" s="30">
        <v>44428</v>
      </c>
      <c r="D342" s="28">
        <v>575.70000000000005</v>
      </c>
      <c r="E342" s="28">
        <v>573</v>
      </c>
      <c r="F342" s="28">
        <v>602</v>
      </c>
      <c r="G342" s="28">
        <v>556.5</v>
      </c>
      <c r="H342" s="28">
        <v>579.69000000000005</v>
      </c>
      <c r="I342" s="28">
        <v>511134</v>
      </c>
      <c r="J342" s="28">
        <v>337434</v>
      </c>
      <c r="K342" s="28">
        <v>66.02</v>
      </c>
      <c r="L342" s="29">
        <f>SUM(NSE_BhavCopy[[#This Row],[ CLOSE_PRICE]]-NSE_BhavCopy[[#This Row],[ PREV_CLOSE]])/NSE_BhavCopy[[#This Row],[ PREV_CLOSE]]*100</f>
        <v>-3.3350703491401843</v>
      </c>
    </row>
    <row r="343" spans="1:12" hidden="1" x14ac:dyDescent="0.25">
      <c r="A343" s="28" t="s">
        <v>770</v>
      </c>
      <c r="B343" s="28" t="s">
        <v>321</v>
      </c>
      <c r="C343" s="30">
        <v>44428</v>
      </c>
      <c r="D343" s="28">
        <v>9.1999999999999993</v>
      </c>
      <c r="E343" s="28">
        <v>9.1</v>
      </c>
      <c r="F343" s="28">
        <v>9.65</v>
      </c>
      <c r="G343" s="28">
        <v>9.65</v>
      </c>
      <c r="H343" s="28">
        <v>9.57</v>
      </c>
      <c r="I343" s="28">
        <v>3705091</v>
      </c>
      <c r="J343" s="28">
        <v>2445197</v>
      </c>
      <c r="K343" s="28">
        <v>66</v>
      </c>
      <c r="L343" s="29">
        <f>SUM(NSE_BhavCopy[[#This Row],[ CLOSE_PRICE]]-NSE_BhavCopy[[#This Row],[ PREV_CLOSE]])/NSE_BhavCopy[[#This Row],[ PREV_CLOSE]]*100</f>
        <v>4.8913043478260994</v>
      </c>
    </row>
    <row r="344" spans="1:12" hidden="1" x14ac:dyDescent="0.25">
      <c r="A344" s="28" t="s">
        <v>1117</v>
      </c>
      <c r="B344" s="28" t="s">
        <v>321</v>
      </c>
      <c r="C344" s="30">
        <v>44428</v>
      </c>
      <c r="D344" s="28">
        <v>59.2</v>
      </c>
      <c r="E344" s="28">
        <v>59</v>
      </c>
      <c r="F344" s="28">
        <v>59</v>
      </c>
      <c r="G344" s="28">
        <v>56.75</v>
      </c>
      <c r="H344" s="28">
        <v>57.81</v>
      </c>
      <c r="I344" s="28">
        <v>151349</v>
      </c>
      <c r="J344" s="28">
        <v>99792</v>
      </c>
      <c r="K344" s="28">
        <v>65.94</v>
      </c>
      <c r="L344" s="29">
        <f>SUM(NSE_BhavCopy[[#This Row],[ CLOSE_PRICE]]-NSE_BhavCopy[[#This Row],[ PREV_CLOSE]])/NSE_BhavCopy[[#This Row],[ PREV_CLOSE]]*100</f>
        <v>-4.1385135135135185</v>
      </c>
    </row>
    <row r="345" spans="1:12" hidden="1" x14ac:dyDescent="0.25">
      <c r="A345" s="28" t="s">
        <v>938</v>
      </c>
      <c r="B345" s="28" t="s">
        <v>321</v>
      </c>
      <c r="C345" s="30">
        <v>44428</v>
      </c>
      <c r="D345" s="28">
        <v>962.35</v>
      </c>
      <c r="E345" s="28">
        <v>956</v>
      </c>
      <c r="F345" s="28">
        <v>961.5</v>
      </c>
      <c r="G345" s="28">
        <v>958.55</v>
      </c>
      <c r="H345" s="28">
        <v>958.38</v>
      </c>
      <c r="I345" s="28">
        <v>650040</v>
      </c>
      <c r="J345" s="28">
        <v>428559</v>
      </c>
      <c r="K345" s="28">
        <v>65.930000000000007</v>
      </c>
      <c r="L345" s="29">
        <f>SUM(NSE_BhavCopy[[#This Row],[ CLOSE_PRICE]]-NSE_BhavCopy[[#This Row],[ PREV_CLOSE]])/NSE_BhavCopy[[#This Row],[ PREV_CLOSE]]*100</f>
        <v>-0.39486673247779586</v>
      </c>
    </row>
    <row r="346" spans="1:12" hidden="1" x14ac:dyDescent="0.25">
      <c r="A346" s="28" t="s">
        <v>1517</v>
      </c>
      <c r="B346" s="28" t="s">
        <v>321</v>
      </c>
      <c r="C346" s="30">
        <v>44428</v>
      </c>
      <c r="D346" s="28">
        <v>322.2</v>
      </c>
      <c r="E346" s="28">
        <v>306.05</v>
      </c>
      <c r="F346" s="28">
        <v>319.55</v>
      </c>
      <c r="G346" s="28">
        <v>303.8</v>
      </c>
      <c r="H346" s="28">
        <v>309.3</v>
      </c>
      <c r="I346" s="28">
        <v>14183</v>
      </c>
      <c r="J346" s="28">
        <v>9349</v>
      </c>
      <c r="K346" s="28">
        <v>65.92</v>
      </c>
      <c r="L346" s="29">
        <f>SUM(NSE_BhavCopy[[#This Row],[ CLOSE_PRICE]]-NSE_BhavCopy[[#This Row],[ PREV_CLOSE]])/NSE_BhavCopy[[#This Row],[ PREV_CLOSE]]*100</f>
        <v>-5.7107386716325195</v>
      </c>
    </row>
    <row r="347" spans="1:12" hidden="1" x14ac:dyDescent="0.25">
      <c r="A347" s="28" t="s">
        <v>1434</v>
      </c>
      <c r="B347" s="28" t="s">
        <v>321</v>
      </c>
      <c r="C347" s="30">
        <v>44428</v>
      </c>
      <c r="D347" s="28">
        <v>63.6</v>
      </c>
      <c r="E347" s="28">
        <v>60.55</v>
      </c>
      <c r="F347" s="28">
        <v>62.5</v>
      </c>
      <c r="G347" s="28">
        <v>60.55</v>
      </c>
      <c r="H347" s="28">
        <v>60.91</v>
      </c>
      <c r="I347" s="28">
        <v>61647</v>
      </c>
      <c r="J347" s="28">
        <v>40632</v>
      </c>
      <c r="K347" s="28">
        <v>65.91</v>
      </c>
      <c r="L347" s="29">
        <f>SUM(NSE_BhavCopy[[#This Row],[ CLOSE_PRICE]]-NSE_BhavCopy[[#This Row],[ PREV_CLOSE]])/NSE_BhavCopy[[#This Row],[ PREV_CLOSE]]*100</f>
        <v>-4.7955974842767359</v>
      </c>
    </row>
    <row r="348" spans="1:12" hidden="1" x14ac:dyDescent="0.25">
      <c r="A348" s="28" t="s">
        <v>600</v>
      </c>
      <c r="B348" s="28" t="s">
        <v>321</v>
      </c>
      <c r="C348" s="30">
        <v>44428</v>
      </c>
      <c r="D348" s="28">
        <v>621.15</v>
      </c>
      <c r="E348" s="28">
        <v>602.54999999999995</v>
      </c>
      <c r="F348" s="28">
        <v>621.15</v>
      </c>
      <c r="G348" s="28">
        <v>601.65</v>
      </c>
      <c r="H348" s="28">
        <v>608.71</v>
      </c>
      <c r="I348" s="28">
        <v>5541</v>
      </c>
      <c r="J348" s="28">
        <v>3651</v>
      </c>
      <c r="K348" s="28">
        <v>65.89</v>
      </c>
      <c r="L348" s="29">
        <f>SUM(NSE_BhavCopy[[#This Row],[ CLOSE_PRICE]]-NSE_BhavCopy[[#This Row],[ PREV_CLOSE]])/NSE_BhavCopy[[#This Row],[ PREV_CLOSE]]*100</f>
        <v>-3.1393383240763102</v>
      </c>
    </row>
    <row r="349" spans="1:12" hidden="1" x14ac:dyDescent="0.25">
      <c r="A349" s="28" t="s">
        <v>575</v>
      </c>
      <c r="B349" s="28" t="s">
        <v>321</v>
      </c>
      <c r="C349" s="30">
        <v>44428</v>
      </c>
      <c r="D349" s="28">
        <v>941.35</v>
      </c>
      <c r="E349" s="28">
        <v>920</v>
      </c>
      <c r="F349" s="28">
        <v>932.4</v>
      </c>
      <c r="G349" s="28">
        <v>914.9</v>
      </c>
      <c r="H349" s="28">
        <v>915.74</v>
      </c>
      <c r="I349" s="28">
        <v>336116</v>
      </c>
      <c r="J349" s="28">
        <v>221193</v>
      </c>
      <c r="K349" s="28">
        <v>65.81</v>
      </c>
      <c r="L349" s="29">
        <f>SUM(NSE_BhavCopy[[#This Row],[ CLOSE_PRICE]]-NSE_BhavCopy[[#This Row],[ PREV_CLOSE]])/NSE_BhavCopy[[#This Row],[ PREV_CLOSE]]*100</f>
        <v>-2.8097944441493645</v>
      </c>
    </row>
    <row r="350" spans="1:12" hidden="1" x14ac:dyDescent="0.25">
      <c r="A350" s="28" t="s">
        <v>1756</v>
      </c>
      <c r="B350" s="28" t="s">
        <v>321</v>
      </c>
      <c r="C350" s="30">
        <v>44428</v>
      </c>
      <c r="D350" s="28">
        <v>3.85</v>
      </c>
      <c r="E350" s="28">
        <v>3.8</v>
      </c>
      <c r="F350" s="28">
        <v>3.85</v>
      </c>
      <c r="G350" s="28">
        <v>3.75</v>
      </c>
      <c r="H350" s="28">
        <v>3.75</v>
      </c>
      <c r="I350" s="28">
        <v>1270441</v>
      </c>
      <c r="J350" s="28">
        <v>836040</v>
      </c>
      <c r="K350" s="28">
        <v>65.81</v>
      </c>
      <c r="L350" s="29">
        <f>SUM(NSE_BhavCopy[[#This Row],[ CLOSE_PRICE]]-NSE_BhavCopy[[#This Row],[ PREV_CLOSE]])/NSE_BhavCopy[[#This Row],[ PREV_CLOSE]]*100</f>
        <v>-2.5974025974025996</v>
      </c>
    </row>
    <row r="351" spans="1:12" hidden="1" x14ac:dyDescent="0.25">
      <c r="A351" s="28" t="s">
        <v>341</v>
      </c>
      <c r="B351" s="28" t="s">
        <v>321</v>
      </c>
      <c r="C351" s="30">
        <v>44428</v>
      </c>
      <c r="D351" s="28">
        <v>603.6</v>
      </c>
      <c r="E351" s="28">
        <v>596</v>
      </c>
      <c r="F351" s="28">
        <v>613.54999999999995</v>
      </c>
      <c r="G351" s="28">
        <v>590.9</v>
      </c>
      <c r="H351" s="28">
        <v>597.36</v>
      </c>
      <c r="I351" s="28">
        <v>65003</v>
      </c>
      <c r="J351" s="28">
        <v>42752</v>
      </c>
      <c r="K351" s="28">
        <v>65.77</v>
      </c>
      <c r="L351" s="29">
        <f>SUM(NSE_BhavCopy[[#This Row],[ CLOSE_PRICE]]-NSE_BhavCopy[[#This Row],[ PREV_CLOSE]])/NSE_BhavCopy[[#This Row],[ PREV_CLOSE]]*100</f>
        <v>-2.1040424121935128</v>
      </c>
    </row>
    <row r="352" spans="1:12" hidden="1" x14ac:dyDescent="0.25">
      <c r="A352" s="28" t="s">
        <v>586</v>
      </c>
      <c r="B352" s="28" t="s">
        <v>321</v>
      </c>
      <c r="C352" s="30">
        <v>44428</v>
      </c>
      <c r="D352" s="28">
        <v>212</v>
      </c>
      <c r="E352" s="28">
        <v>206.1</v>
      </c>
      <c r="F352" s="28">
        <v>212.3</v>
      </c>
      <c r="G352" s="28">
        <v>201.4</v>
      </c>
      <c r="H352" s="28">
        <v>203.68</v>
      </c>
      <c r="I352" s="28">
        <v>81679</v>
      </c>
      <c r="J352" s="28">
        <v>53705</v>
      </c>
      <c r="K352" s="28">
        <v>65.75</v>
      </c>
      <c r="L352" s="29">
        <f>SUM(NSE_BhavCopy[[#This Row],[ CLOSE_PRICE]]-NSE_BhavCopy[[#This Row],[ PREV_CLOSE]])/NSE_BhavCopy[[#This Row],[ PREV_CLOSE]]*100</f>
        <v>-4.9999999999999973</v>
      </c>
    </row>
    <row r="353" spans="1:12" hidden="1" x14ac:dyDescent="0.25">
      <c r="A353" s="28" t="s">
        <v>1230</v>
      </c>
      <c r="B353" s="28" t="s">
        <v>321</v>
      </c>
      <c r="C353" s="30">
        <v>44428</v>
      </c>
      <c r="D353" s="28">
        <v>171.3</v>
      </c>
      <c r="E353" s="28">
        <v>168.45</v>
      </c>
      <c r="F353" s="28">
        <v>169.35</v>
      </c>
      <c r="G353" s="28">
        <v>162.75</v>
      </c>
      <c r="H353" s="28">
        <v>163.78</v>
      </c>
      <c r="I353" s="28">
        <v>191863</v>
      </c>
      <c r="J353" s="28">
        <v>126015</v>
      </c>
      <c r="K353" s="28">
        <v>65.680000000000007</v>
      </c>
      <c r="L353" s="29">
        <f>SUM(NSE_BhavCopy[[#This Row],[ CLOSE_PRICE]]-NSE_BhavCopy[[#This Row],[ PREV_CLOSE]])/NSE_BhavCopy[[#This Row],[ PREV_CLOSE]]*100</f>
        <v>-4.9912434325744375</v>
      </c>
    </row>
    <row r="354" spans="1:12" hidden="1" x14ac:dyDescent="0.25">
      <c r="A354" s="28" t="s">
        <v>798</v>
      </c>
      <c r="B354" s="28" t="s">
        <v>321</v>
      </c>
      <c r="C354" s="30">
        <v>44428</v>
      </c>
      <c r="D354" s="28">
        <v>268.95</v>
      </c>
      <c r="E354" s="28">
        <v>276</v>
      </c>
      <c r="F354" s="28">
        <v>276</v>
      </c>
      <c r="G354" s="28">
        <v>254.85</v>
      </c>
      <c r="H354" s="28">
        <v>259.58999999999997</v>
      </c>
      <c r="I354" s="28">
        <v>10168</v>
      </c>
      <c r="J354" s="28">
        <v>6676</v>
      </c>
      <c r="K354" s="28">
        <v>65.66</v>
      </c>
      <c r="L354" s="29">
        <f>SUM(NSE_BhavCopy[[#This Row],[ CLOSE_PRICE]]-NSE_BhavCopy[[#This Row],[ PREV_CLOSE]])/NSE_BhavCopy[[#This Row],[ PREV_CLOSE]]*100</f>
        <v>-5.2426101505856089</v>
      </c>
    </row>
    <row r="355" spans="1:12" hidden="1" x14ac:dyDescent="0.25">
      <c r="A355" s="28" t="s">
        <v>1296</v>
      </c>
      <c r="B355" s="28" t="s">
        <v>321</v>
      </c>
      <c r="C355" s="30">
        <v>44428</v>
      </c>
      <c r="D355" s="28">
        <v>127.35</v>
      </c>
      <c r="E355" s="28">
        <v>125.2</v>
      </c>
      <c r="F355" s="28">
        <v>127.35</v>
      </c>
      <c r="G355" s="28">
        <v>125.05</v>
      </c>
      <c r="H355" s="28">
        <v>125.46</v>
      </c>
      <c r="I355" s="28">
        <v>13173</v>
      </c>
      <c r="J355" s="28">
        <v>8649</v>
      </c>
      <c r="K355" s="28">
        <v>65.66</v>
      </c>
      <c r="L355" s="29">
        <f>SUM(NSE_BhavCopy[[#This Row],[ CLOSE_PRICE]]-NSE_BhavCopy[[#This Row],[ PREV_CLOSE]])/NSE_BhavCopy[[#This Row],[ PREV_CLOSE]]*100</f>
        <v>-1.8060463290145248</v>
      </c>
    </row>
    <row r="356" spans="1:12" hidden="1" x14ac:dyDescent="0.25">
      <c r="A356" s="28" t="s">
        <v>1552</v>
      </c>
      <c r="B356" s="28" t="s">
        <v>321</v>
      </c>
      <c r="C356" s="30">
        <v>44428</v>
      </c>
      <c r="D356" s="28">
        <v>1129.4000000000001</v>
      </c>
      <c r="E356" s="28">
        <v>1135</v>
      </c>
      <c r="F356" s="28">
        <v>1135.5999999999999</v>
      </c>
      <c r="G356" s="28">
        <v>1089.55</v>
      </c>
      <c r="H356" s="28">
        <v>1113.96</v>
      </c>
      <c r="I356" s="28">
        <v>467328</v>
      </c>
      <c r="J356" s="28">
        <v>306754</v>
      </c>
      <c r="K356" s="28">
        <v>65.64</v>
      </c>
      <c r="L356" s="29">
        <f>SUM(NSE_BhavCopy[[#This Row],[ CLOSE_PRICE]]-NSE_BhavCopy[[#This Row],[ PREV_CLOSE]])/NSE_BhavCopy[[#This Row],[ PREV_CLOSE]]*100</f>
        <v>-3.5284221710642938</v>
      </c>
    </row>
    <row r="357" spans="1:12" hidden="1" x14ac:dyDescent="0.25">
      <c r="A357" s="28" t="s">
        <v>721</v>
      </c>
      <c r="B357" s="28" t="s">
        <v>321</v>
      </c>
      <c r="C357" s="30">
        <v>44428</v>
      </c>
      <c r="D357" s="28">
        <v>348.1</v>
      </c>
      <c r="E357" s="28">
        <v>341.6</v>
      </c>
      <c r="F357" s="28">
        <v>345.2</v>
      </c>
      <c r="G357" s="28">
        <v>334.05</v>
      </c>
      <c r="H357" s="28">
        <v>339.28</v>
      </c>
      <c r="I357" s="28">
        <v>366284</v>
      </c>
      <c r="J357" s="28">
        <v>240360</v>
      </c>
      <c r="K357" s="28">
        <v>65.62</v>
      </c>
      <c r="L357" s="29">
        <f>SUM(NSE_BhavCopy[[#This Row],[ CLOSE_PRICE]]-NSE_BhavCopy[[#This Row],[ PREV_CLOSE]])/NSE_BhavCopy[[#This Row],[ PREV_CLOSE]]*100</f>
        <v>-4.0361964952599862</v>
      </c>
    </row>
    <row r="358" spans="1:12" hidden="1" x14ac:dyDescent="0.25">
      <c r="A358" s="28" t="s">
        <v>1318</v>
      </c>
      <c r="B358" s="28" t="s">
        <v>321</v>
      </c>
      <c r="C358" s="30">
        <v>44428</v>
      </c>
      <c r="D358" s="28">
        <v>84.9</v>
      </c>
      <c r="E358" s="28">
        <v>82</v>
      </c>
      <c r="F358" s="28">
        <v>84.4</v>
      </c>
      <c r="G358" s="28">
        <v>80.849999999999994</v>
      </c>
      <c r="H358" s="28">
        <v>81.81</v>
      </c>
      <c r="I358" s="28">
        <v>55973</v>
      </c>
      <c r="J358" s="28">
        <v>36728</v>
      </c>
      <c r="K358" s="28">
        <v>65.62</v>
      </c>
      <c r="L358" s="29">
        <f>SUM(NSE_BhavCopy[[#This Row],[ CLOSE_PRICE]]-NSE_BhavCopy[[#This Row],[ PREV_CLOSE]])/NSE_BhavCopy[[#This Row],[ PREV_CLOSE]]*100</f>
        <v>-4.7703180212014269</v>
      </c>
    </row>
    <row r="359" spans="1:12" hidden="1" x14ac:dyDescent="0.25">
      <c r="A359" s="28" t="s">
        <v>14</v>
      </c>
      <c r="B359" s="28" t="s">
        <v>321</v>
      </c>
      <c r="C359" s="30">
        <v>44428</v>
      </c>
      <c r="D359" s="28">
        <v>180.6</v>
      </c>
      <c r="E359" s="28">
        <v>177.3</v>
      </c>
      <c r="F359" s="28">
        <v>180.05</v>
      </c>
      <c r="G359" s="28">
        <v>178.6</v>
      </c>
      <c r="H359" s="28">
        <v>178.82</v>
      </c>
      <c r="I359" s="28">
        <v>14040351</v>
      </c>
      <c r="J359" s="28">
        <v>9210142</v>
      </c>
      <c r="K359" s="28">
        <v>65.599999999999994</v>
      </c>
      <c r="L359" s="29">
        <f>SUM(NSE_BhavCopy[[#This Row],[ CLOSE_PRICE]]-NSE_BhavCopy[[#This Row],[ PREV_CLOSE]])/NSE_BhavCopy[[#This Row],[ PREV_CLOSE]]*100</f>
        <v>-1.1074197120708749</v>
      </c>
    </row>
    <row r="360" spans="1:12" hidden="1" x14ac:dyDescent="0.25">
      <c r="A360" s="28" t="s">
        <v>722</v>
      </c>
      <c r="B360" s="28" t="s">
        <v>321</v>
      </c>
      <c r="C360" s="30">
        <v>44428</v>
      </c>
      <c r="D360" s="28">
        <v>262.75</v>
      </c>
      <c r="E360" s="28">
        <v>267.95</v>
      </c>
      <c r="F360" s="28">
        <v>268.5</v>
      </c>
      <c r="G360" s="28">
        <v>261.25</v>
      </c>
      <c r="H360" s="28">
        <v>261.81</v>
      </c>
      <c r="I360" s="28">
        <v>26351</v>
      </c>
      <c r="J360" s="28">
        <v>17257</v>
      </c>
      <c r="K360" s="28">
        <v>65.489999999999995</v>
      </c>
      <c r="L360" s="29">
        <f>SUM(NSE_BhavCopy[[#This Row],[ CLOSE_PRICE]]-NSE_BhavCopy[[#This Row],[ PREV_CLOSE]])/NSE_BhavCopy[[#This Row],[ PREV_CLOSE]]*100</f>
        <v>-0.57088487155090395</v>
      </c>
    </row>
    <row r="361" spans="1:12" hidden="1" x14ac:dyDescent="0.25">
      <c r="A361" s="28" t="s">
        <v>1410</v>
      </c>
      <c r="B361" s="28" t="s">
        <v>321</v>
      </c>
      <c r="C361" s="30">
        <v>44428</v>
      </c>
      <c r="D361" s="28">
        <v>47.7</v>
      </c>
      <c r="E361" s="28">
        <v>46</v>
      </c>
      <c r="F361" s="28">
        <v>46.5</v>
      </c>
      <c r="G361" s="28">
        <v>45.9</v>
      </c>
      <c r="H361" s="28">
        <v>45.56</v>
      </c>
      <c r="I361" s="28">
        <v>12665</v>
      </c>
      <c r="J361" s="28">
        <v>8291</v>
      </c>
      <c r="K361" s="28">
        <v>65.459999999999994</v>
      </c>
      <c r="L361" s="29">
        <f>SUM(NSE_BhavCopy[[#This Row],[ CLOSE_PRICE]]-NSE_BhavCopy[[#This Row],[ PREV_CLOSE]])/NSE_BhavCopy[[#This Row],[ PREV_CLOSE]]*100</f>
        <v>-3.7735849056603863</v>
      </c>
    </row>
    <row r="362" spans="1:12" hidden="1" x14ac:dyDescent="0.25">
      <c r="A362" s="28" t="s">
        <v>1253</v>
      </c>
      <c r="B362" s="28" t="s">
        <v>321</v>
      </c>
      <c r="C362" s="30">
        <v>44428</v>
      </c>
      <c r="D362" s="28">
        <v>83.9</v>
      </c>
      <c r="E362" s="28">
        <v>80.099999999999994</v>
      </c>
      <c r="F362" s="28">
        <v>83.75</v>
      </c>
      <c r="G362" s="28">
        <v>79.8</v>
      </c>
      <c r="H362" s="28">
        <v>80.28</v>
      </c>
      <c r="I362" s="28">
        <v>39864</v>
      </c>
      <c r="J362" s="28">
        <v>26067</v>
      </c>
      <c r="K362" s="28">
        <v>65.39</v>
      </c>
      <c r="L362" s="29">
        <f>SUM(NSE_BhavCopy[[#This Row],[ CLOSE_PRICE]]-NSE_BhavCopy[[#This Row],[ PREV_CLOSE]])/NSE_BhavCopy[[#This Row],[ PREV_CLOSE]]*100</f>
        <v>-4.8867699642431566</v>
      </c>
    </row>
    <row r="363" spans="1:12" hidden="1" x14ac:dyDescent="0.25">
      <c r="A363" s="28" t="s">
        <v>1679</v>
      </c>
      <c r="B363" s="28" t="s">
        <v>321</v>
      </c>
      <c r="C363" s="30">
        <v>44428</v>
      </c>
      <c r="D363" s="28">
        <v>53.75</v>
      </c>
      <c r="E363" s="28">
        <v>51.65</v>
      </c>
      <c r="F363" s="28">
        <v>53.5</v>
      </c>
      <c r="G363" s="28">
        <v>51.1</v>
      </c>
      <c r="H363" s="28">
        <v>51.69</v>
      </c>
      <c r="I363" s="28">
        <v>44731</v>
      </c>
      <c r="J363" s="28">
        <v>29234</v>
      </c>
      <c r="K363" s="28">
        <v>65.36</v>
      </c>
      <c r="L363" s="29">
        <f>SUM(NSE_BhavCopy[[#This Row],[ CLOSE_PRICE]]-NSE_BhavCopy[[#This Row],[ PREV_CLOSE]])/NSE_BhavCopy[[#This Row],[ PREV_CLOSE]]*100</f>
        <v>-4.9302325581395321</v>
      </c>
    </row>
    <row r="364" spans="1:12" hidden="1" x14ac:dyDescent="0.25">
      <c r="A364" s="28" t="s">
        <v>902</v>
      </c>
      <c r="B364" s="28" t="s">
        <v>321</v>
      </c>
      <c r="C364" s="30">
        <v>44428</v>
      </c>
      <c r="D364" s="28">
        <v>82.95</v>
      </c>
      <c r="E364" s="28">
        <v>81.5</v>
      </c>
      <c r="F364" s="28">
        <v>83.95</v>
      </c>
      <c r="G364" s="28">
        <v>82.3</v>
      </c>
      <c r="H364" s="28">
        <v>81.37</v>
      </c>
      <c r="I364" s="28">
        <v>543548</v>
      </c>
      <c r="J364" s="28">
        <v>355155</v>
      </c>
      <c r="K364" s="28">
        <v>65.34</v>
      </c>
      <c r="L364" s="29">
        <f>SUM(NSE_BhavCopy[[#This Row],[ CLOSE_PRICE]]-NSE_BhavCopy[[#This Row],[ PREV_CLOSE]])/NSE_BhavCopy[[#This Row],[ PREV_CLOSE]]*100</f>
        <v>-0.78360458107294229</v>
      </c>
    </row>
    <row r="365" spans="1:12" hidden="1" x14ac:dyDescent="0.25">
      <c r="A365" s="28" t="s">
        <v>1784</v>
      </c>
      <c r="B365" s="28" t="s">
        <v>321</v>
      </c>
      <c r="C365" s="30">
        <v>44428</v>
      </c>
      <c r="D365" s="28">
        <v>24.55</v>
      </c>
      <c r="E365" s="28">
        <v>24.15</v>
      </c>
      <c r="F365" s="28">
        <v>25.05</v>
      </c>
      <c r="G365" s="28">
        <v>24.5</v>
      </c>
      <c r="H365" s="28">
        <v>24.53</v>
      </c>
      <c r="I365" s="28">
        <v>162634</v>
      </c>
      <c r="J365" s="28">
        <v>106137</v>
      </c>
      <c r="K365" s="28">
        <v>65.260000000000005</v>
      </c>
      <c r="L365" s="29">
        <f>SUM(NSE_BhavCopy[[#This Row],[ CLOSE_PRICE]]-NSE_BhavCopy[[#This Row],[ PREV_CLOSE]])/NSE_BhavCopy[[#This Row],[ PREV_CLOSE]]*100</f>
        <v>-0.20366598778004363</v>
      </c>
    </row>
    <row r="366" spans="1:12" hidden="1" x14ac:dyDescent="0.25">
      <c r="A366" s="28" t="s">
        <v>1425</v>
      </c>
      <c r="B366" s="28" t="s">
        <v>321</v>
      </c>
      <c r="C366" s="30">
        <v>44428</v>
      </c>
      <c r="D366" s="28">
        <v>158.75</v>
      </c>
      <c r="E366" s="28">
        <v>158.75</v>
      </c>
      <c r="F366" s="28">
        <v>158.75</v>
      </c>
      <c r="G366" s="28">
        <v>155.65</v>
      </c>
      <c r="H366" s="28">
        <v>155.63999999999999</v>
      </c>
      <c r="I366" s="28">
        <v>14706</v>
      </c>
      <c r="J366" s="28">
        <v>9589</v>
      </c>
      <c r="K366" s="28">
        <v>65.2</v>
      </c>
      <c r="L366" s="29">
        <f>SUM(NSE_BhavCopy[[#This Row],[ CLOSE_PRICE]]-NSE_BhavCopy[[#This Row],[ PREV_CLOSE]])/NSE_BhavCopy[[#This Row],[ PREV_CLOSE]]*100</f>
        <v>-1.9527559055118073</v>
      </c>
    </row>
    <row r="367" spans="1:12" hidden="1" x14ac:dyDescent="0.25">
      <c r="A367" s="28" t="s">
        <v>15</v>
      </c>
      <c r="B367" s="28" t="s">
        <v>321</v>
      </c>
      <c r="C367" s="30">
        <v>44428</v>
      </c>
      <c r="D367" s="28">
        <v>3560.55</v>
      </c>
      <c r="E367" s="28">
        <v>3506</v>
      </c>
      <c r="F367" s="28">
        <v>3575</v>
      </c>
      <c r="G367" s="28">
        <v>3559.5</v>
      </c>
      <c r="H367" s="28">
        <v>3553.61</v>
      </c>
      <c r="I367" s="28">
        <v>2836148</v>
      </c>
      <c r="J367" s="28">
        <v>1848299</v>
      </c>
      <c r="K367" s="28">
        <v>65.17</v>
      </c>
      <c r="L367" s="29">
        <f>SUM(NSE_BhavCopy[[#This Row],[ CLOSE_PRICE]]-NSE_BhavCopy[[#This Row],[ PREV_CLOSE]])/NSE_BhavCopy[[#This Row],[ PREV_CLOSE]]*100</f>
        <v>-2.9489826010031649E-2</v>
      </c>
    </row>
    <row r="368" spans="1:12" hidden="1" x14ac:dyDescent="0.25">
      <c r="A368" s="28" t="s">
        <v>675</v>
      </c>
      <c r="B368" s="28" t="s">
        <v>321</v>
      </c>
      <c r="C368" s="30">
        <v>44428</v>
      </c>
      <c r="D368" s="28">
        <v>275.75</v>
      </c>
      <c r="E368" s="28">
        <v>274</v>
      </c>
      <c r="F368" s="28">
        <v>276.5</v>
      </c>
      <c r="G368" s="28">
        <v>269.75</v>
      </c>
      <c r="H368" s="28">
        <v>271.37</v>
      </c>
      <c r="I368" s="28">
        <v>75250</v>
      </c>
      <c r="J368" s="28">
        <v>49000</v>
      </c>
      <c r="K368" s="28">
        <v>65.12</v>
      </c>
      <c r="L368" s="29">
        <f>SUM(NSE_BhavCopy[[#This Row],[ CLOSE_PRICE]]-NSE_BhavCopy[[#This Row],[ PREV_CLOSE]])/NSE_BhavCopy[[#This Row],[ PREV_CLOSE]]*100</f>
        <v>-2.1758839528558478</v>
      </c>
    </row>
    <row r="369" spans="1:12" hidden="1" x14ac:dyDescent="0.25">
      <c r="A369" s="28" t="s">
        <v>1390</v>
      </c>
      <c r="B369" s="28" t="s">
        <v>321</v>
      </c>
      <c r="C369" s="30">
        <v>44428</v>
      </c>
      <c r="D369" s="28">
        <v>47.25</v>
      </c>
      <c r="E369" s="28">
        <v>46.8</v>
      </c>
      <c r="F369" s="28">
        <v>47.2</v>
      </c>
      <c r="G369" s="28">
        <v>45.25</v>
      </c>
      <c r="H369" s="28">
        <v>45.6</v>
      </c>
      <c r="I369" s="28">
        <v>60303</v>
      </c>
      <c r="J369" s="28">
        <v>39263</v>
      </c>
      <c r="K369" s="28">
        <v>65.11</v>
      </c>
      <c r="L369" s="29">
        <f>SUM(NSE_BhavCopy[[#This Row],[ CLOSE_PRICE]]-NSE_BhavCopy[[#This Row],[ PREV_CLOSE]])/NSE_BhavCopy[[#This Row],[ PREV_CLOSE]]*100</f>
        <v>-4.2328042328042326</v>
      </c>
    </row>
    <row r="370" spans="1:12" hidden="1" x14ac:dyDescent="0.25">
      <c r="A370" s="28" t="s">
        <v>613</v>
      </c>
      <c r="B370" s="28" t="s">
        <v>321</v>
      </c>
      <c r="C370" s="30">
        <v>44428</v>
      </c>
      <c r="D370" s="28">
        <v>14.7</v>
      </c>
      <c r="E370" s="28">
        <v>14.7</v>
      </c>
      <c r="F370" s="28">
        <v>14.7</v>
      </c>
      <c r="G370" s="28">
        <v>14</v>
      </c>
      <c r="H370" s="28">
        <v>14.09</v>
      </c>
      <c r="I370" s="28">
        <v>46644</v>
      </c>
      <c r="J370" s="28">
        <v>30345</v>
      </c>
      <c r="K370" s="28">
        <v>65.06</v>
      </c>
      <c r="L370" s="29">
        <f>SUM(NSE_BhavCopy[[#This Row],[ CLOSE_PRICE]]-NSE_BhavCopy[[#This Row],[ PREV_CLOSE]])/NSE_BhavCopy[[#This Row],[ PREV_CLOSE]]*100</f>
        <v>-4.7619047619047574</v>
      </c>
    </row>
    <row r="371" spans="1:12" hidden="1" x14ac:dyDescent="0.25">
      <c r="A371" s="28" t="s">
        <v>817</v>
      </c>
      <c r="B371" s="28" t="s">
        <v>321</v>
      </c>
      <c r="C371" s="30">
        <v>44428</v>
      </c>
      <c r="D371" s="28">
        <v>40.340000000000003</v>
      </c>
      <c r="E371" s="28">
        <v>40</v>
      </c>
      <c r="F371" s="28">
        <v>40.25</v>
      </c>
      <c r="G371" s="28">
        <v>39.42</v>
      </c>
      <c r="H371" s="28">
        <v>39.54</v>
      </c>
      <c r="I371" s="28">
        <v>193811</v>
      </c>
      <c r="J371" s="28">
        <v>126101</v>
      </c>
      <c r="K371" s="28">
        <v>65.06</v>
      </c>
      <c r="L371" s="29">
        <f>SUM(NSE_BhavCopy[[#This Row],[ CLOSE_PRICE]]-NSE_BhavCopy[[#This Row],[ PREV_CLOSE]])/NSE_BhavCopy[[#This Row],[ PREV_CLOSE]]*100</f>
        <v>-2.2806147744174559</v>
      </c>
    </row>
    <row r="372" spans="1:12" hidden="1" x14ac:dyDescent="0.25">
      <c r="A372" s="28" t="s">
        <v>353</v>
      </c>
      <c r="B372" s="28" t="s">
        <v>321</v>
      </c>
      <c r="C372" s="30">
        <v>44428</v>
      </c>
      <c r="D372" s="28">
        <v>174.5</v>
      </c>
      <c r="E372" s="28">
        <v>170</v>
      </c>
      <c r="F372" s="28">
        <v>176.4</v>
      </c>
      <c r="G372" s="28">
        <v>175.7</v>
      </c>
      <c r="H372" s="28">
        <v>173.59</v>
      </c>
      <c r="I372" s="28">
        <v>4533</v>
      </c>
      <c r="J372" s="28">
        <v>2947</v>
      </c>
      <c r="K372" s="28">
        <v>65.010000000000005</v>
      </c>
      <c r="L372" s="29">
        <f>SUM(NSE_BhavCopy[[#This Row],[ CLOSE_PRICE]]-NSE_BhavCopy[[#This Row],[ PREV_CLOSE]])/NSE_BhavCopy[[#This Row],[ PREV_CLOSE]]*100</f>
        <v>0.68767908309454939</v>
      </c>
    </row>
    <row r="373" spans="1:12" hidden="1" x14ac:dyDescent="0.25">
      <c r="A373" s="28" t="s">
        <v>343</v>
      </c>
      <c r="B373" s="28" t="s">
        <v>321</v>
      </c>
      <c r="C373" s="30">
        <v>44428</v>
      </c>
      <c r="D373" s="28">
        <v>807.4</v>
      </c>
      <c r="E373" s="28">
        <v>807</v>
      </c>
      <c r="F373" s="28">
        <v>817.8</v>
      </c>
      <c r="G373" s="28">
        <v>767.7</v>
      </c>
      <c r="H373" s="28">
        <v>779.6</v>
      </c>
      <c r="I373" s="28">
        <v>21983</v>
      </c>
      <c r="J373" s="28">
        <v>14290</v>
      </c>
      <c r="K373" s="28">
        <v>65</v>
      </c>
      <c r="L373" s="29">
        <f>SUM(NSE_BhavCopy[[#This Row],[ CLOSE_PRICE]]-NSE_BhavCopy[[#This Row],[ PREV_CLOSE]])/NSE_BhavCopy[[#This Row],[ PREV_CLOSE]]*100</f>
        <v>-4.9170175873173063</v>
      </c>
    </row>
    <row r="374" spans="1:12" hidden="1" x14ac:dyDescent="0.25">
      <c r="A374" s="28" t="s">
        <v>53</v>
      </c>
      <c r="B374" s="28" t="s">
        <v>321</v>
      </c>
      <c r="C374" s="30">
        <v>44428</v>
      </c>
      <c r="D374" s="28">
        <v>671.05</v>
      </c>
      <c r="E374" s="28">
        <v>664</v>
      </c>
      <c r="F374" s="28">
        <v>674.8</v>
      </c>
      <c r="G374" s="28">
        <v>667.85</v>
      </c>
      <c r="H374" s="28">
        <v>664.75</v>
      </c>
      <c r="I374" s="28">
        <v>4035337</v>
      </c>
      <c r="J374" s="28">
        <v>2623149</v>
      </c>
      <c r="K374" s="28">
        <v>65</v>
      </c>
      <c r="L374" s="29">
        <f>SUM(NSE_BhavCopy[[#This Row],[ CLOSE_PRICE]]-NSE_BhavCopy[[#This Row],[ PREV_CLOSE]])/NSE_BhavCopy[[#This Row],[ PREV_CLOSE]]*100</f>
        <v>-0.47686461515534345</v>
      </c>
    </row>
    <row r="375" spans="1:12" hidden="1" x14ac:dyDescent="0.25">
      <c r="A375" s="28" t="s">
        <v>391</v>
      </c>
      <c r="B375" s="28" t="s">
        <v>321</v>
      </c>
      <c r="C375" s="30">
        <v>44428</v>
      </c>
      <c r="D375" s="28">
        <v>451.4</v>
      </c>
      <c r="E375" s="28">
        <v>442</v>
      </c>
      <c r="F375" s="28">
        <v>449.95</v>
      </c>
      <c r="G375" s="28">
        <v>432.9</v>
      </c>
      <c r="H375" s="28">
        <v>437.59</v>
      </c>
      <c r="I375" s="28">
        <v>49589</v>
      </c>
      <c r="J375" s="28">
        <v>32228</v>
      </c>
      <c r="K375" s="28">
        <v>64.989999999999995</v>
      </c>
      <c r="L375" s="29">
        <f>SUM(NSE_BhavCopy[[#This Row],[ CLOSE_PRICE]]-NSE_BhavCopy[[#This Row],[ PREV_CLOSE]])/NSE_BhavCopy[[#This Row],[ PREV_CLOSE]]*100</f>
        <v>-4.0983606557377055</v>
      </c>
    </row>
    <row r="376" spans="1:12" hidden="1" x14ac:dyDescent="0.25">
      <c r="A376" s="28" t="s">
        <v>1400</v>
      </c>
      <c r="B376" s="28" t="s">
        <v>321</v>
      </c>
      <c r="C376" s="30">
        <v>44428</v>
      </c>
      <c r="D376" s="28">
        <v>79.75</v>
      </c>
      <c r="E376" s="28">
        <v>78</v>
      </c>
      <c r="F376" s="28">
        <v>79.599999999999994</v>
      </c>
      <c r="G376" s="28">
        <v>77.2</v>
      </c>
      <c r="H376" s="28">
        <v>77.739999999999995</v>
      </c>
      <c r="I376" s="28">
        <v>119432</v>
      </c>
      <c r="J376" s="28">
        <v>77597</v>
      </c>
      <c r="K376" s="28">
        <v>64.97</v>
      </c>
      <c r="L376" s="29">
        <f>SUM(NSE_BhavCopy[[#This Row],[ CLOSE_PRICE]]-NSE_BhavCopy[[#This Row],[ PREV_CLOSE]])/NSE_BhavCopy[[#This Row],[ PREV_CLOSE]]*100</f>
        <v>-3.1974921630094006</v>
      </c>
    </row>
    <row r="377" spans="1:12" hidden="1" x14ac:dyDescent="0.25">
      <c r="A377" s="28" t="s">
        <v>809</v>
      </c>
      <c r="B377" s="28" t="s">
        <v>321</v>
      </c>
      <c r="C377" s="30">
        <v>44428</v>
      </c>
      <c r="D377" s="28">
        <v>25.1</v>
      </c>
      <c r="E377" s="28">
        <v>25</v>
      </c>
      <c r="F377" s="28">
        <v>25.4</v>
      </c>
      <c r="G377" s="28">
        <v>24.35</v>
      </c>
      <c r="H377" s="28">
        <v>24.62</v>
      </c>
      <c r="I377" s="28">
        <v>229311</v>
      </c>
      <c r="J377" s="28">
        <v>148957</v>
      </c>
      <c r="K377" s="28">
        <v>64.959999999999994</v>
      </c>
      <c r="L377" s="29">
        <f>SUM(NSE_BhavCopy[[#This Row],[ CLOSE_PRICE]]-NSE_BhavCopy[[#This Row],[ PREV_CLOSE]])/NSE_BhavCopy[[#This Row],[ PREV_CLOSE]]*100</f>
        <v>-2.9880478087649398</v>
      </c>
    </row>
    <row r="378" spans="1:12" hidden="1" x14ac:dyDescent="0.25">
      <c r="A378" s="28" t="s">
        <v>1246</v>
      </c>
      <c r="B378" s="28" t="s">
        <v>321</v>
      </c>
      <c r="C378" s="30">
        <v>44428</v>
      </c>
      <c r="D378" s="28">
        <v>87.8</v>
      </c>
      <c r="E378" s="28">
        <v>86.6</v>
      </c>
      <c r="F378" s="28">
        <v>88.95</v>
      </c>
      <c r="G378" s="28">
        <v>85.9</v>
      </c>
      <c r="H378" s="28">
        <v>86.83</v>
      </c>
      <c r="I378" s="28">
        <v>196036</v>
      </c>
      <c r="J378" s="28">
        <v>127336</v>
      </c>
      <c r="K378" s="28">
        <v>64.959999999999994</v>
      </c>
      <c r="L378" s="29">
        <f>SUM(NSE_BhavCopy[[#This Row],[ CLOSE_PRICE]]-NSE_BhavCopy[[#This Row],[ PREV_CLOSE]])/NSE_BhavCopy[[#This Row],[ PREV_CLOSE]]*100</f>
        <v>-2.1640091116173021</v>
      </c>
    </row>
    <row r="379" spans="1:12" hidden="1" x14ac:dyDescent="0.25">
      <c r="A379" s="28" t="s">
        <v>38</v>
      </c>
      <c r="B379" s="28" t="s">
        <v>321</v>
      </c>
      <c r="C379" s="30">
        <v>44428</v>
      </c>
      <c r="D379" s="28">
        <v>1749.7</v>
      </c>
      <c r="E379" s="28">
        <v>1732</v>
      </c>
      <c r="F379" s="28">
        <v>1732</v>
      </c>
      <c r="G379" s="28">
        <v>1703.55</v>
      </c>
      <c r="H379" s="28">
        <v>1705.93</v>
      </c>
      <c r="I379" s="28">
        <v>5643242</v>
      </c>
      <c r="J379" s="28">
        <v>3662767</v>
      </c>
      <c r="K379" s="28">
        <v>64.91</v>
      </c>
      <c r="L379" s="29">
        <f>SUM(NSE_BhavCopy[[#This Row],[ CLOSE_PRICE]]-NSE_BhavCopy[[#This Row],[ PREV_CLOSE]])/NSE_BhavCopy[[#This Row],[ PREV_CLOSE]]*100</f>
        <v>-2.6375950162885116</v>
      </c>
    </row>
    <row r="380" spans="1:12" hidden="1" x14ac:dyDescent="0.25">
      <c r="A380" s="28" t="s">
        <v>777</v>
      </c>
      <c r="B380" s="28" t="s">
        <v>321</v>
      </c>
      <c r="C380" s="30">
        <v>44428</v>
      </c>
      <c r="D380" s="28">
        <v>2310.35</v>
      </c>
      <c r="E380" s="28">
        <v>2286</v>
      </c>
      <c r="F380" s="28">
        <v>2328</v>
      </c>
      <c r="G380" s="28">
        <v>2256.75</v>
      </c>
      <c r="H380" s="28">
        <v>2268.29</v>
      </c>
      <c r="I380" s="28">
        <v>161263</v>
      </c>
      <c r="J380" s="28">
        <v>104652</v>
      </c>
      <c r="K380" s="28">
        <v>64.900000000000006</v>
      </c>
      <c r="L380" s="29">
        <f>SUM(NSE_BhavCopy[[#This Row],[ CLOSE_PRICE]]-NSE_BhavCopy[[#This Row],[ PREV_CLOSE]])/NSE_BhavCopy[[#This Row],[ PREV_CLOSE]]*100</f>
        <v>-2.3199948059817741</v>
      </c>
    </row>
    <row r="381" spans="1:12" hidden="1" x14ac:dyDescent="0.25">
      <c r="A381" s="28" t="s">
        <v>1758</v>
      </c>
      <c r="B381" s="28" t="s">
        <v>321</v>
      </c>
      <c r="C381" s="30">
        <v>44428</v>
      </c>
      <c r="D381" s="28">
        <v>3.45</v>
      </c>
      <c r="E381" s="28">
        <v>3.4</v>
      </c>
      <c r="F381" s="28">
        <v>3.6</v>
      </c>
      <c r="G381" s="28">
        <v>3.6</v>
      </c>
      <c r="H381" s="28">
        <v>3.47</v>
      </c>
      <c r="I381" s="28">
        <v>116043</v>
      </c>
      <c r="J381" s="28">
        <v>75297</v>
      </c>
      <c r="K381" s="28">
        <v>64.89</v>
      </c>
      <c r="L381" s="29">
        <f>SUM(NSE_BhavCopy[[#This Row],[ CLOSE_PRICE]]-NSE_BhavCopy[[#This Row],[ PREV_CLOSE]])/NSE_BhavCopy[[#This Row],[ PREV_CLOSE]]*100</f>
        <v>4.3478260869565188</v>
      </c>
    </row>
    <row r="382" spans="1:12" hidden="1" x14ac:dyDescent="0.25">
      <c r="A382" s="28" t="s">
        <v>1449</v>
      </c>
      <c r="B382" s="28" t="s">
        <v>321</v>
      </c>
      <c r="C382" s="30">
        <v>44428</v>
      </c>
      <c r="D382" s="28">
        <v>785.25</v>
      </c>
      <c r="E382" s="28">
        <v>770</v>
      </c>
      <c r="F382" s="28">
        <v>783.95</v>
      </c>
      <c r="G382" s="28">
        <v>756.05</v>
      </c>
      <c r="H382" s="28">
        <v>757.62</v>
      </c>
      <c r="I382" s="28">
        <v>113062</v>
      </c>
      <c r="J382" s="28">
        <v>73365</v>
      </c>
      <c r="K382" s="28">
        <v>64.89</v>
      </c>
      <c r="L382" s="29">
        <f>SUM(NSE_BhavCopy[[#This Row],[ CLOSE_PRICE]]-NSE_BhavCopy[[#This Row],[ PREV_CLOSE]])/NSE_BhavCopy[[#This Row],[ PREV_CLOSE]]*100</f>
        <v>-3.718560967844641</v>
      </c>
    </row>
    <row r="383" spans="1:12" hidden="1" x14ac:dyDescent="0.25">
      <c r="A383" s="28" t="s">
        <v>1137</v>
      </c>
      <c r="B383" s="28" t="s">
        <v>321</v>
      </c>
      <c r="C383" s="30">
        <v>44428</v>
      </c>
      <c r="D383" s="28">
        <v>31</v>
      </c>
      <c r="E383" s="28">
        <v>30.75</v>
      </c>
      <c r="F383" s="28">
        <v>31.25</v>
      </c>
      <c r="G383" s="28">
        <v>29.15</v>
      </c>
      <c r="H383" s="28">
        <v>29.89</v>
      </c>
      <c r="I383" s="28">
        <v>539248</v>
      </c>
      <c r="J383" s="28">
        <v>349857</v>
      </c>
      <c r="K383" s="28">
        <v>64.88</v>
      </c>
      <c r="L383" s="29">
        <f>SUM(NSE_BhavCopy[[#This Row],[ CLOSE_PRICE]]-NSE_BhavCopy[[#This Row],[ PREV_CLOSE]])/NSE_BhavCopy[[#This Row],[ PREV_CLOSE]]*100</f>
        <v>-5.9677419354838754</v>
      </c>
    </row>
    <row r="384" spans="1:12" hidden="1" x14ac:dyDescent="0.25">
      <c r="A384" s="28" t="s">
        <v>1665</v>
      </c>
      <c r="B384" s="28" t="s">
        <v>321</v>
      </c>
      <c r="C384" s="30">
        <v>44428</v>
      </c>
      <c r="D384" s="28">
        <v>91.25</v>
      </c>
      <c r="E384" s="28">
        <v>90.2</v>
      </c>
      <c r="F384" s="28">
        <v>92.95</v>
      </c>
      <c r="G384" s="28">
        <v>91.6</v>
      </c>
      <c r="H384" s="28">
        <v>91.63</v>
      </c>
      <c r="I384" s="28">
        <v>47508</v>
      </c>
      <c r="J384" s="28">
        <v>30805</v>
      </c>
      <c r="K384" s="28">
        <v>64.84</v>
      </c>
      <c r="L384" s="29">
        <f>SUM(NSE_BhavCopy[[#This Row],[ CLOSE_PRICE]]-NSE_BhavCopy[[#This Row],[ PREV_CLOSE]])/NSE_BhavCopy[[#This Row],[ PREV_CLOSE]]*100</f>
        <v>0.3835616438356102</v>
      </c>
    </row>
    <row r="385" spans="1:12" hidden="1" x14ac:dyDescent="0.25">
      <c r="A385" s="28" t="s">
        <v>1599</v>
      </c>
      <c r="B385" s="28" t="s">
        <v>321</v>
      </c>
      <c r="C385" s="30">
        <v>44428</v>
      </c>
      <c r="D385" s="28">
        <v>344.75</v>
      </c>
      <c r="E385" s="28">
        <v>342</v>
      </c>
      <c r="F385" s="28">
        <v>342.6</v>
      </c>
      <c r="G385" s="28">
        <v>331.05</v>
      </c>
      <c r="H385" s="28">
        <v>334.67</v>
      </c>
      <c r="I385" s="28">
        <v>235306</v>
      </c>
      <c r="J385" s="28">
        <v>152510</v>
      </c>
      <c r="K385" s="28">
        <v>64.81</v>
      </c>
      <c r="L385" s="29">
        <f>SUM(NSE_BhavCopy[[#This Row],[ CLOSE_PRICE]]-NSE_BhavCopy[[#This Row],[ PREV_CLOSE]])/NSE_BhavCopy[[#This Row],[ PREV_CLOSE]]*100</f>
        <v>-3.9738941261783864</v>
      </c>
    </row>
    <row r="386" spans="1:12" hidden="1" x14ac:dyDescent="0.25">
      <c r="A386" s="28" t="s">
        <v>502</v>
      </c>
      <c r="B386" s="28" t="s">
        <v>321</v>
      </c>
      <c r="C386" s="30">
        <v>44428</v>
      </c>
      <c r="D386" s="28">
        <v>33.9</v>
      </c>
      <c r="E386" s="28">
        <v>33</v>
      </c>
      <c r="F386" s="28">
        <v>34.4</v>
      </c>
      <c r="G386" s="28">
        <v>33.200000000000003</v>
      </c>
      <c r="H386" s="28">
        <v>33.58</v>
      </c>
      <c r="I386" s="28">
        <v>62718</v>
      </c>
      <c r="J386" s="28">
        <v>40639</v>
      </c>
      <c r="K386" s="28">
        <v>64.8</v>
      </c>
      <c r="L386" s="29">
        <f>SUM(NSE_BhavCopy[[#This Row],[ CLOSE_PRICE]]-NSE_BhavCopy[[#This Row],[ PREV_CLOSE]])/NSE_BhavCopy[[#This Row],[ PREV_CLOSE]]*100</f>
        <v>-2.0648967551622293</v>
      </c>
    </row>
    <row r="387" spans="1:12" hidden="1" x14ac:dyDescent="0.25">
      <c r="A387" s="28" t="s">
        <v>1024</v>
      </c>
      <c r="B387" s="28" t="s">
        <v>321</v>
      </c>
      <c r="C387" s="30">
        <v>44428</v>
      </c>
      <c r="D387" s="28">
        <v>4.1500000000000004</v>
      </c>
      <c r="E387" s="28">
        <v>4.2</v>
      </c>
      <c r="F387" s="28">
        <v>4.3</v>
      </c>
      <c r="G387" s="28">
        <v>4.0999999999999996</v>
      </c>
      <c r="H387" s="28">
        <v>4.04</v>
      </c>
      <c r="I387" s="28">
        <v>21896</v>
      </c>
      <c r="J387" s="28">
        <v>14183</v>
      </c>
      <c r="K387" s="28">
        <v>64.77</v>
      </c>
      <c r="L387" s="29">
        <f>SUM(NSE_BhavCopy[[#This Row],[ CLOSE_PRICE]]-NSE_BhavCopy[[#This Row],[ PREV_CLOSE]])/NSE_BhavCopy[[#This Row],[ PREV_CLOSE]]*100</f>
        <v>-1.2048192771084507</v>
      </c>
    </row>
    <row r="388" spans="1:12" hidden="1" x14ac:dyDescent="0.25">
      <c r="A388" s="28" t="s">
        <v>496</v>
      </c>
      <c r="B388" s="28" t="s">
        <v>321</v>
      </c>
      <c r="C388" s="30">
        <v>44428</v>
      </c>
      <c r="D388" s="28">
        <v>5765.9</v>
      </c>
      <c r="E388" s="28">
        <v>5700</v>
      </c>
      <c r="F388" s="28">
        <v>5774.95</v>
      </c>
      <c r="G388" s="28">
        <v>5743.95</v>
      </c>
      <c r="H388" s="28">
        <v>5739.09</v>
      </c>
      <c r="I388" s="28">
        <v>9170</v>
      </c>
      <c r="J388" s="28">
        <v>5938</v>
      </c>
      <c r="K388" s="28">
        <v>64.75</v>
      </c>
      <c r="L388" s="29">
        <f>SUM(NSE_BhavCopy[[#This Row],[ CLOSE_PRICE]]-NSE_BhavCopy[[#This Row],[ PREV_CLOSE]])/NSE_BhavCopy[[#This Row],[ PREV_CLOSE]]*100</f>
        <v>-0.38068644964359111</v>
      </c>
    </row>
    <row r="389" spans="1:12" hidden="1" x14ac:dyDescent="0.25">
      <c r="A389" s="28" t="s">
        <v>851</v>
      </c>
      <c r="B389" s="28" t="s">
        <v>321</v>
      </c>
      <c r="C389" s="30">
        <v>44428</v>
      </c>
      <c r="D389" s="28">
        <v>65.05</v>
      </c>
      <c r="E389" s="28">
        <v>66</v>
      </c>
      <c r="F389" s="28">
        <v>66.55</v>
      </c>
      <c r="G389" s="28">
        <v>66</v>
      </c>
      <c r="H389" s="28">
        <v>65.77</v>
      </c>
      <c r="I389" s="28">
        <v>3876</v>
      </c>
      <c r="J389" s="28">
        <v>2508</v>
      </c>
      <c r="K389" s="28">
        <v>64.709999999999994</v>
      </c>
      <c r="L389" s="29">
        <f>SUM(NSE_BhavCopy[[#This Row],[ CLOSE_PRICE]]-NSE_BhavCopy[[#This Row],[ PREV_CLOSE]])/NSE_BhavCopy[[#This Row],[ PREV_CLOSE]]*100</f>
        <v>1.4604150653343626</v>
      </c>
    </row>
    <row r="390" spans="1:12" hidden="1" x14ac:dyDescent="0.25">
      <c r="A390" s="28" t="s">
        <v>950</v>
      </c>
      <c r="B390" s="28" t="s">
        <v>321</v>
      </c>
      <c r="C390" s="30">
        <v>44428</v>
      </c>
      <c r="D390" s="28">
        <v>447.8</v>
      </c>
      <c r="E390" s="28">
        <v>445</v>
      </c>
      <c r="F390" s="28">
        <v>447</v>
      </c>
      <c r="G390" s="28">
        <v>430.65</v>
      </c>
      <c r="H390" s="28">
        <v>436.54</v>
      </c>
      <c r="I390" s="28">
        <v>12913</v>
      </c>
      <c r="J390" s="28">
        <v>8345</v>
      </c>
      <c r="K390" s="28">
        <v>64.62</v>
      </c>
      <c r="L390" s="29">
        <f>SUM(NSE_BhavCopy[[#This Row],[ CLOSE_PRICE]]-NSE_BhavCopy[[#This Row],[ PREV_CLOSE]])/NSE_BhavCopy[[#This Row],[ PREV_CLOSE]]*100</f>
        <v>-3.8298347476552106</v>
      </c>
    </row>
    <row r="391" spans="1:12" hidden="1" x14ac:dyDescent="0.25">
      <c r="A391" s="28" t="s">
        <v>1218</v>
      </c>
      <c r="B391" s="28" t="s">
        <v>321</v>
      </c>
      <c r="C391" s="30">
        <v>44428</v>
      </c>
      <c r="D391" s="28">
        <v>335.05</v>
      </c>
      <c r="E391" s="28">
        <v>331</v>
      </c>
      <c r="F391" s="28">
        <v>331</v>
      </c>
      <c r="G391" s="28">
        <v>311.55</v>
      </c>
      <c r="H391" s="28">
        <v>317.83</v>
      </c>
      <c r="I391" s="28">
        <v>56796</v>
      </c>
      <c r="J391" s="28">
        <v>36670</v>
      </c>
      <c r="K391" s="28">
        <v>64.56</v>
      </c>
      <c r="L391" s="29">
        <f>SUM(NSE_BhavCopy[[#This Row],[ CLOSE_PRICE]]-NSE_BhavCopy[[#This Row],[ PREV_CLOSE]])/NSE_BhavCopy[[#This Row],[ PREV_CLOSE]]*100</f>
        <v>-7.0138785255931948</v>
      </c>
    </row>
    <row r="392" spans="1:12" hidden="1" x14ac:dyDescent="0.25">
      <c r="A392" s="28" t="s">
        <v>1346</v>
      </c>
      <c r="B392" s="28" t="s">
        <v>321</v>
      </c>
      <c r="C392" s="30">
        <v>44428</v>
      </c>
      <c r="D392" s="28">
        <v>146.35</v>
      </c>
      <c r="E392" s="28">
        <v>140.16</v>
      </c>
      <c r="F392" s="28">
        <v>146.83000000000001</v>
      </c>
      <c r="G392" s="28">
        <v>146.12</v>
      </c>
      <c r="H392" s="28">
        <v>145.43</v>
      </c>
      <c r="I392" s="28">
        <v>2350</v>
      </c>
      <c r="J392" s="28">
        <v>1517</v>
      </c>
      <c r="K392" s="28">
        <v>64.55</v>
      </c>
      <c r="L392" s="29">
        <f>SUM(NSE_BhavCopy[[#This Row],[ CLOSE_PRICE]]-NSE_BhavCopy[[#This Row],[ PREV_CLOSE]])/NSE_BhavCopy[[#This Row],[ PREV_CLOSE]]*100</f>
        <v>-0.15715749914587618</v>
      </c>
    </row>
    <row r="393" spans="1:12" hidden="1" x14ac:dyDescent="0.25">
      <c r="A393" s="28" t="s">
        <v>1405</v>
      </c>
      <c r="B393" s="28" t="s">
        <v>321</v>
      </c>
      <c r="C393" s="30">
        <v>44428</v>
      </c>
      <c r="D393" s="28">
        <v>173.95</v>
      </c>
      <c r="E393" s="28">
        <v>173</v>
      </c>
      <c r="F393" s="28">
        <v>173.55</v>
      </c>
      <c r="G393" s="28">
        <v>169.1</v>
      </c>
      <c r="H393" s="28">
        <v>170.26</v>
      </c>
      <c r="I393" s="28">
        <v>80828</v>
      </c>
      <c r="J393" s="28">
        <v>52138</v>
      </c>
      <c r="K393" s="28">
        <v>64.5</v>
      </c>
      <c r="L393" s="29">
        <f>SUM(NSE_BhavCopy[[#This Row],[ CLOSE_PRICE]]-NSE_BhavCopy[[#This Row],[ PREV_CLOSE]])/NSE_BhavCopy[[#This Row],[ PREV_CLOSE]]*100</f>
        <v>-2.7881575165277348</v>
      </c>
    </row>
    <row r="394" spans="1:12" hidden="1" x14ac:dyDescent="0.25">
      <c r="A394" s="28" t="s">
        <v>32</v>
      </c>
      <c r="B394" s="28" t="s">
        <v>321</v>
      </c>
      <c r="C394" s="30">
        <v>44428</v>
      </c>
      <c r="D394" s="28">
        <v>2710.75</v>
      </c>
      <c r="E394" s="28">
        <v>2700</v>
      </c>
      <c r="F394" s="28">
        <v>2738.95</v>
      </c>
      <c r="G394" s="28">
        <v>2722.05</v>
      </c>
      <c r="H394" s="28">
        <v>2720.55</v>
      </c>
      <c r="I394" s="28">
        <v>3986473</v>
      </c>
      <c r="J394" s="28">
        <v>2566500</v>
      </c>
      <c r="K394" s="28">
        <v>64.38</v>
      </c>
      <c r="L394" s="29">
        <f>SUM(NSE_BhavCopy[[#This Row],[ CLOSE_PRICE]]-NSE_BhavCopy[[#This Row],[ PREV_CLOSE]])/NSE_BhavCopy[[#This Row],[ PREV_CLOSE]]*100</f>
        <v>0.41685880291432931</v>
      </c>
    </row>
    <row r="395" spans="1:12" hidden="1" x14ac:dyDescent="0.25">
      <c r="A395" s="28" t="s">
        <v>1291</v>
      </c>
      <c r="B395" s="28" t="s">
        <v>321</v>
      </c>
      <c r="C395" s="30">
        <v>44428</v>
      </c>
      <c r="D395" s="28">
        <v>14.55</v>
      </c>
      <c r="E395" s="28">
        <v>14.5</v>
      </c>
      <c r="F395" s="28">
        <v>14.7</v>
      </c>
      <c r="G395" s="28">
        <v>13.9</v>
      </c>
      <c r="H395" s="28">
        <v>14.04</v>
      </c>
      <c r="I395" s="28">
        <v>1753008</v>
      </c>
      <c r="J395" s="28">
        <v>1127711</v>
      </c>
      <c r="K395" s="28">
        <v>64.33</v>
      </c>
      <c r="L395" s="29">
        <f>SUM(NSE_BhavCopy[[#This Row],[ CLOSE_PRICE]]-NSE_BhavCopy[[#This Row],[ PREV_CLOSE]])/NSE_BhavCopy[[#This Row],[ PREV_CLOSE]]*100</f>
        <v>-4.4673539518900363</v>
      </c>
    </row>
    <row r="396" spans="1:12" hidden="1" x14ac:dyDescent="0.25">
      <c r="A396" s="28" t="s">
        <v>1271</v>
      </c>
      <c r="B396" s="28" t="s">
        <v>321</v>
      </c>
      <c r="C396" s="30">
        <v>44428</v>
      </c>
      <c r="D396" s="28">
        <v>127.35</v>
      </c>
      <c r="E396" s="28">
        <v>126.55</v>
      </c>
      <c r="F396" s="28">
        <v>127</v>
      </c>
      <c r="G396" s="28">
        <v>124.95</v>
      </c>
      <c r="H396" s="28">
        <v>125.7</v>
      </c>
      <c r="I396" s="28">
        <v>528516</v>
      </c>
      <c r="J396" s="28">
        <v>339865</v>
      </c>
      <c r="K396" s="28">
        <v>64.31</v>
      </c>
      <c r="L396" s="29">
        <f>SUM(NSE_BhavCopy[[#This Row],[ CLOSE_PRICE]]-NSE_BhavCopy[[#This Row],[ PREV_CLOSE]])/NSE_BhavCopy[[#This Row],[ PREV_CLOSE]]*100</f>
        <v>-1.8845700824499343</v>
      </c>
    </row>
    <row r="397" spans="1:12" hidden="1" x14ac:dyDescent="0.25">
      <c r="A397" s="28" t="s">
        <v>937</v>
      </c>
      <c r="B397" s="28" t="s">
        <v>321</v>
      </c>
      <c r="C397" s="30">
        <v>44428</v>
      </c>
      <c r="D397" s="28">
        <v>418.32</v>
      </c>
      <c r="E397" s="28">
        <v>419.4</v>
      </c>
      <c r="F397" s="28">
        <v>422</v>
      </c>
      <c r="G397" s="28">
        <v>413.03</v>
      </c>
      <c r="H397" s="28">
        <v>415.47</v>
      </c>
      <c r="I397" s="28">
        <v>133429</v>
      </c>
      <c r="J397" s="28">
        <v>85754</v>
      </c>
      <c r="K397" s="28">
        <v>64.27</v>
      </c>
      <c r="L397" s="29">
        <f>SUM(NSE_BhavCopy[[#This Row],[ CLOSE_PRICE]]-NSE_BhavCopy[[#This Row],[ PREV_CLOSE]])/NSE_BhavCopy[[#This Row],[ PREV_CLOSE]]*100</f>
        <v>-1.2645821380761191</v>
      </c>
    </row>
    <row r="398" spans="1:12" hidden="1" x14ac:dyDescent="0.25">
      <c r="A398" s="28" t="s">
        <v>1189</v>
      </c>
      <c r="B398" s="28" t="s">
        <v>321</v>
      </c>
      <c r="C398" s="30">
        <v>44428</v>
      </c>
      <c r="D398" s="28">
        <v>328.75</v>
      </c>
      <c r="E398" s="28">
        <v>332.45</v>
      </c>
      <c r="F398" s="28">
        <v>333</v>
      </c>
      <c r="G398" s="28">
        <v>320.3</v>
      </c>
      <c r="H398" s="28">
        <v>324.93</v>
      </c>
      <c r="I398" s="28">
        <v>11212</v>
      </c>
      <c r="J398" s="28">
        <v>7204</v>
      </c>
      <c r="K398" s="28">
        <v>64.25</v>
      </c>
      <c r="L398" s="29">
        <f>SUM(NSE_BhavCopy[[#This Row],[ CLOSE_PRICE]]-NSE_BhavCopy[[#This Row],[ PREV_CLOSE]])/NSE_BhavCopy[[#This Row],[ PREV_CLOSE]]*100</f>
        <v>-2.5703422053231906</v>
      </c>
    </row>
    <row r="399" spans="1:12" hidden="1" x14ac:dyDescent="0.25">
      <c r="A399" s="28" t="s">
        <v>1672</v>
      </c>
      <c r="B399" s="28" t="s">
        <v>321</v>
      </c>
      <c r="C399" s="30">
        <v>44428</v>
      </c>
      <c r="D399" s="28">
        <v>9.9</v>
      </c>
      <c r="E399" s="28">
        <v>10.050000000000001</v>
      </c>
      <c r="F399" s="28">
        <v>10.6</v>
      </c>
      <c r="G399" s="28">
        <v>10.3</v>
      </c>
      <c r="H399" s="28">
        <v>10.130000000000001</v>
      </c>
      <c r="I399" s="28">
        <v>398902</v>
      </c>
      <c r="J399" s="28">
        <v>256237</v>
      </c>
      <c r="K399" s="28">
        <v>64.239999999999995</v>
      </c>
      <c r="L399" s="29">
        <f>SUM(NSE_BhavCopy[[#This Row],[ CLOSE_PRICE]]-NSE_BhavCopy[[#This Row],[ PREV_CLOSE]])/NSE_BhavCopy[[#This Row],[ PREV_CLOSE]]*100</f>
        <v>4.0404040404040433</v>
      </c>
    </row>
    <row r="400" spans="1:12" hidden="1" x14ac:dyDescent="0.25">
      <c r="A400" s="28" t="s">
        <v>815</v>
      </c>
      <c r="B400" s="28" t="s">
        <v>321</v>
      </c>
      <c r="C400" s="30">
        <v>44428</v>
      </c>
      <c r="D400" s="28">
        <v>232.23</v>
      </c>
      <c r="E400" s="28">
        <v>232.28</v>
      </c>
      <c r="F400" s="28">
        <v>232.28</v>
      </c>
      <c r="G400" s="28">
        <v>230.58</v>
      </c>
      <c r="H400" s="28">
        <v>230.77</v>
      </c>
      <c r="I400" s="28">
        <v>2509</v>
      </c>
      <c r="J400" s="28">
        <v>1611</v>
      </c>
      <c r="K400" s="28">
        <v>64.209999999999994</v>
      </c>
      <c r="L400" s="29">
        <f>SUM(NSE_BhavCopy[[#This Row],[ CLOSE_PRICE]]-NSE_BhavCopy[[#This Row],[ PREV_CLOSE]])/NSE_BhavCopy[[#This Row],[ PREV_CLOSE]]*100</f>
        <v>-0.710502519054376</v>
      </c>
    </row>
    <row r="401" spans="1:12" hidden="1" x14ac:dyDescent="0.25">
      <c r="A401" s="28" t="s">
        <v>1397</v>
      </c>
      <c r="B401" s="28" t="s">
        <v>321</v>
      </c>
      <c r="C401" s="30">
        <v>44428</v>
      </c>
      <c r="D401" s="28">
        <v>26.35</v>
      </c>
      <c r="E401" s="28">
        <v>26.3</v>
      </c>
      <c r="F401" s="28">
        <v>26.45</v>
      </c>
      <c r="G401" s="28">
        <v>25.95</v>
      </c>
      <c r="H401" s="28">
        <v>26.07</v>
      </c>
      <c r="I401" s="28">
        <v>2085236</v>
      </c>
      <c r="J401" s="28">
        <v>1337212</v>
      </c>
      <c r="K401" s="28">
        <v>64.13</v>
      </c>
      <c r="L401" s="29">
        <f>SUM(NSE_BhavCopy[[#This Row],[ CLOSE_PRICE]]-NSE_BhavCopy[[#This Row],[ PREV_CLOSE]])/NSE_BhavCopy[[#This Row],[ PREV_CLOSE]]*100</f>
        <v>-1.5180265654649037</v>
      </c>
    </row>
    <row r="402" spans="1:12" hidden="1" x14ac:dyDescent="0.25">
      <c r="A402" s="28" t="s">
        <v>349</v>
      </c>
      <c r="B402" s="28" t="s">
        <v>321</v>
      </c>
      <c r="C402" s="30">
        <v>44428</v>
      </c>
      <c r="D402" s="28">
        <v>324.14999999999998</v>
      </c>
      <c r="E402" s="28">
        <v>320</v>
      </c>
      <c r="F402" s="28">
        <v>323.64999999999998</v>
      </c>
      <c r="G402" s="28">
        <v>308.85000000000002</v>
      </c>
      <c r="H402" s="28">
        <v>311.31</v>
      </c>
      <c r="I402" s="28">
        <v>30602</v>
      </c>
      <c r="J402" s="28">
        <v>19621</v>
      </c>
      <c r="K402" s="28">
        <v>64.12</v>
      </c>
      <c r="L402" s="29">
        <f>SUM(NSE_BhavCopy[[#This Row],[ CLOSE_PRICE]]-NSE_BhavCopy[[#This Row],[ PREV_CLOSE]])/NSE_BhavCopy[[#This Row],[ PREV_CLOSE]]*100</f>
        <v>-4.7200370198981814</v>
      </c>
    </row>
    <row r="403" spans="1:12" hidden="1" x14ac:dyDescent="0.25">
      <c r="A403" s="28" t="s">
        <v>1702</v>
      </c>
      <c r="B403" s="28" t="s">
        <v>321</v>
      </c>
      <c r="C403" s="30">
        <v>44428</v>
      </c>
      <c r="D403" s="28">
        <v>130.69999999999999</v>
      </c>
      <c r="E403" s="28">
        <v>132.55000000000001</v>
      </c>
      <c r="F403" s="28">
        <v>132.55000000000001</v>
      </c>
      <c r="G403" s="28">
        <v>123.95</v>
      </c>
      <c r="H403" s="28">
        <v>125.77</v>
      </c>
      <c r="I403" s="28">
        <v>108387</v>
      </c>
      <c r="J403" s="28">
        <v>69435</v>
      </c>
      <c r="K403" s="28">
        <v>64.06</v>
      </c>
      <c r="L403" s="29">
        <f>SUM(NSE_BhavCopy[[#This Row],[ CLOSE_PRICE]]-NSE_BhavCopy[[#This Row],[ PREV_CLOSE]])/NSE_BhavCopy[[#This Row],[ PREV_CLOSE]]*100</f>
        <v>-5.164498852333578</v>
      </c>
    </row>
    <row r="404" spans="1:12" hidden="1" x14ac:dyDescent="0.25">
      <c r="A404" s="28" t="s">
        <v>491</v>
      </c>
      <c r="B404" s="28" t="s">
        <v>321</v>
      </c>
      <c r="C404" s="30">
        <v>44428</v>
      </c>
      <c r="D404" s="28">
        <v>24.6</v>
      </c>
      <c r="E404" s="28">
        <v>23</v>
      </c>
      <c r="F404" s="28">
        <v>25.5</v>
      </c>
      <c r="G404" s="28">
        <v>24.85</v>
      </c>
      <c r="H404" s="28">
        <v>24.48</v>
      </c>
      <c r="I404" s="28">
        <v>204306</v>
      </c>
      <c r="J404" s="28">
        <v>130692</v>
      </c>
      <c r="K404" s="28">
        <v>63.97</v>
      </c>
      <c r="L404" s="29">
        <f>SUM(NSE_BhavCopy[[#This Row],[ CLOSE_PRICE]]-NSE_BhavCopy[[#This Row],[ PREV_CLOSE]])/NSE_BhavCopy[[#This Row],[ PREV_CLOSE]]*100</f>
        <v>1.0162601626016259</v>
      </c>
    </row>
    <row r="405" spans="1:12" hidden="1" x14ac:dyDescent="0.25">
      <c r="A405" s="28" t="s">
        <v>1193</v>
      </c>
      <c r="B405" s="28" t="s">
        <v>321</v>
      </c>
      <c r="C405" s="30">
        <v>44428</v>
      </c>
      <c r="D405" s="28">
        <v>67.45</v>
      </c>
      <c r="E405" s="28">
        <v>65.2</v>
      </c>
      <c r="F405" s="28">
        <v>70.400000000000006</v>
      </c>
      <c r="G405" s="28">
        <v>69.05</v>
      </c>
      <c r="H405" s="28">
        <v>67.59</v>
      </c>
      <c r="I405" s="28">
        <v>5428</v>
      </c>
      <c r="J405" s="28">
        <v>3472</v>
      </c>
      <c r="K405" s="28">
        <v>63.96</v>
      </c>
      <c r="L405" s="29">
        <f>SUM(NSE_BhavCopy[[#This Row],[ CLOSE_PRICE]]-NSE_BhavCopy[[#This Row],[ PREV_CLOSE]])/NSE_BhavCopy[[#This Row],[ PREV_CLOSE]]*100</f>
        <v>2.3721275018532162</v>
      </c>
    </row>
    <row r="406" spans="1:12" hidden="1" x14ac:dyDescent="0.25">
      <c r="A406" s="28" t="s">
        <v>1048</v>
      </c>
      <c r="B406" s="28" t="s">
        <v>321</v>
      </c>
      <c r="C406" s="30">
        <v>44428</v>
      </c>
      <c r="D406" s="28">
        <v>35</v>
      </c>
      <c r="E406" s="28">
        <v>34.1</v>
      </c>
      <c r="F406" s="28">
        <v>35.75</v>
      </c>
      <c r="G406" s="28">
        <v>34.4</v>
      </c>
      <c r="H406" s="28">
        <v>34.76</v>
      </c>
      <c r="I406" s="28">
        <v>77584</v>
      </c>
      <c r="J406" s="28">
        <v>49615</v>
      </c>
      <c r="K406" s="28">
        <v>63.95</v>
      </c>
      <c r="L406" s="29">
        <f>SUM(NSE_BhavCopy[[#This Row],[ CLOSE_PRICE]]-NSE_BhavCopy[[#This Row],[ PREV_CLOSE]])/NSE_BhavCopy[[#This Row],[ PREV_CLOSE]]*100</f>
        <v>-1.7142857142857182</v>
      </c>
    </row>
    <row r="407" spans="1:12" hidden="1" x14ac:dyDescent="0.25">
      <c r="A407" s="28" t="s">
        <v>1187</v>
      </c>
      <c r="B407" s="28" t="s">
        <v>321</v>
      </c>
      <c r="C407" s="30">
        <v>44428</v>
      </c>
      <c r="D407" s="28">
        <v>29.1</v>
      </c>
      <c r="E407" s="28">
        <v>29.55</v>
      </c>
      <c r="F407" s="28">
        <v>29.85</v>
      </c>
      <c r="G407" s="28">
        <v>27.9</v>
      </c>
      <c r="H407" s="28">
        <v>28.57</v>
      </c>
      <c r="I407" s="28">
        <v>143728</v>
      </c>
      <c r="J407" s="28">
        <v>91721</v>
      </c>
      <c r="K407" s="28">
        <v>63.82</v>
      </c>
      <c r="L407" s="29">
        <f>SUM(NSE_BhavCopy[[#This Row],[ CLOSE_PRICE]]-NSE_BhavCopy[[#This Row],[ PREV_CLOSE]])/NSE_BhavCopy[[#This Row],[ PREV_CLOSE]]*100</f>
        <v>-4.1237113402061949</v>
      </c>
    </row>
    <row r="408" spans="1:12" hidden="1" x14ac:dyDescent="0.25">
      <c r="A408" s="28" t="s">
        <v>516</v>
      </c>
      <c r="B408" s="28" t="s">
        <v>321</v>
      </c>
      <c r="C408" s="30">
        <v>44428</v>
      </c>
      <c r="D408" s="28">
        <v>515.54999999999995</v>
      </c>
      <c r="E408" s="28">
        <v>510.55</v>
      </c>
      <c r="F408" s="28">
        <v>513.1</v>
      </c>
      <c r="G408" s="28">
        <v>500.3</v>
      </c>
      <c r="H408" s="28">
        <v>501.76</v>
      </c>
      <c r="I408" s="28">
        <v>538194</v>
      </c>
      <c r="J408" s="28">
        <v>343397</v>
      </c>
      <c r="K408" s="28">
        <v>63.81</v>
      </c>
      <c r="L408" s="29">
        <f>SUM(NSE_BhavCopy[[#This Row],[ CLOSE_PRICE]]-NSE_BhavCopy[[#This Row],[ PREV_CLOSE]])/NSE_BhavCopy[[#This Row],[ PREV_CLOSE]]*100</f>
        <v>-2.9580060129958188</v>
      </c>
    </row>
    <row r="409" spans="1:12" hidden="1" x14ac:dyDescent="0.25">
      <c r="A409" s="28" t="s">
        <v>680</v>
      </c>
      <c r="B409" s="28" t="s">
        <v>321</v>
      </c>
      <c r="C409" s="30">
        <v>44428</v>
      </c>
      <c r="D409" s="28">
        <v>45.25</v>
      </c>
      <c r="E409" s="28">
        <v>45.25</v>
      </c>
      <c r="F409" s="28">
        <v>46.55</v>
      </c>
      <c r="G409" s="28">
        <v>44.65</v>
      </c>
      <c r="H409" s="28">
        <v>45.11</v>
      </c>
      <c r="I409" s="28">
        <v>1259628</v>
      </c>
      <c r="J409" s="28">
        <v>803715</v>
      </c>
      <c r="K409" s="28">
        <v>63.81</v>
      </c>
      <c r="L409" s="29">
        <f>SUM(NSE_BhavCopy[[#This Row],[ CLOSE_PRICE]]-NSE_BhavCopy[[#This Row],[ PREV_CLOSE]])/NSE_BhavCopy[[#This Row],[ PREV_CLOSE]]*100</f>
        <v>-1.3259668508287323</v>
      </c>
    </row>
    <row r="410" spans="1:12" hidden="1" x14ac:dyDescent="0.25">
      <c r="A410" s="28" t="s">
        <v>1394</v>
      </c>
      <c r="B410" s="28" t="s">
        <v>321</v>
      </c>
      <c r="C410" s="30">
        <v>44428</v>
      </c>
      <c r="D410" s="28">
        <v>327.60000000000002</v>
      </c>
      <c r="E410" s="28">
        <v>327.60000000000002</v>
      </c>
      <c r="F410" s="28">
        <v>336.15</v>
      </c>
      <c r="G410" s="28">
        <v>325.7</v>
      </c>
      <c r="H410" s="28">
        <v>328.71</v>
      </c>
      <c r="I410" s="28">
        <v>46723</v>
      </c>
      <c r="J410" s="28">
        <v>29803</v>
      </c>
      <c r="K410" s="28">
        <v>63.79</v>
      </c>
      <c r="L410" s="29">
        <f>SUM(NSE_BhavCopy[[#This Row],[ CLOSE_PRICE]]-NSE_BhavCopy[[#This Row],[ PREV_CLOSE]])/NSE_BhavCopy[[#This Row],[ PREV_CLOSE]]*100</f>
        <v>-0.57997557997559035</v>
      </c>
    </row>
    <row r="411" spans="1:12" hidden="1" x14ac:dyDescent="0.25">
      <c r="A411" s="28" t="s">
        <v>1730</v>
      </c>
      <c r="B411" s="28" t="s">
        <v>321</v>
      </c>
      <c r="C411" s="30">
        <v>44428</v>
      </c>
      <c r="D411" s="28">
        <v>7.7</v>
      </c>
      <c r="E411" s="28">
        <v>7.9</v>
      </c>
      <c r="F411" s="28">
        <v>7.9</v>
      </c>
      <c r="G411" s="28">
        <v>7.65</v>
      </c>
      <c r="H411" s="28">
        <v>7.53</v>
      </c>
      <c r="I411" s="28">
        <v>71902</v>
      </c>
      <c r="J411" s="28">
        <v>45853</v>
      </c>
      <c r="K411" s="28">
        <v>63.77</v>
      </c>
      <c r="L411" s="29">
        <f>SUM(NSE_BhavCopy[[#This Row],[ CLOSE_PRICE]]-NSE_BhavCopy[[#This Row],[ PREV_CLOSE]])/NSE_BhavCopy[[#This Row],[ PREV_CLOSE]]*100</f>
        <v>-0.64935064935064701</v>
      </c>
    </row>
    <row r="412" spans="1:12" hidden="1" x14ac:dyDescent="0.25">
      <c r="A412" s="28" t="s">
        <v>1495</v>
      </c>
      <c r="B412" s="28" t="s">
        <v>321</v>
      </c>
      <c r="C412" s="30">
        <v>44428</v>
      </c>
      <c r="D412" s="28">
        <v>59.5</v>
      </c>
      <c r="E412" s="28">
        <v>59</v>
      </c>
      <c r="F412" s="28">
        <v>59.5</v>
      </c>
      <c r="G412" s="28">
        <v>58.55</v>
      </c>
      <c r="H412" s="28">
        <v>58.92</v>
      </c>
      <c r="I412" s="28">
        <v>36615</v>
      </c>
      <c r="J412" s="28">
        <v>23340</v>
      </c>
      <c r="K412" s="28">
        <v>63.74</v>
      </c>
      <c r="L412" s="29">
        <f>SUM(NSE_BhavCopy[[#This Row],[ CLOSE_PRICE]]-NSE_BhavCopy[[#This Row],[ PREV_CLOSE]])/NSE_BhavCopy[[#This Row],[ PREV_CLOSE]]*100</f>
        <v>-1.5966386554621896</v>
      </c>
    </row>
    <row r="413" spans="1:12" hidden="1" x14ac:dyDescent="0.25">
      <c r="A413" s="28" t="s">
        <v>524</v>
      </c>
      <c r="B413" s="28" t="s">
        <v>321</v>
      </c>
      <c r="C413" s="30">
        <v>44428</v>
      </c>
      <c r="D413" s="28">
        <v>131.9</v>
      </c>
      <c r="E413" s="28">
        <v>131.05000000000001</v>
      </c>
      <c r="F413" s="28">
        <v>132.05000000000001</v>
      </c>
      <c r="G413" s="28">
        <v>130.35</v>
      </c>
      <c r="H413" s="28">
        <v>130.72</v>
      </c>
      <c r="I413" s="28">
        <v>681364</v>
      </c>
      <c r="J413" s="28">
        <v>433989</v>
      </c>
      <c r="K413" s="28">
        <v>63.69</v>
      </c>
      <c r="L413" s="29">
        <f>SUM(NSE_BhavCopy[[#This Row],[ CLOSE_PRICE]]-NSE_BhavCopy[[#This Row],[ PREV_CLOSE]])/NSE_BhavCopy[[#This Row],[ PREV_CLOSE]]*100</f>
        <v>-1.1751326762699099</v>
      </c>
    </row>
    <row r="414" spans="1:12" hidden="1" x14ac:dyDescent="0.25">
      <c r="A414" s="28" t="s">
        <v>731</v>
      </c>
      <c r="B414" s="28" t="s">
        <v>321</v>
      </c>
      <c r="C414" s="30">
        <v>44428</v>
      </c>
      <c r="D414" s="28">
        <v>41.03</v>
      </c>
      <c r="E414" s="28">
        <v>41.48</v>
      </c>
      <c r="F414" s="28">
        <v>41.48</v>
      </c>
      <c r="G414" s="28">
        <v>40.97</v>
      </c>
      <c r="H414" s="28">
        <v>41.04</v>
      </c>
      <c r="I414" s="28">
        <v>2846275</v>
      </c>
      <c r="J414" s="28">
        <v>1812893</v>
      </c>
      <c r="K414" s="28">
        <v>63.69</v>
      </c>
      <c r="L414" s="29">
        <f>SUM(NSE_BhavCopy[[#This Row],[ CLOSE_PRICE]]-NSE_BhavCopy[[#This Row],[ PREV_CLOSE]])/NSE_BhavCopy[[#This Row],[ PREV_CLOSE]]*100</f>
        <v>-0.14623446258835551</v>
      </c>
    </row>
    <row r="415" spans="1:12" hidden="1" x14ac:dyDescent="0.25">
      <c r="A415" s="28" t="s">
        <v>735</v>
      </c>
      <c r="B415" s="28" t="s">
        <v>321</v>
      </c>
      <c r="C415" s="30">
        <v>44428</v>
      </c>
      <c r="D415" s="28">
        <v>277.95</v>
      </c>
      <c r="E415" s="28">
        <v>270</v>
      </c>
      <c r="F415" s="28">
        <v>284.39999999999998</v>
      </c>
      <c r="G415" s="28">
        <v>271.5</v>
      </c>
      <c r="H415" s="28">
        <v>274.88</v>
      </c>
      <c r="I415" s="28">
        <v>129847</v>
      </c>
      <c r="J415" s="28">
        <v>82587</v>
      </c>
      <c r="K415" s="28">
        <v>63.6</v>
      </c>
      <c r="L415" s="29">
        <f>SUM(NSE_BhavCopy[[#This Row],[ CLOSE_PRICE]]-NSE_BhavCopy[[#This Row],[ PREV_CLOSE]])/NSE_BhavCopy[[#This Row],[ PREV_CLOSE]]*100</f>
        <v>-2.3205612520237411</v>
      </c>
    </row>
    <row r="416" spans="1:12" hidden="1" x14ac:dyDescent="0.25">
      <c r="A416" s="28" t="s">
        <v>522</v>
      </c>
      <c r="B416" s="28" t="s">
        <v>321</v>
      </c>
      <c r="C416" s="30">
        <v>44428</v>
      </c>
      <c r="D416" s="28">
        <v>145.55000000000001</v>
      </c>
      <c r="E416" s="28">
        <v>145</v>
      </c>
      <c r="F416" s="28">
        <v>153.6</v>
      </c>
      <c r="G416" s="28">
        <v>143.75</v>
      </c>
      <c r="H416" s="28">
        <v>145.88</v>
      </c>
      <c r="I416" s="28">
        <v>44965</v>
      </c>
      <c r="J416" s="28">
        <v>28590</v>
      </c>
      <c r="K416" s="28">
        <v>63.58</v>
      </c>
      <c r="L416" s="29">
        <f>SUM(NSE_BhavCopy[[#This Row],[ CLOSE_PRICE]]-NSE_BhavCopy[[#This Row],[ PREV_CLOSE]])/NSE_BhavCopy[[#This Row],[ PREV_CLOSE]]*100</f>
        <v>-1.2366884232222681</v>
      </c>
    </row>
    <row r="417" spans="1:12" hidden="1" x14ac:dyDescent="0.25">
      <c r="A417" s="28" t="s">
        <v>1716</v>
      </c>
      <c r="B417" s="28" t="s">
        <v>321</v>
      </c>
      <c r="C417" s="30">
        <v>44428</v>
      </c>
      <c r="D417" s="28">
        <v>17</v>
      </c>
      <c r="E417" s="28">
        <v>16.7</v>
      </c>
      <c r="F417" s="28">
        <v>18.7</v>
      </c>
      <c r="G417" s="28">
        <v>17.149999999999999</v>
      </c>
      <c r="H417" s="28">
        <v>17.29</v>
      </c>
      <c r="I417" s="28">
        <v>169070</v>
      </c>
      <c r="J417" s="28">
        <v>107343</v>
      </c>
      <c r="K417" s="28">
        <v>63.49</v>
      </c>
      <c r="L417" s="29">
        <f>SUM(NSE_BhavCopy[[#This Row],[ CLOSE_PRICE]]-NSE_BhavCopy[[#This Row],[ PREV_CLOSE]])/NSE_BhavCopy[[#This Row],[ PREV_CLOSE]]*100</f>
        <v>0.88235294117646224</v>
      </c>
    </row>
    <row r="418" spans="1:12" hidden="1" x14ac:dyDescent="0.25">
      <c r="A418" s="28" t="s">
        <v>597</v>
      </c>
      <c r="B418" s="28" t="s">
        <v>321</v>
      </c>
      <c r="C418" s="30">
        <v>44428</v>
      </c>
      <c r="D418" s="28">
        <v>15.55</v>
      </c>
      <c r="E418" s="28">
        <v>15</v>
      </c>
      <c r="F418" s="28">
        <v>15.55</v>
      </c>
      <c r="G418" s="28">
        <v>14.95</v>
      </c>
      <c r="H418" s="28">
        <v>15.15</v>
      </c>
      <c r="I418" s="28">
        <v>989190</v>
      </c>
      <c r="J418" s="28">
        <v>627825</v>
      </c>
      <c r="K418" s="28">
        <v>63.47</v>
      </c>
      <c r="L418" s="29">
        <f>SUM(NSE_BhavCopy[[#This Row],[ CLOSE_PRICE]]-NSE_BhavCopy[[#This Row],[ PREV_CLOSE]])/NSE_BhavCopy[[#This Row],[ PREV_CLOSE]]*100</f>
        <v>-3.8585209003215519</v>
      </c>
    </row>
    <row r="419" spans="1:12" hidden="1" x14ac:dyDescent="0.25">
      <c r="A419" s="28" t="s">
        <v>774</v>
      </c>
      <c r="B419" s="28" t="s">
        <v>321</v>
      </c>
      <c r="C419" s="30">
        <v>44428</v>
      </c>
      <c r="D419" s="28">
        <v>42.11</v>
      </c>
      <c r="E419" s="28">
        <v>42.11</v>
      </c>
      <c r="F419" s="28">
        <v>42.25</v>
      </c>
      <c r="G419" s="28">
        <v>42.02</v>
      </c>
      <c r="H419" s="28">
        <v>42.11</v>
      </c>
      <c r="I419" s="28">
        <v>295942</v>
      </c>
      <c r="J419" s="28">
        <v>187802</v>
      </c>
      <c r="K419" s="28">
        <v>63.46</v>
      </c>
      <c r="L419" s="29">
        <f>SUM(NSE_BhavCopy[[#This Row],[ CLOSE_PRICE]]-NSE_BhavCopy[[#This Row],[ PREV_CLOSE]])/NSE_BhavCopy[[#This Row],[ PREV_CLOSE]]*100</f>
        <v>-0.21372595582996035</v>
      </c>
    </row>
    <row r="420" spans="1:12" hidden="1" x14ac:dyDescent="0.25">
      <c r="A420" s="28" t="s">
        <v>1794</v>
      </c>
      <c r="B420" s="28" t="s">
        <v>321</v>
      </c>
      <c r="C420" s="30">
        <v>44428</v>
      </c>
      <c r="D420" s="28">
        <v>18.55</v>
      </c>
      <c r="E420" s="28">
        <v>18.149999999999999</v>
      </c>
      <c r="F420" s="28">
        <v>18.850000000000001</v>
      </c>
      <c r="G420" s="28">
        <v>17.95</v>
      </c>
      <c r="H420" s="28">
        <v>17.760000000000002</v>
      </c>
      <c r="I420" s="28">
        <v>122076</v>
      </c>
      <c r="J420" s="28">
        <v>77295</v>
      </c>
      <c r="K420" s="28">
        <v>63.32</v>
      </c>
      <c r="L420" s="29">
        <f>SUM(NSE_BhavCopy[[#This Row],[ CLOSE_PRICE]]-NSE_BhavCopy[[#This Row],[ PREV_CLOSE]])/NSE_BhavCopy[[#This Row],[ PREV_CLOSE]]*100</f>
        <v>-3.2345013477089029</v>
      </c>
    </row>
    <row r="421" spans="1:12" hidden="1" x14ac:dyDescent="0.25">
      <c r="A421" s="28" t="s">
        <v>418</v>
      </c>
      <c r="B421" s="28" t="s">
        <v>321</v>
      </c>
      <c r="C421" s="30">
        <v>44428</v>
      </c>
      <c r="D421" s="28">
        <v>162.9</v>
      </c>
      <c r="E421" s="28">
        <v>162</v>
      </c>
      <c r="F421" s="28">
        <v>162.85</v>
      </c>
      <c r="G421" s="28">
        <v>158.69999999999999</v>
      </c>
      <c r="H421" s="28">
        <v>159.94999999999999</v>
      </c>
      <c r="I421" s="28">
        <v>170544</v>
      </c>
      <c r="J421" s="28">
        <v>107967</v>
      </c>
      <c r="K421" s="28">
        <v>63.31</v>
      </c>
      <c r="L421" s="29">
        <f>SUM(NSE_BhavCopy[[#This Row],[ CLOSE_PRICE]]-NSE_BhavCopy[[#This Row],[ PREV_CLOSE]])/NSE_BhavCopy[[#This Row],[ PREV_CLOSE]]*100</f>
        <v>-2.5782688766114283</v>
      </c>
    </row>
    <row r="422" spans="1:12" hidden="1" x14ac:dyDescent="0.25">
      <c r="A422" s="28" t="s">
        <v>351</v>
      </c>
      <c r="B422" s="28" t="s">
        <v>321</v>
      </c>
      <c r="C422" s="30">
        <v>44428</v>
      </c>
      <c r="D422" s="28">
        <v>16.3</v>
      </c>
      <c r="E422" s="28">
        <v>16</v>
      </c>
      <c r="F422" s="28">
        <v>17.25</v>
      </c>
      <c r="G422" s="28">
        <v>16.600000000000001</v>
      </c>
      <c r="H422" s="28">
        <v>16.37</v>
      </c>
      <c r="I422" s="28">
        <v>91198</v>
      </c>
      <c r="J422" s="28">
        <v>57710</v>
      </c>
      <c r="K422" s="28">
        <v>63.28</v>
      </c>
      <c r="L422" s="29">
        <f>SUM(NSE_BhavCopy[[#This Row],[ CLOSE_PRICE]]-NSE_BhavCopy[[#This Row],[ PREV_CLOSE]])/NSE_BhavCopy[[#This Row],[ PREV_CLOSE]]*100</f>
        <v>1.8404907975460165</v>
      </c>
    </row>
    <row r="423" spans="1:12" hidden="1" x14ac:dyDescent="0.25">
      <c r="A423" s="28" t="s">
        <v>1249</v>
      </c>
      <c r="B423" s="28" t="s">
        <v>321</v>
      </c>
      <c r="C423" s="30">
        <v>44428</v>
      </c>
      <c r="D423" s="28">
        <v>79.05</v>
      </c>
      <c r="E423" s="28">
        <v>77</v>
      </c>
      <c r="F423" s="28">
        <v>80</v>
      </c>
      <c r="G423" s="28">
        <v>77.75</v>
      </c>
      <c r="H423" s="28">
        <v>77.209999999999994</v>
      </c>
      <c r="I423" s="28">
        <v>16855</v>
      </c>
      <c r="J423" s="28">
        <v>10658</v>
      </c>
      <c r="K423" s="28">
        <v>63.23</v>
      </c>
      <c r="L423" s="29">
        <f>SUM(NSE_BhavCopy[[#This Row],[ CLOSE_PRICE]]-NSE_BhavCopy[[#This Row],[ PREV_CLOSE]])/NSE_BhavCopy[[#This Row],[ PREV_CLOSE]]*100</f>
        <v>-1.6445287792536334</v>
      </c>
    </row>
    <row r="424" spans="1:12" hidden="1" x14ac:dyDescent="0.25">
      <c r="A424" s="28" t="s">
        <v>422</v>
      </c>
      <c r="B424" s="28" t="s">
        <v>321</v>
      </c>
      <c r="C424" s="30">
        <v>44428</v>
      </c>
      <c r="D424" s="28">
        <v>2071.15</v>
      </c>
      <c r="E424" s="28">
        <v>2050</v>
      </c>
      <c r="F424" s="28">
        <v>2074.85</v>
      </c>
      <c r="G424" s="28">
        <v>2061.4499999999998</v>
      </c>
      <c r="H424" s="28">
        <v>2059.7600000000002</v>
      </c>
      <c r="I424" s="28">
        <v>170390</v>
      </c>
      <c r="J424" s="28">
        <v>107624</v>
      </c>
      <c r="K424" s="28">
        <v>63.16</v>
      </c>
      <c r="L424" s="29">
        <f>SUM(NSE_BhavCopy[[#This Row],[ CLOSE_PRICE]]-NSE_BhavCopy[[#This Row],[ PREV_CLOSE]])/NSE_BhavCopy[[#This Row],[ PREV_CLOSE]]*100</f>
        <v>-0.46833884556889999</v>
      </c>
    </row>
    <row r="425" spans="1:12" hidden="1" x14ac:dyDescent="0.25">
      <c r="A425" s="28" t="s">
        <v>1232</v>
      </c>
      <c r="B425" s="28" t="s">
        <v>321</v>
      </c>
      <c r="C425" s="30">
        <v>44428</v>
      </c>
      <c r="D425" s="28">
        <v>67.2</v>
      </c>
      <c r="E425" s="28">
        <v>67.45</v>
      </c>
      <c r="F425" s="28">
        <v>67.5</v>
      </c>
      <c r="G425" s="28">
        <v>65.8</v>
      </c>
      <c r="H425" s="28">
        <v>66.2</v>
      </c>
      <c r="I425" s="28">
        <v>177095</v>
      </c>
      <c r="J425" s="28">
        <v>111809</v>
      </c>
      <c r="K425" s="28">
        <v>63.14</v>
      </c>
      <c r="L425" s="29">
        <f>SUM(NSE_BhavCopy[[#This Row],[ CLOSE_PRICE]]-NSE_BhavCopy[[#This Row],[ PREV_CLOSE]])/NSE_BhavCopy[[#This Row],[ PREV_CLOSE]]*100</f>
        <v>-2.0833333333333415</v>
      </c>
    </row>
    <row r="426" spans="1:12" hidden="1" x14ac:dyDescent="0.25">
      <c r="A426" s="28" t="s">
        <v>1741</v>
      </c>
      <c r="B426" s="28" t="s">
        <v>321</v>
      </c>
      <c r="C426" s="30">
        <v>44428</v>
      </c>
      <c r="D426" s="28">
        <v>28.25</v>
      </c>
      <c r="E426" s="28">
        <v>27</v>
      </c>
      <c r="F426" s="28">
        <v>28</v>
      </c>
      <c r="G426" s="28">
        <v>26.5</v>
      </c>
      <c r="H426" s="28">
        <v>26.55</v>
      </c>
      <c r="I426" s="28">
        <v>498079</v>
      </c>
      <c r="J426" s="28">
        <v>314497</v>
      </c>
      <c r="K426" s="28">
        <v>63.14</v>
      </c>
      <c r="L426" s="29">
        <f>SUM(NSE_BhavCopy[[#This Row],[ CLOSE_PRICE]]-NSE_BhavCopy[[#This Row],[ PREV_CLOSE]])/NSE_BhavCopy[[#This Row],[ PREV_CLOSE]]*100</f>
        <v>-6.1946902654867255</v>
      </c>
    </row>
    <row r="427" spans="1:12" hidden="1" x14ac:dyDescent="0.25">
      <c r="A427" s="28" t="s">
        <v>786</v>
      </c>
      <c r="B427" s="28" t="s">
        <v>321</v>
      </c>
      <c r="C427" s="30">
        <v>44428</v>
      </c>
      <c r="D427" s="28">
        <v>5605.15</v>
      </c>
      <c r="E427" s="28">
        <v>5507</v>
      </c>
      <c r="F427" s="28">
        <v>5650</v>
      </c>
      <c r="G427" s="28">
        <v>5388.15</v>
      </c>
      <c r="H427" s="28">
        <v>5433.42</v>
      </c>
      <c r="I427" s="28">
        <v>33358</v>
      </c>
      <c r="J427" s="28">
        <v>21057</v>
      </c>
      <c r="K427" s="28">
        <v>63.12</v>
      </c>
      <c r="L427" s="29">
        <f>SUM(NSE_BhavCopy[[#This Row],[ CLOSE_PRICE]]-NSE_BhavCopy[[#This Row],[ PREV_CLOSE]])/NSE_BhavCopy[[#This Row],[ PREV_CLOSE]]*100</f>
        <v>-3.8714396581715036</v>
      </c>
    </row>
    <row r="428" spans="1:12" hidden="1" x14ac:dyDescent="0.25">
      <c r="A428" s="28" t="s">
        <v>1436</v>
      </c>
      <c r="B428" s="28" t="s">
        <v>321</v>
      </c>
      <c r="C428" s="30">
        <v>44428</v>
      </c>
      <c r="D428" s="28">
        <v>115</v>
      </c>
      <c r="E428" s="28">
        <v>110.2</v>
      </c>
      <c r="F428" s="28">
        <v>119.1</v>
      </c>
      <c r="G428" s="28">
        <v>118.15</v>
      </c>
      <c r="H428" s="28">
        <v>116.26</v>
      </c>
      <c r="I428" s="28">
        <v>88147</v>
      </c>
      <c r="J428" s="28">
        <v>55543</v>
      </c>
      <c r="K428" s="28">
        <v>63.01</v>
      </c>
      <c r="L428" s="29">
        <f>SUM(NSE_BhavCopy[[#This Row],[ CLOSE_PRICE]]-NSE_BhavCopy[[#This Row],[ PREV_CLOSE]])/NSE_BhavCopy[[#This Row],[ PREV_CLOSE]]*100</f>
        <v>2.7391304347826138</v>
      </c>
    </row>
    <row r="429" spans="1:12" hidden="1" x14ac:dyDescent="0.25">
      <c r="A429" s="28" t="s">
        <v>870</v>
      </c>
      <c r="B429" s="28" t="s">
        <v>321</v>
      </c>
      <c r="C429" s="30">
        <v>44428</v>
      </c>
      <c r="D429" s="28">
        <v>1336</v>
      </c>
      <c r="E429" s="28">
        <v>1281</v>
      </c>
      <c r="F429" s="28">
        <v>1314.55</v>
      </c>
      <c r="G429" s="28">
        <v>1260.0999999999999</v>
      </c>
      <c r="H429" s="28">
        <v>1283.03</v>
      </c>
      <c r="I429" s="28">
        <v>39188</v>
      </c>
      <c r="J429" s="28">
        <v>24683</v>
      </c>
      <c r="K429" s="28">
        <v>62.99</v>
      </c>
      <c r="L429" s="29">
        <f>SUM(NSE_BhavCopy[[#This Row],[ CLOSE_PRICE]]-NSE_BhavCopy[[#This Row],[ PREV_CLOSE]])/NSE_BhavCopy[[#This Row],[ PREV_CLOSE]]*100</f>
        <v>-5.6811377245509043</v>
      </c>
    </row>
    <row r="430" spans="1:12" hidden="1" x14ac:dyDescent="0.25">
      <c r="A430" s="28" t="s">
        <v>408</v>
      </c>
      <c r="B430" s="28" t="s">
        <v>321</v>
      </c>
      <c r="C430" s="30">
        <v>44428</v>
      </c>
      <c r="D430" s="28">
        <v>94.05</v>
      </c>
      <c r="E430" s="28">
        <v>93</v>
      </c>
      <c r="F430" s="28">
        <v>93.9</v>
      </c>
      <c r="G430" s="28">
        <v>90.15</v>
      </c>
      <c r="H430" s="28">
        <v>92.01</v>
      </c>
      <c r="I430" s="28">
        <v>824445</v>
      </c>
      <c r="J430" s="28">
        <v>519213</v>
      </c>
      <c r="K430" s="28">
        <v>62.98</v>
      </c>
      <c r="L430" s="29">
        <f>SUM(NSE_BhavCopy[[#This Row],[ CLOSE_PRICE]]-NSE_BhavCopy[[#This Row],[ PREV_CLOSE]])/NSE_BhavCopy[[#This Row],[ PREV_CLOSE]]*100</f>
        <v>-4.1467304625199271</v>
      </c>
    </row>
    <row r="431" spans="1:12" hidden="1" x14ac:dyDescent="0.25">
      <c r="A431" s="28" t="s">
        <v>1136</v>
      </c>
      <c r="B431" s="28" t="s">
        <v>321</v>
      </c>
      <c r="C431" s="30">
        <v>44428</v>
      </c>
      <c r="D431" s="28">
        <v>16.75</v>
      </c>
      <c r="E431" s="28">
        <v>16.75</v>
      </c>
      <c r="F431" s="28">
        <v>17.55</v>
      </c>
      <c r="G431" s="28">
        <v>17.100000000000001</v>
      </c>
      <c r="H431" s="28">
        <v>16.899999999999999</v>
      </c>
      <c r="I431" s="28">
        <v>219793</v>
      </c>
      <c r="J431" s="28">
        <v>138426</v>
      </c>
      <c r="K431" s="28">
        <v>62.98</v>
      </c>
      <c r="L431" s="29">
        <f>SUM(NSE_BhavCopy[[#This Row],[ CLOSE_PRICE]]-NSE_BhavCopy[[#This Row],[ PREV_CLOSE]])/NSE_BhavCopy[[#This Row],[ PREV_CLOSE]]*100</f>
        <v>2.0895522388059784</v>
      </c>
    </row>
    <row r="432" spans="1:12" hidden="1" x14ac:dyDescent="0.25">
      <c r="A432" s="28" t="s">
        <v>478</v>
      </c>
      <c r="B432" s="28" t="s">
        <v>321</v>
      </c>
      <c r="C432" s="30">
        <v>44428</v>
      </c>
      <c r="D432" s="28">
        <v>241.5</v>
      </c>
      <c r="E432" s="28">
        <v>238.5</v>
      </c>
      <c r="F432" s="28">
        <v>244</v>
      </c>
      <c r="G432" s="28">
        <v>240.95</v>
      </c>
      <c r="H432" s="28">
        <v>241.19</v>
      </c>
      <c r="I432" s="28">
        <v>54309</v>
      </c>
      <c r="J432" s="28">
        <v>34199</v>
      </c>
      <c r="K432" s="28">
        <v>62.97</v>
      </c>
      <c r="L432" s="29">
        <f>SUM(NSE_BhavCopy[[#This Row],[ CLOSE_PRICE]]-NSE_BhavCopy[[#This Row],[ PREV_CLOSE]])/NSE_BhavCopy[[#This Row],[ PREV_CLOSE]]*100</f>
        <v>-0.22774327122153681</v>
      </c>
    </row>
    <row r="433" spans="1:12" hidden="1" x14ac:dyDescent="0.25">
      <c r="A433" s="28" t="s">
        <v>947</v>
      </c>
      <c r="B433" s="28" t="s">
        <v>321</v>
      </c>
      <c r="C433" s="30">
        <v>44428</v>
      </c>
      <c r="D433" s="28">
        <v>234.55</v>
      </c>
      <c r="E433" s="28">
        <v>234</v>
      </c>
      <c r="F433" s="28">
        <v>234</v>
      </c>
      <c r="G433" s="28">
        <v>221.9</v>
      </c>
      <c r="H433" s="28">
        <v>224.68</v>
      </c>
      <c r="I433" s="28">
        <v>24668</v>
      </c>
      <c r="J433" s="28">
        <v>15524</v>
      </c>
      <c r="K433" s="28">
        <v>62.93</v>
      </c>
      <c r="L433" s="29">
        <f>SUM(NSE_BhavCopy[[#This Row],[ CLOSE_PRICE]]-NSE_BhavCopy[[#This Row],[ PREV_CLOSE]])/NSE_BhavCopy[[#This Row],[ PREV_CLOSE]]*100</f>
        <v>-5.3933063312726519</v>
      </c>
    </row>
    <row r="434" spans="1:12" hidden="1" x14ac:dyDescent="0.25">
      <c r="A434" s="28" t="s">
        <v>1551</v>
      </c>
      <c r="B434" s="28" t="s">
        <v>321</v>
      </c>
      <c r="C434" s="30">
        <v>44428</v>
      </c>
      <c r="D434" s="28">
        <v>72.45</v>
      </c>
      <c r="E434" s="28">
        <v>70.900000000000006</v>
      </c>
      <c r="F434" s="28">
        <v>70.900000000000006</v>
      </c>
      <c r="G434" s="28">
        <v>65.849999999999994</v>
      </c>
      <c r="H434" s="28">
        <v>68.06</v>
      </c>
      <c r="I434" s="28">
        <v>2452925</v>
      </c>
      <c r="J434" s="28">
        <v>1543627</v>
      </c>
      <c r="K434" s="28">
        <v>62.93</v>
      </c>
      <c r="L434" s="29">
        <f>SUM(NSE_BhavCopy[[#This Row],[ CLOSE_PRICE]]-NSE_BhavCopy[[#This Row],[ PREV_CLOSE]])/NSE_BhavCopy[[#This Row],[ PREV_CLOSE]]*100</f>
        <v>-9.1097308488612949</v>
      </c>
    </row>
    <row r="435" spans="1:12" hidden="1" x14ac:dyDescent="0.25">
      <c r="A435" s="28" t="s">
        <v>1026</v>
      </c>
      <c r="B435" s="28" t="s">
        <v>321</v>
      </c>
      <c r="C435" s="30">
        <v>44428</v>
      </c>
      <c r="D435" s="28">
        <v>182.85</v>
      </c>
      <c r="E435" s="28">
        <v>180.5</v>
      </c>
      <c r="F435" s="28">
        <v>185.2</v>
      </c>
      <c r="G435" s="28">
        <v>176.45</v>
      </c>
      <c r="H435" s="28">
        <v>178.99</v>
      </c>
      <c r="I435" s="28">
        <v>18076</v>
      </c>
      <c r="J435" s="28">
        <v>11372</v>
      </c>
      <c r="K435" s="28">
        <v>62.91</v>
      </c>
      <c r="L435" s="29">
        <f>SUM(NSE_BhavCopy[[#This Row],[ CLOSE_PRICE]]-NSE_BhavCopy[[#This Row],[ PREV_CLOSE]])/NSE_BhavCopy[[#This Row],[ PREV_CLOSE]]*100</f>
        <v>-3.5001367240907881</v>
      </c>
    </row>
    <row r="436" spans="1:12" hidden="1" x14ac:dyDescent="0.25">
      <c r="A436" s="28" t="s">
        <v>747</v>
      </c>
      <c r="B436" s="28" t="s">
        <v>321</v>
      </c>
      <c r="C436" s="30">
        <v>44428</v>
      </c>
      <c r="D436" s="28">
        <v>1033.6500000000001</v>
      </c>
      <c r="E436" s="28">
        <v>1022.5</v>
      </c>
      <c r="F436" s="28">
        <v>1033</v>
      </c>
      <c r="G436" s="28">
        <v>1026.95</v>
      </c>
      <c r="H436" s="28">
        <v>1021.29</v>
      </c>
      <c r="I436" s="28">
        <v>291</v>
      </c>
      <c r="J436" s="28">
        <v>183</v>
      </c>
      <c r="K436" s="28">
        <v>62.89</v>
      </c>
      <c r="L436" s="29">
        <f>SUM(NSE_BhavCopy[[#This Row],[ CLOSE_PRICE]]-NSE_BhavCopy[[#This Row],[ PREV_CLOSE]])/NSE_BhavCopy[[#This Row],[ PREV_CLOSE]]*100</f>
        <v>-0.64818845837566341</v>
      </c>
    </row>
    <row r="437" spans="1:12" hidden="1" x14ac:dyDescent="0.25">
      <c r="A437" s="28" t="s">
        <v>1761</v>
      </c>
      <c r="B437" s="28" t="s">
        <v>321</v>
      </c>
      <c r="C437" s="30">
        <v>44428</v>
      </c>
      <c r="D437" s="28">
        <v>1141.5999999999999</v>
      </c>
      <c r="E437" s="28">
        <v>1130</v>
      </c>
      <c r="F437" s="28">
        <v>1137.1500000000001</v>
      </c>
      <c r="G437" s="28">
        <v>1089.9000000000001</v>
      </c>
      <c r="H437" s="28">
        <v>1101.58</v>
      </c>
      <c r="I437" s="28">
        <v>11261</v>
      </c>
      <c r="J437" s="28">
        <v>7082</v>
      </c>
      <c r="K437" s="28">
        <v>62.89</v>
      </c>
      <c r="L437" s="29">
        <f>SUM(NSE_BhavCopy[[#This Row],[ CLOSE_PRICE]]-NSE_BhavCopy[[#This Row],[ PREV_CLOSE]])/NSE_BhavCopy[[#This Row],[ PREV_CLOSE]]*100</f>
        <v>-4.5287316047652268</v>
      </c>
    </row>
    <row r="438" spans="1:12" hidden="1" x14ac:dyDescent="0.25">
      <c r="A438" s="28" t="s">
        <v>1097</v>
      </c>
      <c r="B438" s="28" t="s">
        <v>321</v>
      </c>
      <c r="C438" s="30">
        <v>44428</v>
      </c>
      <c r="D438" s="28">
        <v>28.98</v>
      </c>
      <c r="E438" s="28">
        <v>29.45</v>
      </c>
      <c r="F438" s="28">
        <v>29.45</v>
      </c>
      <c r="G438" s="28">
        <v>28.92</v>
      </c>
      <c r="H438" s="28">
        <v>28.88</v>
      </c>
      <c r="I438" s="28">
        <v>88024</v>
      </c>
      <c r="J438" s="28">
        <v>55330</v>
      </c>
      <c r="K438" s="28">
        <v>62.86</v>
      </c>
      <c r="L438" s="29">
        <f>SUM(NSE_BhavCopy[[#This Row],[ CLOSE_PRICE]]-NSE_BhavCopy[[#This Row],[ PREV_CLOSE]])/NSE_BhavCopy[[#This Row],[ PREV_CLOSE]]*100</f>
        <v>-0.20703933747411568</v>
      </c>
    </row>
    <row r="439" spans="1:12" hidden="1" x14ac:dyDescent="0.25">
      <c r="A439" s="28" t="s">
        <v>827</v>
      </c>
      <c r="B439" s="28" t="s">
        <v>321</v>
      </c>
      <c r="C439" s="30">
        <v>44428</v>
      </c>
      <c r="D439" s="28">
        <v>177.61</v>
      </c>
      <c r="E439" s="28">
        <v>204.3</v>
      </c>
      <c r="F439" s="28">
        <v>204.3</v>
      </c>
      <c r="G439" s="28">
        <v>176.32</v>
      </c>
      <c r="H439" s="28">
        <v>176.4</v>
      </c>
      <c r="I439" s="28">
        <v>68442</v>
      </c>
      <c r="J439" s="28">
        <v>43012</v>
      </c>
      <c r="K439" s="28">
        <v>62.84</v>
      </c>
      <c r="L439" s="29">
        <f>SUM(NSE_BhavCopy[[#This Row],[ CLOSE_PRICE]]-NSE_BhavCopy[[#This Row],[ PREV_CLOSE]])/NSE_BhavCopy[[#This Row],[ PREV_CLOSE]]*100</f>
        <v>-0.72631045549238238</v>
      </c>
    </row>
    <row r="440" spans="1:12" hidden="1" x14ac:dyDescent="0.25">
      <c r="A440" s="28" t="s">
        <v>1020</v>
      </c>
      <c r="B440" s="28" t="s">
        <v>321</v>
      </c>
      <c r="C440" s="30">
        <v>44428</v>
      </c>
      <c r="D440" s="28">
        <v>147.44999999999999</v>
      </c>
      <c r="E440" s="28">
        <v>144.94999999999999</v>
      </c>
      <c r="F440" s="28">
        <v>147.1</v>
      </c>
      <c r="G440" s="28">
        <v>140.5</v>
      </c>
      <c r="H440" s="28">
        <v>142.38999999999999</v>
      </c>
      <c r="I440" s="28">
        <v>93450</v>
      </c>
      <c r="J440" s="28">
        <v>58702</v>
      </c>
      <c r="K440" s="28">
        <v>62.82</v>
      </c>
      <c r="L440" s="29">
        <f>SUM(NSE_BhavCopy[[#This Row],[ CLOSE_PRICE]]-NSE_BhavCopy[[#This Row],[ PREV_CLOSE]])/NSE_BhavCopy[[#This Row],[ PREV_CLOSE]]*100</f>
        <v>-4.7134621905730683</v>
      </c>
    </row>
    <row r="441" spans="1:12" hidden="1" x14ac:dyDescent="0.25">
      <c r="A441" s="28" t="s">
        <v>1402</v>
      </c>
      <c r="B441" s="28" t="s">
        <v>321</v>
      </c>
      <c r="C441" s="30">
        <v>44428</v>
      </c>
      <c r="D441" s="28">
        <v>75.400000000000006</v>
      </c>
      <c r="E441" s="28">
        <v>74.849999999999994</v>
      </c>
      <c r="F441" s="28">
        <v>74.849999999999994</v>
      </c>
      <c r="G441" s="28">
        <v>73.55</v>
      </c>
      <c r="H441" s="28">
        <v>73.94</v>
      </c>
      <c r="I441" s="28">
        <v>265721</v>
      </c>
      <c r="J441" s="28">
        <v>166822</v>
      </c>
      <c r="K441" s="28">
        <v>62.78</v>
      </c>
      <c r="L441" s="29">
        <f>SUM(NSE_BhavCopy[[#This Row],[ CLOSE_PRICE]]-NSE_BhavCopy[[#This Row],[ PREV_CLOSE]])/NSE_BhavCopy[[#This Row],[ PREV_CLOSE]]*100</f>
        <v>-2.4535809018567751</v>
      </c>
    </row>
    <row r="442" spans="1:12" hidden="1" x14ac:dyDescent="0.25">
      <c r="A442" s="28" t="s">
        <v>720</v>
      </c>
      <c r="B442" s="28" t="s">
        <v>321</v>
      </c>
      <c r="C442" s="30">
        <v>44428</v>
      </c>
      <c r="D442" s="28">
        <v>691.95</v>
      </c>
      <c r="E442" s="28">
        <v>691.85</v>
      </c>
      <c r="F442" s="28">
        <v>697.4</v>
      </c>
      <c r="G442" s="28">
        <v>674.3</v>
      </c>
      <c r="H442" s="28">
        <v>681.12</v>
      </c>
      <c r="I442" s="28">
        <v>105246</v>
      </c>
      <c r="J442" s="28">
        <v>66007</v>
      </c>
      <c r="K442" s="28">
        <v>62.72</v>
      </c>
      <c r="L442" s="29">
        <f>SUM(NSE_BhavCopy[[#This Row],[ CLOSE_PRICE]]-NSE_BhavCopy[[#This Row],[ PREV_CLOSE]])/NSE_BhavCopy[[#This Row],[ PREV_CLOSE]]*100</f>
        <v>-2.5507623383192559</v>
      </c>
    </row>
    <row r="443" spans="1:12" hidden="1" x14ac:dyDescent="0.25">
      <c r="A443" s="28" t="s">
        <v>671</v>
      </c>
      <c r="B443" s="28" t="s">
        <v>321</v>
      </c>
      <c r="C443" s="30">
        <v>44428</v>
      </c>
      <c r="D443" s="28">
        <v>2840.9</v>
      </c>
      <c r="E443" s="28">
        <v>2843.6</v>
      </c>
      <c r="F443" s="28">
        <v>2852.2</v>
      </c>
      <c r="G443" s="28">
        <v>2841.7</v>
      </c>
      <c r="H443" s="28">
        <v>2842.59</v>
      </c>
      <c r="I443" s="28">
        <v>25778</v>
      </c>
      <c r="J443" s="28">
        <v>16150</v>
      </c>
      <c r="K443" s="28">
        <v>62.65</v>
      </c>
      <c r="L443" s="29">
        <f>SUM(NSE_BhavCopy[[#This Row],[ CLOSE_PRICE]]-NSE_BhavCopy[[#This Row],[ PREV_CLOSE]])/NSE_BhavCopy[[#This Row],[ PREV_CLOSE]]*100</f>
        <v>2.8160090112278751E-2</v>
      </c>
    </row>
    <row r="444" spans="1:12" hidden="1" x14ac:dyDescent="0.25">
      <c r="A444" s="28" t="s">
        <v>1413</v>
      </c>
      <c r="B444" s="28" t="s">
        <v>321</v>
      </c>
      <c r="C444" s="30">
        <v>44428</v>
      </c>
      <c r="D444" s="28">
        <v>112.65</v>
      </c>
      <c r="E444" s="28">
        <v>116.8</v>
      </c>
      <c r="F444" s="28">
        <v>116.8</v>
      </c>
      <c r="G444" s="28">
        <v>107.6</v>
      </c>
      <c r="H444" s="28">
        <v>109.6</v>
      </c>
      <c r="I444" s="28">
        <v>29286</v>
      </c>
      <c r="J444" s="28">
        <v>18345</v>
      </c>
      <c r="K444" s="28">
        <v>62.64</v>
      </c>
      <c r="L444" s="29">
        <f>SUM(NSE_BhavCopy[[#This Row],[ CLOSE_PRICE]]-NSE_BhavCopy[[#This Row],[ PREV_CLOSE]])/NSE_BhavCopy[[#This Row],[ PREV_CLOSE]]*100</f>
        <v>-4.4829116733244661</v>
      </c>
    </row>
    <row r="445" spans="1:12" hidden="1" x14ac:dyDescent="0.25">
      <c r="A445" s="28" t="s">
        <v>1725</v>
      </c>
      <c r="B445" s="28" t="s">
        <v>321</v>
      </c>
      <c r="C445" s="30">
        <v>44428</v>
      </c>
      <c r="D445" s="28">
        <v>16.899999999999999</v>
      </c>
      <c r="E445" s="28">
        <v>17.649999999999999</v>
      </c>
      <c r="F445" s="28">
        <v>17.649999999999999</v>
      </c>
      <c r="G445" s="28">
        <v>16.55</v>
      </c>
      <c r="H445" s="28">
        <v>16.64</v>
      </c>
      <c r="I445" s="28">
        <v>33564</v>
      </c>
      <c r="J445" s="28">
        <v>21017</v>
      </c>
      <c r="K445" s="28">
        <v>62.62</v>
      </c>
      <c r="L445" s="29">
        <f>SUM(NSE_BhavCopy[[#This Row],[ CLOSE_PRICE]]-NSE_BhavCopy[[#This Row],[ PREV_CLOSE]])/NSE_BhavCopy[[#This Row],[ PREV_CLOSE]]*100</f>
        <v>-2.0710059171597508</v>
      </c>
    </row>
    <row r="446" spans="1:12" hidden="1" x14ac:dyDescent="0.25">
      <c r="A446" s="28" t="s">
        <v>1546</v>
      </c>
      <c r="B446" s="28" t="s">
        <v>321</v>
      </c>
      <c r="C446" s="30">
        <v>44428</v>
      </c>
      <c r="D446" s="28">
        <v>402.5</v>
      </c>
      <c r="E446" s="28">
        <v>399.05</v>
      </c>
      <c r="F446" s="28">
        <v>404.85</v>
      </c>
      <c r="G446" s="28">
        <v>391.85</v>
      </c>
      <c r="H446" s="28">
        <v>394.81</v>
      </c>
      <c r="I446" s="28">
        <v>3365</v>
      </c>
      <c r="J446" s="28">
        <v>2107</v>
      </c>
      <c r="K446" s="28">
        <v>62.62</v>
      </c>
      <c r="L446" s="29">
        <f>SUM(NSE_BhavCopy[[#This Row],[ CLOSE_PRICE]]-NSE_BhavCopy[[#This Row],[ PREV_CLOSE]])/NSE_BhavCopy[[#This Row],[ PREV_CLOSE]]*100</f>
        <v>-2.6459627329192488</v>
      </c>
    </row>
    <row r="447" spans="1:12" hidden="1" x14ac:dyDescent="0.25">
      <c r="A447" s="28" t="s">
        <v>1496</v>
      </c>
      <c r="B447" s="28" t="s">
        <v>321</v>
      </c>
      <c r="C447" s="30">
        <v>44428</v>
      </c>
      <c r="D447" s="28">
        <v>50.7</v>
      </c>
      <c r="E447" s="28">
        <v>50.5</v>
      </c>
      <c r="F447" s="28">
        <v>50.5</v>
      </c>
      <c r="G447" s="28">
        <v>48.2</v>
      </c>
      <c r="H447" s="28">
        <v>48.8</v>
      </c>
      <c r="I447" s="28">
        <v>228747</v>
      </c>
      <c r="J447" s="28">
        <v>143205</v>
      </c>
      <c r="K447" s="28">
        <v>62.6</v>
      </c>
      <c r="L447" s="29">
        <f>SUM(NSE_BhavCopy[[#This Row],[ CLOSE_PRICE]]-NSE_BhavCopy[[#This Row],[ PREV_CLOSE]])/NSE_BhavCopy[[#This Row],[ PREV_CLOSE]]*100</f>
        <v>-4.9309664694280073</v>
      </c>
    </row>
    <row r="448" spans="1:12" hidden="1" x14ac:dyDescent="0.25">
      <c r="A448" s="28" t="s">
        <v>356</v>
      </c>
      <c r="B448" s="28" t="s">
        <v>321</v>
      </c>
      <c r="C448" s="30">
        <v>44428</v>
      </c>
      <c r="D448" s="28">
        <v>1990.25</v>
      </c>
      <c r="E448" s="28">
        <v>1995</v>
      </c>
      <c r="F448" s="28">
        <v>1995</v>
      </c>
      <c r="G448" s="28">
        <v>1960.1</v>
      </c>
      <c r="H448" s="28">
        <v>1955.2</v>
      </c>
      <c r="I448" s="28">
        <v>91109</v>
      </c>
      <c r="J448" s="28">
        <v>57003</v>
      </c>
      <c r="K448" s="28">
        <v>62.57</v>
      </c>
      <c r="L448" s="29">
        <f>SUM(NSE_BhavCopy[[#This Row],[ CLOSE_PRICE]]-NSE_BhavCopy[[#This Row],[ PREV_CLOSE]])/NSE_BhavCopy[[#This Row],[ PREV_CLOSE]]*100</f>
        <v>-1.51488506469037</v>
      </c>
    </row>
    <row r="449" spans="1:12" hidden="1" x14ac:dyDescent="0.25">
      <c r="A449" s="28" t="s">
        <v>877</v>
      </c>
      <c r="B449" s="28" t="s">
        <v>321</v>
      </c>
      <c r="C449" s="30">
        <v>44428</v>
      </c>
      <c r="D449" s="28">
        <v>652.79999999999995</v>
      </c>
      <c r="E449" s="28">
        <v>645</v>
      </c>
      <c r="F449" s="28">
        <v>650</v>
      </c>
      <c r="G449" s="28">
        <v>621.9</v>
      </c>
      <c r="H449" s="28">
        <v>628.95000000000005</v>
      </c>
      <c r="I449" s="28">
        <v>292113</v>
      </c>
      <c r="J449" s="28">
        <v>182732</v>
      </c>
      <c r="K449" s="28">
        <v>62.56</v>
      </c>
      <c r="L449" s="29">
        <f>SUM(NSE_BhavCopy[[#This Row],[ CLOSE_PRICE]]-NSE_BhavCopy[[#This Row],[ PREV_CLOSE]])/NSE_BhavCopy[[#This Row],[ PREV_CLOSE]]*100</f>
        <v>-4.7334558823529385</v>
      </c>
    </row>
    <row r="450" spans="1:12" hidden="1" x14ac:dyDescent="0.25">
      <c r="A450" s="28" t="s">
        <v>17</v>
      </c>
      <c r="B450" s="28" t="s">
        <v>321</v>
      </c>
      <c r="C450" s="30">
        <v>44428</v>
      </c>
      <c r="D450" s="28">
        <v>1733.45</v>
      </c>
      <c r="E450" s="28">
        <v>1716.1</v>
      </c>
      <c r="F450" s="28">
        <v>1745</v>
      </c>
      <c r="G450" s="28">
        <v>1732.95</v>
      </c>
      <c r="H450" s="28">
        <v>1734.19</v>
      </c>
      <c r="I450" s="28">
        <v>6206972</v>
      </c>
      <c r="J450" s="28">
        <v>3883003</v>
      </c>
      <c r="K450" s="28">
        <v>62.56</v>
      </c>
      <c r="L450" s="29">
        <f>SUM(NSE_BhavCopy[[#This Row],[ CLOSE_PRICE]]-NSE_BhavCopy[[#This Row],[ PREV_CLOSE]])/NSE_BhavCopy[[#This Row],[ PREV_CLOSE]]*100</f>
        <v>-2.8844212408780174E-2</v>
      </c>
    </row>
    <row r="451" spans="1:12" hidden="1" x14ac:dyDescent="0.25">
      <c r="A451" s="28" t="s">
        <v>1505</v>
      </c>
      <c r="B451" s="28" t="s">
        <v>321</v>
      </c>
      <c r="C451" s="30">
        <v>44428</v>
      </c>
      <c r="D451" s="28">
        <v>776</v>
      </c>
      <c r="E451" s="28">
        <v>760.8</v>
      </c>
      <c r="F451" s="28">
        <v>801.45</v>
      </c>
      <c r="G451" s="28">
        <v>764.55</v>
      </c>
      <c r="H451" s="28">
        <v>774.58</v>
      </c>
      <c r="I451" s="28">
        <v>36883</v>
      </c>
      <c r="J451" s="28">
        <v>23065</v>
      </c>
      <c r="K451" s="28">
        <v>62.54</v>
      </c>
      <c r="L451" s="29">
        <f>SUM(NSE_BhavCopy[[#This Row],[ CLOSE_PRICE]]-NSE_BhavCopy[[#This Row],[ PREV_CLOSE]])/NSE_BhavCopy[[#This Row],[ PREV_CLOSE]]*100</f>
        <v>-1.4755154639175316</v>
      </c>
    </row>
    <row r="452" spans="1:12" hidden="1" x14ac:dyDescent="0.25">
      <c r="A452" s="28" t="s">
        <v>396</v>
      </c>
      <c r="B452" s="28" t="s">
        <v>321</v>
      </c>
      <c r="C452" s="30">
        <v>44428</v>
      </c>
      <c r="D452" s="28">
        <v>108.25</v>
      </c>
      <c r="E452" s="28">
        <v>108</v>
      </c>
      <c r="F452" s="28">
        <v>108</v>
      </c>
      <c r="G452" s="28">
        <v>105.2</v>
      </c>
      <c r="H452" s="28">
        <v>106.04</v>
      </c>
      <c r="I452" s="28">
        <v>76590</v>
      </c>
      <c r="J452" s="28">
        <v>47891</v>
      </c>
      <c r="K452" s="28">
        <v>62.53</v>
      </c>
      <c r="L452" s="29">
        <f>SUM(NSE_BhavCopy[[#This Row],[ CLOSE_PRICE]]-NSE_BhavCopy[[#This Row],[ PREV_CLOSE]])/NSE_BhavCopy[[#This Row],[ PREV_CLOSE]]*100</f>
        <v>-2.8175519630484964</v>
      </c>
    </row>
    <row r="453" spans="1:12" hidden="1" x14ac:dyDescent="0.25">
      <c r="A453" s="28" t="s">
        <v>686</v>
      </c>
      <c r="B453" s="28" t="s">
        <v>321</v>
      </c>
      <c r="C453" s="30">
        <v>44428</v>
      </c>
      <c r="D453" s="28">
        <v>57</v>
      </c>
      <c r="E453" s="28">
        <v>55.95</v>
      </c>
      <c r="F453" s="28">
        <v>57.6</v>
      </c>
      <c r="G453" s="28">
        <v>54</v>
      </c>
      <c r="H453" s="28">
        <v>55.2</v>
      </c>
      <c r="I453" s="28">
        <v>91628</v>
      </c>
      <c r="J453" s="28">
        <v>57261</v>
      </c>
      <c r="K453" s="28">
        <v>62.49</v>
      </c>
      <c r="L453" s="29">
        <f>SUM(NSE_BhavCopy[[#This Row],[ CLOSE_PRICE]]-NSE_BhavCopy[[#This Row],[ PREV_CLOSE]])/NSE_BhavCopy[[#This Row],[ PREV_CLOSE]]*100</f>
        <v>-5.2631578947368416</v>
      </c>
    </row>
    <row r="454" spans="1:12" hidden="1" x14ac:dyDescent="0.25">
      <c r="A454" s="28" t="s">
        <v>760</v>
      </c>
      <c r="B454" s="28" t="s">
        <v>321</v>
      </c>
      <c r="C454" s="30">
        <v>44428</v>
      </c>
      <c r="D454" s="28">
        <v>54.5</v>
      </c>
      <c r="E454" s="28">
        <v>54</v>
      </c>
      <c r="F454" s="28">
        <v>55.45</v>
      </c>
      <c r="G454" s="28">
        <v>52.7</v>
      </c>
      <c r="H454" s="28">
        <v>53.25</v>
      </c>
      <c r="I454" s="28">
        <v>52063</v>
      </c>
      <c r="J454" s="28">
        <v>32521</v>
      </c>
      <c r="K454" s="28">
        <v>62.46</v>
      </c>
      <c r="L454" s="29">
        <f>SUM(NSE_BhavCopy[[#This Row],[ CLOSE_PRICE]]-NSE_BhavCopy[[#This Row],[ PREV_CLOSE]])/NSE_BhavCopy[[#This Row],[ PREV_CLOSE]]*100</f>
        <v>-3.3027522935779761</v>
      </c>
    </row>
    <row r="455" spans="1:12" hidden="1" x14ac:dyDescent="0.25">
      <c r="A455" s="28" t="s">
        <v>612</v>
      </c>
      <c r="B455" s="28" t="s">
        <v>321</v>
      </c>
      <c r="C455" s="30">
        <v>44428</v>
      </c>
      <c r="D455" s="28">
        <v>209</v>
      </c>
      <c r="E455" s="28">
        <v>201.4</v>
      </c>
      <c r="F455" s="28">
        <v>208.65</v>
      </c>
      <c r="G455" s="28">
        <v>198.65</v>
      </c>
      <c r="H455" s="28">
        <v>201.46</v>
      </c>
      <c r="I455" s="28">
        <v>11719</v>
      </c>
      <c r="J455" s="28">
        <v>7314</v>
      </c>
      <c r="K455" s="28">
        <v>62.41</v>
      </c>
      <c r="L455" s="29">
        <f>SUM(NSE_BhavCopy[[#This Row],[ CLOSE_PRICE]]-NSE_BhavCopy[[#This Row],[ PREV_CLOSE]])/NSE_BhavCopy[[#This Row],[ PREV_CLOSE]]*100</f>
        <v>-4.9521531100478438</v>
      </c>
    </row>
    <row r="456" spans="1:12" hidden="1" x14ac:dyDescent="0.25">
      <c r="A456" s="28" t="s">
        <v>1415</v>
      </c>
      <c r="B456" s="28" t="s">
        <v>321</v>
      </c>
      <c r="C456" s="30">
        <v>44428</v>
      </c>
      <c r="D456" s="28">
        <v>9.5500000000000007</v>
      </c>
      <c r="E456" s="28">
        <v>9.5500000000000007</v>
      </c>
      <c r="F456" s="28">
        <v>9.5500000000000007</v>
      </c>
      <c r="G456" s="28">
        <v>9.35</v>
      </c>
      <c r="H456" s="28">
        <v>9.43</v>
      </c>
      <c r="I456" s="28">
        <v>7057471</v>
      </c>
      <c r="J456" s="28">
        <v>4404625</v>
      </c>
      <c r="K456" s="28">
        <v>62.41</v>
      </c>
      <c r="L456" s="29">
        <f>SUM(NSE_BhavCopy[[#This Row],[ CLOSE_PRICE]]-NSE_BhavCopy[[#This Row],[ PREV_CLOSE]])/NSE_BhavCopy[[#This Row],[ PREV_CLOSE]]*100</f>
        <v>-2.0942408376963462</v>
      </c>
    </row>
    <row r="457" spans="1:12" hidden="1" x14ac:dyDescent="0.25">
      <c r="A457" s="28" t="s">
        <v>946</v>
      </c>
      <c r="B457" s="28" t="s">
        <v>321</v>
      </c>
      <c r="C457" s="30">
        <v>44428</v>
      </c>
      <c r="D457" s="28">
        <v>145.85</v>
      </c>
      <c r="E457" s="28">
        <v>139.6</v>
      </c>
      <c r="F457" s="28">
        <v>143.80000000000001</v>
      </c>
      <c r="G457" s="28">
        <v>138.6</v>
      </c>
      <c r="H457" s="28">
        <v>139.22</v>
      </c>
      <c r="I457" s="28">
        <v>37031</v>
      </c>
      <c r="J457" s="28">
        <v>23109</v>
      </c>
      <c r="K457" s="28">
        <v>62.4</v>
      </c>
      <c r="L457" s="29">
        <f>SUM(NSE_BhavCopy[[#This Row],[ CLOSE_PRICE]]-NSE_BhavCopy[[#This Row],[ PREV_CLOSE]])/NSE_BhavCopy[[#This Row],[ PREV_CLOSE]]*100</f>
        <v>-4.9708604730887904</v>
      </c>
    </row>
    <row r="458" spans="1:12" hidden="1" x14ac:dyDescent="0.25">
      <c r="A458" s="28" t="s">
        <v>728</v>
      </c>
      <c r="B458" s="28" t="s">
        <v>321</v>
      </c>
      <c r="C458" s="30">
        <v>44428</v>
      </c>
      <c r="D458" s="28">
        <v>209.75</v>
      </c>
      <c r="E458" s="28">
        <v>211</v>
      </c>
      <c r="F458" s="28">
        <v>211</v>
      </c>
      <c r="G458" s="28">
        <v>199.3</v>
      </c>
      <c r="H458" s="28">
        <v>203.03</v>
      </c>
      <c r="I458" s="28">
        <v>162094</v>
      </c>
      <c r="J458" s="28">
        <v>100906</v>
      </c>
      <c r="K458" s="28">
        <v>62.25</v>
      </c>
      <c r="L458" s="29">
        <f>SUM(NSE_BhavCopy[[#This Row],[ CLOSE_PRICE]]-NSE_BhavCopy[[#This Row],[ PREV_CLOSE]])/NSE_BhavCopy[[#This Row],[ PREV_CLOSE]]*100</f>
        <v>-4.9821215733015443</v>
      </c>
    </row>
    <row r="459" spans="1:12" hidden="1" x14ac:dyDescent="0.25">
      <c r="A459" s="28" t="s">
        <v>1426</v>
      </c>
      <c r="B459" s="28" t="s">
        <v>321</v>
      </c>
      <c r="C459" s="30">
        <v>44428</v>
      </c>
      <c r="D459" s="28">
        <v>311.89999999999998</v>
      </c>
      <c r="E459" s="28">
        <v>313.95</v>
      </c>
      <c r="F459" s="28">
        <v>313.95</v>
      </c>
      <c r="G459" s="28">
        <v>298.89999999999998</v>
      </c>
      <c r="H459" s="28">
        <v>302.22000000000003</v>
      </c>
      <c r="I459" s="28">
        <v>28021</v>
      </c>
      <c r="J459" s="28">
        <v>17444</v>
      </c>
      <c r="K459" s="28">
        <v>62.25</v>
      </c>
      <c r="L459" s="29">
        <f>SUM(NSE_BhavCopy[[#This Row],[ CLOSE_PRICE]]-NSE_BhavCopy[[#This Row],[ PREV_CLOSE]])/NSE_BhavCopy[[#This Row],[ PREV_CLOSE]]*100</f>
        <v>-4.1680025649246559</v>
      </c>
    </row>
    <row r="460" spans="1:12" hidden="1" x14ac:dyDescent="0.25">
      <c r="A460" s="28" t="s">
        <v>636</v>
      </c>
      <c r="B460" s="28" t="s">
        <v>321</v>
      </c>
      <c r="C460" s="30">
        <v>44428</v>
      </c>
      <c r="D460" s="28">
        <v>205.1</v>
      </c>
      <c r="E460" s="28">
        <v>201.8</v>
      </c>
      <c r="F460" s="28">
        <v>205.1</v>
      </c>
      <c r="G460" s="28">
        <v>201.45</v>
      </c>
      <c r="H460" s="28">
        <v>201.43</v>
      </c>
      <c r="I460" s="28">
        <v>171048</v>
      </c>
      <c r="J460" s="28">
        <v>106359</v>
      </c>
      <c r="K460" s="28">
        <v>62.18</v>
      </c>
      <c r="L460" s="29">
        <f>SUM(NSE_BhavCopy[[#This Row],[ CLOSE_PRICE]]-NSE_BhavCopy[[#This Row],[ PREV_CLOSE]])/NSE_BhavCopy[[#This Row],[ PREV_CLOSE]]*100</f>
        <v>-1.779619697708438</v>
      </c>
    </row>
    <row r="461" spans="1:12" hidden="1" x14ac:dyDescent="0.25">
      <c r="A461" s="28" t="s">
        <v>617</v>
      </c>
      <c r="B461" s="28" t="s">
        <v>321</v>
      </c>
      <c r="C461" s="30">
        <v>44428</v>
      </c>
      <c r="D461" s="28">
        <v>309.85000000000002</v>
      </c>
      <c r="E461" s="28">
        <v>310</v>
      </c>
      <c r="F461" s="28">
        <v>310</v>
      </c>
      <c r="G461" s="28">
        <v>291.45</v>
      </c>
      <c r="H461" s="28">
        <v>294.54000000000002</v>
      </c>
      <c r="I461" s="28">
        <v>14115</v>
      </c>
      <c r="J461" s="28">
        <v>8776</v>
      </c>
      <c r="K461" s="28">
        <v>62.17</v>
      </c>
      <c r="L461" s="29">
        <f>SUM(NSE_BhavCopy[[#This Row],[ CLOSE_PRICE]]-NSE_BhavCopy[[#This Row],[ PREV_CLOSE]])/NSE_BhavCopy[[#This Row],[ PREV_CLOSE]]*100</f>
        <v>-5.9383572696466134</v>
      </c>
    </row>
    <row r="462" spans="1:12" hidden="1" x14ac:dyDescent="0.25">
      <c r="A462" s="28" t="s">
        <v>776</v>
      </c>
      <c r="B462" s="28" t="s">
        <v>321</v>
      </c>
      <c r="C462" s="30">
        <v>44428</v>
      </c>
      <c r="D462" s="28">
        <v>613.87</v>
      </c>
      <c r="E462" s="28">
        <v>614.99</v>
      </c>
      <c r="F462" s="28">
        <v>670</v>
      </c>
      <c r="G462" s="28">
        <v>604.87</v>
      </c>
      <c r="H462" s="28">
        <v>619.54</v>
      </c>
      <c r="I462" s="28">
        <v>15802</v>
      </c>
      <c r="J462" s="28">
        <v>9815</v>
      </c>
      <c r="K462" s="28">
        <v>62.11</v>
      </c>
      <c r="L462" s="29">
        <f>SUM(NSE_BhavCopy[[#This Row],[ CLOSE_PRICE]]-NSE_BhavCopy[[#This Row],[ PREV_CLOSE]])/NSE_BhavCopy[[#This Row],[ PREV_CLOSE]]*100</f>
        <v>-1.4661084594458109</v>
      </c>
    </row>
    <row r="463" spans="1:12" hidden="1" x14ac:dyDescent="0.25">
      <c r="A463" s="28" t="s">
        <v>1133</v>
      </c>
      <c r="B463" s="28" t="s">
        <v>321</v>
      </c>
      <c r="C463" s="30">
        <v>44428</v>
      </c>
      <c r="D463" s="28">
        <v>256.89999999999998</v>
      </c>
      <c r="E463" s="28">
        <v>256.8</v>
      </c>
      <c r="F463" s="28">
        <v>256.8</v>
      </c>
      <c r="G463" s="28">
        <v>244.6</v>
      </c>
      <c r="H463" s="28">
        <v>245.42</v>
      </c>
      <c r="I463" s="28">
        <v>204159</v>
      </c>
      <c r="J463" s="28">
        <v>126802</v>
      </c>
      <c r="K463" s="28">
        <v>62.11</v>
      </c>
      <c r="L463" s="29">
        <f>SUM(NSE_BhavCopy[[#This Row],[ CLOSE_PRICE]]-NSE_BhavCopy[[#This Row],[ PREV_CLOSE]])/NSE_BhavCopy[[#This Row],[ PREV_CLOSE]]*100</f>
        <v>-4.7878551965745366</v>
      </c>
    </row>
    <row r="464" spans="1:12" hidden="1" x14ac:dyDescent="0.25">
      <c r="A464" s="28" t="s">
        <v>1512</v>
      </c>
      <c r="B464" s="28" t="s">
        <v>321</v>
      </c>
      <c r="C464" s="30">
        <v>44428</v>
      </c>
      <c r="D464" s="28">
        <v>119.25</v>
      </c>
      <c r="E464" s="28">
        <v>117.15</v>
      </c>
      <c r="F464" s="28">
        <v>118</v>
      </c>
      <c r="G464" s="28">
        <v>115.1</v>
      </c>
      <c r="H464" s="28">
        <v>116.06</v>
      </c>
      <c r="I464" s="28">
        <v>511138</v>
      </c>
      <c r="J464" s="28">
        <v>317391</v>
      </c>
      <c r="K464" s="28">
        <v>62.09</v>
      </c>
      <c r="L464" s="29">
        <f>SUM(NSE_BhavCopy[[#This Row],[ CLOSE_PRICE]]-NSE_BhavCopy[[#This Row],[ PREV_CLOSE]])/NSE_BhavCopy[[#This Row],[ PREV_CLOSE]]*100</f>
        <v>-3.4800838574423532</v>
      </c>
    </row>
    <row r="465" spans="1:12" hidden="1" x14ac:dyDescent="0.25">
      <c r="A465" s="28" t="s">
        <v>647</v>
      </c>
      <c r="B465" s="28" t="s">
        <v>321</v>
      </c>
      <c r="C465" s="30">
        <v>44428</v>
      </c>
      <c r="D465" s="28">
        <v>229.3</v>
      </c>
      <c r="E465" s="28">
        <v>228.4</v>
      </c>
      <c r="F465" s="28">
        <v>228.4</v>
      </c>
      <c r="G465" s="28">
        <v>223.75</v>
      </c>
      <c r="H465" s="28">
        <v>224.78</v>
      </c>
      <c r="I465" s="28">
        <v>124152</v>
      </c>
      <c r="J465" s="28">
        <v>77078</v>
      </c>
      <c r="K465" s="28">
        <v>62.08</v>
      </c>
      <c r="L465" s="29">
        <f>SUM(NSE_BhavCopy[[#This Row],[ CLOSE_PRICE]]-NSE_BhavCopy[[#This Row],[ PREV_CLOSE]])/NSE_BhavCopy[[#This Row],[ PREV_CLOSE]]*100</f>
        <v>-2.4204099433057182</v>
      </c>
    </row>
    <row r="466" spans="1:12" hidden="1" x14ac:dyDescent="0.25">
      <c r="A466" s="28" t="s">
        <v>1612</v>
      </c>
      <c r="B466" s="28" t="s">
        <v>321</v>
      </c>
      <c r="C466" s="30">
        <v>44428</v>
      </c>
      <c r="D466" s="28">
        <v>2054.4</v>
      </c>
      <c r="E466" s="28">
        <v>2043</v>
      </c>
      <c r="F466" s="28">
        <v>2045</v>
      </c>
      <c r="G466" s="28">
        <v>1999.95</v>
      </c>
      <c r="H466" s="28">
        <v>2007.18</v>
      </c>
      <c r="I466" s="28">
        <v>145166</v>
      </c>
      <c r="J466" s="28">
        <v>90085</v>
      </c>
      <c r="K466" s="28">
        <v>62.06</v>
      </c>
      <c r="L466" s="29">
        <f>SUM(NSE_BhavCopy[[#This Row],[ CLOSE_PRICE]]-NSE_BhavCopy[[#This Row],[ PREV_CLOSE]])/NSE_BhavCopy[[#This Row],[ PREV_CLOSE]]*100</f>
        <v>-2.6504088785046749</v>
      </c>
    </row>
    <row r="467" spans="1:12" hidden="1" x14ac:dyDescent="0.25">
      <c r="A467" s="28" t="s">
        <v>380</v>
      </c>
      <c r="B467" s="28" t="s">
        <v>321</v>
      </c>
      <c r="C467" s="30">
        <v>44428</v>
      </c>
      <c r="D467" s="28">
        <v>30.7</v>
      </c>
      <c r="E467" s="28">
        <v>30.1</v>
      </c>
      <c r="F467" s="28">
        <v>31.25</v>
      </c>
      <c r="G467" s="28">
        <v>29.55</v>
      </c>
      <c r="H467" s="28">
        <v>30.11</v>
      </c>
      <c r="I467" s="28">
        <v>27511</v>
      </c>
      <c r="J467" s="28">
        <v>17060</v>
      </c>
      <c r="K467" s="28">
        <v>62.01</v>
      </c>
      <c r="L467" s="29">
        <f>SUM(NSE_BhavCopy[[#This Row],[ CLOSE_PRICE]]-NSE_BhavCopy[[#This Row],[ PREV_CLOSE]])/NSE_BhavCopy[[#This Row],[ PREV_CLOSE]]*100</f>
        <v>-3.7459283387622104</v>
      </c>
    </row>
    <row r="468" spans="1:12" hidden="1" x14ac:dyDescent="0.25">
      <c r="A468" s="28" t="s">
        <v>604</v>
      </c>
      <c r="B468" s="28" t="s">
        <v>321</v>
      </c>
      <c r="C468" s="30">
        <v>44428</v>
      </c>
      <c r="D468" s="28">
        <v>4099.3500000000004</v>
      </c>
      <c r="E468" s="28">
        <v>4071</v>
      </c>
      <c r="F468" s="28">
        <v>4081.95</v>
      </c>
      <c r="G468" s="28">
        <v>4043.3</v>
      </c>
      <c r="H468" s="28">
        <v>4038.87</v>
      </c>
      <c r="I468" s="28">
        <v>234130</v>
      </c>
      <c r="J468" s="28">
        <v>145071</v>
      </c>
      <c r="K468" s="28">
        <v>61.96</v>
      </c>
      <c r="L468" s="29">
        <f>SUM(NSE_BhavCopy[[#This Row],[ CLOSE_PRICE]]-NSE_BhavCopy[[#This Row],[ PREV_CLOSE]])/NSE_BhavCopy[[#This Row],[ PREV_CLOSE]]*100</f>
        <v>-1.3672899362094033</v>
      </c>
    </row>
    <row r="469" spans="1:12" hidden="1" x14ac:dyDescent="0.25">
      <c r="A469" s="28" t="s">
        <v>970</v>
      </c>
      <c r="B469" s="28" t="s">
        <v>321</v>
      </c>
      <c r="C469" s="30">
        <v>44428</v>
      </c>
      <c r="D469" s="28">
        <v>1384.6</v>
      </c>
      <c r="E469" s="28">
        <v>1380</v>
      </c>
      <c r="F469" s="28">
        <v>1380</v>
      </c>
      <c r="G469" s="28">
        <v>1344.95</v>
      </c>
      <c r="H469" s="28">
        <v>1353.28</v>
      </c>
      <c r="I469" s="28">
        <v>12410</v>
      </c>
      <c r="J469" s="28">
        <v>7685</v>
      </c>
      <c r="K469" s="28">
        <v>61.93</v>
      </c>
      <c r="L469" s="29">
        <f>SUM(NSE_BhavCopy[[#This Row],[ CLOSE_PRICE]]-NSE_BhavCopy[[#This Row],[ PREV_CLOSE]])/NSE_BhavCopy[[#This Row],[ PREV_CLOSE]]*100</f>
        <v>-2.8636429293658718</v>
      </c>
    </row>
    <row r="470" spans="1:12" hidden="1" x14ac:dyDescent="0.25">
      <c r="A470" s="28" t="s">
        <v>1705</v>
      </c>
      <c r="B470" s="28" t="s">
        <v>321</v>
      </c>
      <c r="C470" s="30">
        <v>44428</v>
      </c>
      <c r="D470" s="28">
        <v>1600.55</v>
      </c>
      <c r="E470" s="28">
        <v>1600</v>
      </c>
      <c r="F470" s="28">
        <v>1623.4</v>
      </c>
      <c r="G470" s="28">
        <v>1604.75</v>
      </c>
      <c r="H470" s="28">
        <v>1604.15</v>
      </c>
      <c r="I470" s="28">
        <v>98157</v>
      </c>
      <c r="J470" s="28">
        <v>60699</v>
      </c>
      <c r="K470" s="28">
        <v>61.84</v>
      </c>
      <c r="L470" s="29">
        <f>SUM(NSE_BhavCopy[[#This Row],[ CLOSE_PRICE]]-NSE_BhavCopy[[#This Row],[ PREV_CLOSE]])/NSE_BhavCopy[[#This Row],[ PREV_CLOSE]]*100</f>
        <v>0.26240979663241049</v>
      </c>
    </row>
    <row r="471" spans="1:12" hidden="1" x14ac:dyDescent="0.25">
      <c r="A471" s="28" t="s">
        <v>772</v>
      </c>
      <c r="B471" s="28" t="s">
        <v>321</v>
      </c>
      <c r="C471" s="30">
        <v>44428</v>
      </c>
      <c r="D471" s="28">
        <v>12.75</v>
      </c>
      <c r="E471" s="28">
        <v>12.75</v>
      </c>
      <c r="F471" s="28">
        <v>13.35</v>
      </c>
      <c r="G471" s="28">
        <v>12.9</v>
      </c>
      <c r="H471" s="28">
        <v>13</v>
      </c>
      <c r="I471" s="28">
        <v>897571</v>
      </c>
      <c r="J471" s="28">
        <v>554785</v>
      </c>
      <c r="K471" s="28">
        <v>61.81</v>
      </c>
      <c r="L471" s="29">
        <f>SUM(NSE_BhavCopy[[#This Row],[ CLOSE_PRICE]]-NSE_BhavCopy[[#This Row],[ PREV_CLOSE]])/NSE_BhavCopy[[#This Row],[ PREV_CLOSE]]*100</f>
        <v>1.1764705882352968</v>
      </c>
    </row>
    <row r="472" spans="1:12" hidden="1" x14ac:dyDescent="0.25">
      <c r="A472" s="28" t="s">
        <v>1118</v>
      </c>
      <c r="B472" s="28" t="s">
        <v>321</v>
      </c>
      <c r="C472" s="30">
        <v>44428</v>
      </c>
      <c r="D472" s="28">
        <v>253.55</v>
      </c>
      <c r="E472" s="28">
        <v>249.95</v>
      </c>
      <c r="F472" s="28">
        <v>250</v>
      </c>
      <c r="G472" s="28">
        <v>240.9</v>
      </c>
      <c r="H472" s="28">
        <v>242.14</v>
      </c>
      <c r="I472" s="28">
        <v>45547</v>
      </c>
      <c r="J472" s="28">
        <v>28154</v>
      </c>
      <c r="K472" s="28">
        <v>61.81</v>
      </c>
      <c r="L472" s="29">
        <f>SUM(NSE_BhavCopy[[#This Row],[ CLOSE_PRICE]]-NSE_BhavCopy[[#This Row],[ PREV_CLOSE]])/NSE_BhavCopy[[#This Row],[ PREV_CLOSE]]*100</f>
        <v>-4.9891540130151864</v>
      </c>
    </row>
    <row r="473" spans="1:12" hidden="1" x14ac:dyDescent="0.25">
      <c r="A473" s="28" t="s">
        <v>1140</v>
      </c>
      <c r="B473" s="28" t="s">
        <v>321</v>
      </c>
      <c r="C473" s="30">
        <v>44428</v>
      </c>
      <c r="D473" s="28">
        <v>950.05</v>
      </c>
      <c r="E473" s="28">
        <v>935</v>
      </c>
      <c r="F473" s="28">
        <v>956</v>
      </c>
      <c r="G473" s="28">
        <v>952.35</v>
      </c>
      <c r="H473" s="28">
        <v>949.6</v>
      </c>
      <c r="I473" s="28">
        <v>52867</v>
      </c>
      <c r="J473" s="28">
        <v>32675</v>
      </c>
      <c r="K473" s="28">
        <v>61.81</v>
      </c>
      <c r="L473" s="29">
        <f>SUM(NSE_BhavCopy[[#This Row],[ CLOSE_PRICE]]-NSE_BhavCopy[[#This Row],[ PREV_CLOSE]])/NSE_BhavCopy[[#This Row],[ PREV_CLOSE]]*100</f>
        <v>0.24209252144624685</v>
      </c>
    </row>
    <row r="474" spans="1:12" hidden="1" x14ac:dyDescent="0.25">
      <c r="A474" s="28" t="s">
        <v>673</v>
      </c>
      <c r="B474" s="28" t="s">
        <v>321</v>
      </c>
      <c r="C474" s="30">
        <v>44428</v>
      </c>
      <c r="D474" s="28">
        <v>49.4</v>
      </c>
      <c r="E474" s="28">
        <v>50.4</v>
      </c>
      <c r="F474" s="28">
        <v>50.4</v>
      </c>
      <c r="G474" s="28">
        <v>48.5</v>
      </c>
      <c r="H474" s="28">
        <v>48.76</v>
      </c>
      <c r="I474" s="28">
        <v>218255</v>
      </c>
      <c r="J474" s="28">
        <v>134859</v>
      </c>
      <c r="K474" s="28">
        <v>61.79</v>
      </c>
      <c r="L474" s="29">
        <f>SUM(NSE_BhavCopy[[#This Row],[ CLOSE_PRICE]]-NSE_BhavCopy[[#This Row],[ PREV_CLOSE]])/NSE_BhavCopy[[#This Row],[ PREV_CLOSE]]*100</f>
        <v>-1.8218623481781346</v>
      </c>
    </row>
    <row r="475" spans="1:12" hidden="1" x14ac:dyDescent="0.25">
      <c r="A475" s="28" t="s">
        <v>520</v>
      </c>
      <c r="B475" s="28" t="s">
        <v>321</v>
      </c>
      <c r="C475" s="30">
        <v>44428</v>
      </c>
      <c r="D475" s="28">
        <v>88.4</v>
      </c>
      <c r="E475" s="28">
        <v>87</v>
      </c>
      <c r="F475" s="28">
        <v>88.7</v>
      </c>
      <c r="G475" s="28">
        <v>86.3</v>
      </c>
      <c r="H475" s="28">
        <v>86.29</v>
      </c>
      <c r="I475" s="28">
        <v>5597</v>
      </c>
      <c r="J475" s="28">
        <v>3457</v>
      </c>
      <c r="K475" s="28">
        <v>61.77</v>
      </c>
      <c r="L475" s="29">
        <f>SUM(NSE_BhavCopy[[#This Row],[ CLOSE_PRICE]]-NSE_BhavCopy[[#This Row],[ PREV_CLOSE]])/NSE_BhavCopy[[#This Row],[ PREV_CLOSE]]*100</f>
        <v>-2.3755656108597383</v>
      </c>
    </row>
    <row r="476" spans="1:12" hidden="1" x14ac:dyDescent="0.25">
      <c r="A476" s="28" t="s">
        <v>661</v>
      </c>
      <c r="B476" s="28" t="s">
        <v>321</v>
      </c>
      <c r="C476" s="30">
        <v>44428</v>
      </c>
      <c r="D476" s="28">
        <v>1834.95</v>
      </c>
      <c r="E476" s="28">
        <v>1778</v>
      </c>
      <c r="F476" s="28">
        <v>1887.95</v>
      </c>
      <c r="G476" s="28">
        <v>1765.55</v>
      </c>
      <c r="H476" s="28">
        <v>1789.38</v>
      </c>
      <c r="I476" s="28">
        <v>13864</v>
      </c>
      <c r="J476" s="28">
        <v>8561</v>
      </c>
      <c r="K476" s="28">
        <v>61.75</v>
      </c>
      <c r="L476" s="29">
        <f>SUM(NSE_BhavCopy[[#This Row],[ CLOSE_PRICE]]-NSE_BhavCopy[[#This Row],[ PREV_CLOSE]])/NSE_BhavCopy[[#This Row],[ PREV_CLOSE]]*100</f>
        <v>-3.7821194037984736</v>
      </c>
    </row>
    <row r="477" spans="1:12" hidden="1" x14ac:dyDescent="0.25">
      <c r="A477" s="28" t="s">
        <v>1227</v>
      </c>
      <c r="B477" s="28" t="s">
        <v>321</v>
      </c>
      <c r="C477" s="30">
        <v>44428</v>
      </c>
      <c r="D477" s="28">
        <v>6.4</v>
      </c>
      <c r="E477" s="28">
        <v>6.4</v>
      </c>
      <c r="F477" s="28">
        <v>6.5</v>
      </c>
      <c r="G477" s="28">
        <v>6.3</v>
      </c>
      <c r="H477" s="28">
        <v>6.37</v>
      </c>
      <c r="I477" s="28">
        <v>548122</v>
      </c>
      <c r="J477" s="28">
        <v>337917</v>
      </c>
      <c r="K477" s="28">
        <v>61.65</v>
      </c>
      <c r="L477" s="29">
        <f>SUM(NSE_BhavCopy[[#This Row],[ CLOSE_PRICE]]-NSE_BhavCopy[[#This Row],[ PREV_CLOSE]])/NSE_BhavCopy[[#This Row],[ PREV_CLOSE]]*100</f>
        <v>-1.5625000000000084</v>
      </c>
    </row>
    <row r="478" spans="1:12" hidden="1" x14ac:dyDescent="0.25">
      <c r="A478" s="28" t="s">
        <v>942</v>
      </c>
      <c r="B478" s="28" t="s">
        <v>321</v>
      </c>
      <c r="C478" s="30">
        <v>44428</v>
      </c>
      <c r="D478" s="28">
        <v>263.64999999999998</v>
      </c>
      <c r="E478" s="28">
        <v>262</v>
      </c>
      <c r="F478" s="28">
        <v>263.64999999999998</v>
      </c>
      <c r="G478" s="28">
        <v>255.65</v>
      </c>
      <c r="H478" s="28">
        <v>258.01</v>
      </c>
      <c r="I478" s="28">
        <v>15484</v>
      </c>
      <c r="J478" s="28">
        <v>9539</v>
      </c>
      <c r="K478" s="28">
        <v>61.61</v>
      </c>
      <c r="L478" s="29">
        <f>SUM(NSE_BhavCopy[[#This Row],[ CLOSE_PRICE]]-NSE_BhavCopy[[#This Row],[ PREV_CLOSE]])/NSE_BhavCopy[[#This Row],[ PREV_CLOSE]]*100</f>
        <v>-3.0343258107339168</v>
      </c>
    </row>
    <row r="479" spans="1:12" hidden="1" x14ac:dyDescent="0.25">
      <c r="A479" s="28" t="s">
        <v>653</v>
      </c>
      <c r="B479" s="28" t="s">
        <v>321</v>
      </c>
      <c r="C479" s="30">
        <v>44428</v>
      </c>
      <c r="D479" s="28">
        <v>1988.7</v>
      </c>
      <c r="E479" s="28">
        <v>1945</v>
      </c>
      <c r="F479" s="28">
        <v>1979</v>
      </c>
      <c r="G479" s="28">
        <v>1912.95</v>
      </c>
      <c r="H479" s="28">
        <v>1934.17</v>
      </c>
      <c r="I479" s="28">
        <v>7353</v>
      </c>
      <c r="J479" s="28">
        <v>4526</v>
      </c>
      <c r="K479" s="28">
        <v>61.55</v>
      </c>
      <c r="L479" s="29">
        <f>SUM(NSE_BhavCopy[[#This Row],[ CLOSE_PRICE]]-NSE_BhavCopy[[#This Row],[ PREV_CLOSE]])/NSE_BhavCopy[[#This Row],[ PREV_CLOSE]]*100</f>
        <v>-3.8090209684718657</v>
      </c>
    </row>
    <row r="480" spans="1:12" hidden="1" x14ac:dyDescent="0.25">
      <c r="A480" s="28" t="s">
        <v>785</v>
      </c>
      <c r="B480" s="28" t="s">
        <v>321</v>
      </c>
      <c r="C480" s="30">
        <v>44428</v>
      </c>
      <c r="D480" s="28">
        <v>675.5</v>
      </c>
      <c r="E480" s="28">
        <v>669.95</v>
      </c>
      <c r="F480" s="28">
        <v>674.5</v>
      </c>
      <c r="G480" s="28">
        <v>634.9</v>
      </c>
      <c r="H480" s="28">
        <v>645.55999999999995</v>
      </c>
      <c r="I480" s="28">
        <v>427383</v>
      </c>
      <c r="J480" s="28">
        <v>262845</v>
      </c>
      <c r="K480" s="28">
        <v>61.5</v>
      </c>
      <c r="L480" s="29">
        <f>SUM(NSE_BhavCopy[[#This Row],[ CLOSE_PRICE]]-NSE_BhavCopy[[#This Row],[ PREV_CLOSE]])/NSE_BhavCopy[[#This Row],[ PREV_CLOSE]]*100</f>
        <v>-6.0103626943005217</v>
      </c>
    </row>
    <row r="481" spans="1:12" hidden="1" x14ac:dyDescent="0.25">
      <c r="A481" s="28" t="s">
        <v>910</v>
      </c>
      <c r="B481" s="28" t="s">
        <v>321</v>
      </c>
      <c r="C481" s="30">
        <v>44428</v>
      </c>
      <c r="D481" s="28">
        <v>25.55</v>
      </c>
      <c r="E481" s="28">
        <v>26.5</v>
      </c>
      <c r="F481" s="28">
        <v>26.5</v>
      </c>
      <c r="G481" s="28">
        <v>24.85</v>
      </c>
      <c r="H481" s="28">
        <v>25.08</v>
      </c>
      <c r="I481" s="28">
        <v>171934</v>
      </c>
      <c r="J481" s="28">
        <v>105604</v>
      </c>
      <c r="K481" s="28">
        <v>61.42</v>
      </c>
      <c r="L481" s="29">
        <f>SUM(NSE_BhavCopy[[#This Row],[ CLOSE_PRICE]]-NSE_BhavCopy[[#This Row],[ PREV_CLOSE]])/NSE_BhavCopy[[#This Row],[ PREV_CLOSE]]*100</f>
        <v>-2.7397260273972575</v>
      </c>
    </row>
    <row r="482" spans="1:12" hidden="1" x14ac:dyDescent="0.25">
      <c r="A482" s="28" t="s">
        <v>555</v>
      </c>
      <c r="B482" s="28" t="s">
        <v>321</v>
      </c>
      <c r="C482" s="30">
        <v>44428</v>
      </c>
      <c r="D482" s="28">
        <v>27.35</v>
      </c>
      <c r="E482" s="28">
        <v>26.6</v>
      </c>
      <c r="F482" s="28">
        <v>27.3</v>
      </c>
      <c r="G482" s="28">
        <v>26.15</v>
      </c>
      <c r="H482" s="28">
        <v>26.49</v>
      </c>
      <c r="I482" s="28">
        <v>280202</v>
      </c>
      <c r="J482" s="28">
        <v>172060</v>
      </c>
      <c r="K482" s="28">
        <v>61.41</v>
      </c>
      <c r="L482" s="29">
        <f>SUM(NSE_BhavCopy[[#This Row],[ CLOSE_PRICE]]-NSE_BhavCopy[[#This Row],[ PREV_CLOSE]])/NSE_BhavCopy[[#This Row],[ PREV_CLOSE]]*100</f>
        <v>-4.3875685557586941</v>
      </c>
    </row>
    <row r="483" spans="1:12" hidden="1" x14ac:dyDescent="0.25">
      <c r="A483" s="28" t="s">
        <v>1089</v>
      </c>
      <c r="B483" s="28" t="s">
        <v>321</v>
      </c>
      <c r="C483" s="30">
        <v>44428</v>
      </c>
      <c r="D483" s="28">
        <v>719.4</v>
      </c>
      <c r="E483" s="28">
        <v>717</v>
      </c>
      <c r="F483" s="28">
        <v>724</v>
      </c>
      <c r="G483" s="28">
        <v>706.05</v>
      </c>
      <c r="H483" s="28">
        <v>709.88</v>
      </c>
      <c r="I483" s="28">
        <v>15066</v>
      </c>
      <c r="J483" s="28">
        <v>9236</v>
      </c>
      <c r="K483" s="28">
        <v>61.3</v>
      </c>
      <c r="L483" s="29">
        <f>SUM(NSE_BhavCopy[[#This Row],[ CLOSE_PRICE]]-NSE_BhavCopy[[#This Row],[ PREV_CLOSE]])/NSE_BhavCopy[[#This Row],[ PREV_CLOSE]]*100</f>
        <v>-1.8557130942452076</v>
      </c>
    </row>
    <row r="484" spans="1:12" hidden="1" x14ac:dyDescent="0.25">
      <c r="A484" s="28" t="s">
        <v>1721</v>
      </c>
      <c r="B484" s="28" t="s">
        <v>321</v>
      </c>
      <c r="C484" s="30">
        <v>44428</v>
      </c>
      <c r="D484" s="28">
        <v>192.5</v>
      </c>
      <c r="E484" s="28">
        <v>193</v>
      </c>
      <c r="F484" s="28">
        <v>199.5</v>
      </c>
      <c r="G484" s="28">
        <v>188.95</v>
      </c>
      <c r="H484" s="28">
        <v>191.86</v>
      </c>
      <c r="I484" s="28">
        <v>7905</v>
      </c>
      <c r="J484" s="28">
        <v>4845</v>
      </c>
      <c r="K484" s="28">
        <v>61.29</v>
      </c>
      <c r="L484" s="29">
        <f>SUM(NSE_BhavCopy[[#This Row],[ CLOSE_PRICE]]-NSE_BhavCopy[[#This Row],[ PREV_CLOSE]])/NSE_BhavCopy[[#This Row],[ PREV_CLOSE]]*100</f>
        <v>-1.8441558441558501</v>
      </c>
    </row>
    <row r="485" spans="1:12" hidden="1" x14ac:dyDescent="0.25">
      <c r="A485" s="28" t="s">
        <v>1028</v>
      </c>
      <c r="B485" s="28" t="s">
        <v>321</v>
      </c>
      <c r="C485" s="30">
        <v>44428</v>
      </c>
      <c r="D485" s="28">
        <v>5.05</v>
      </c>
      <c r="E485" s="28">
        <v>5.2</v>
      </c>
      <c r="F485" s="28">
        <v>5.3</v>
      </c>
      <c r="G485" s="28">
        <v>4.8</v>
      </c>
      <c r="H485" s="28">
        <v>4.9000000000000004</v>
      </c>
      <c r="I485" s="28">
        <v>44690</v>
      </c>
      <c r="J485" s="28">
        <v>27376</v>
      </c>
      <c r="K485" s="28">
        <v>61.26</v>
      </c>
      <c r="L485" s="29">
        <f>SUM(NSE_BhavCopy[[#This Row],[ CLOSE_PRICE]]-NSE_BhavCopy[[#This Row],[ PREV_CLOSE]])/NSE_BhavCopy[[#This Row],[ PREV_CLOSE]]*100</f>
        <v>-4.9504950495049505</v>
      </c>
    </row>
    <row r="486" spans="1:12" hidden="1" x14ac:dyDescent="0.25">
      <c r="A486" s="28" t="s">
        <v>800</v>
      </c>
      <c r="B486" s="28" t="s">
        <v>321</v>
      </c>
      <c r="C486" s="30">
        <v>44428</v>
      </c>
      <c r="D486" s="28">
        <v>8.25</v>
      </c>
      <c r="E486" s="28">
        <v>8.25</v>
      </c>
      <c r="F486" s="28">
        <v>8.3000000000000007</v>
      </c>
      <c r="G486" s="28">
        <v>7.65</v>
      </c>
      <c r="H486" s="28">
        <v>7.63</v>
      </c>
      <c r="I486" s="28">
        <v>844268</v>
      </c>
      <c r="J486" s="28">
        <v>516760</v>
      </c>
      <c r="K486" s="28">
        <v>61.21</v>
      </c>
      <c r="L486" s="29">
        <f>SUM(NSE_BhavCopy[[#This Row],[ CLOSE_PRICE]]-NSE_BhavCopy[[#This Row],[ PREV_CLOSE]])/NSE_BhavCopy[[#This Row],[ PREV_CLOSE]]*100</f>
        <v>-7.272727272727268</v>
      </c>
    </row>
    <row r="487" spans="1:12" hidden="1" x14ac:dyDescent="0.25">
      <c r="A487" s="28" t="s">
        <v>1591</v>
      </c>
      <c r="B487" s="28" t="s">
        <v>321</v>
      </c>
      <c r="C487" s="30">
        <v>44428</v>
      </c>
      <c r="D487" s="28">
        <v>3714.75</v>
      </c>
      <c r="E487" s="28">
        <v>3725</v>
      </c>
      <c r="F487" s="28">
        <v>3725</v>
      </c>
      <c r="G487" s="28">
        <v>3654.3</v>
      </c>
      <c r="H487" s="28">
        <v>3661.6</v>
      </c>
      <c r="I487" s="28">
        <v>20601</v>
      </c>
      <c r="J487" s="28">
        <v>12595</v>
      </c>
      <c r="K487" s="28">
        <v>61.14</v>
      </c>
      <c r="L487" s="29">
        <f>SUM(NSE_BhavCopy[[#This Row],[ CLOSE_PRICE]]-NSE_BhavCopy[[#This Row],[ PREV_CLOSE]])/NSE_BhavCopy[[#This Row],[ PREV_CLOSE]]*100</f>
        <v>-1.6272965879265042</v>
      </c>
    </row>
    <row r="488" spans="1:12" hidden="1" x14ac:dyDescent="0.25">
      <c r="A488" s="28" t="s">
        <v>781</v>
      </c>
      <c r="B488" s="28" t="s">
        <v>321</v>
      </c>
      <c r="C488" s="30">
        <v>44428</v>
      </c>
      <c r="D488" s="28">
        <v>139.44999999999999</v>
      </c>
      <c r="E488" s="28">
        <v>137.19999999999999</v>
      </c>
      <c r="F488" s="28">
        <v>139.44999999999999</v>
      </c>
      <c r="G488" s="28">
        <v>133</v>
      </c>
      <c r="H488" s="28">
        <v>135.27000000000001</v>
      </c>
      <c r="I488" s="28">
        <v>95012</v>
      </c>
      <c r="J488" s="28">
        <v>58064</v>
      </c>
      <c r="K488" s="28">
        <v>61.11</v>
      </c>
      <c r="L488" s="29">
        <f>SUM(NSE_BhavCopy[[#This Row],[ CLOSE_PRICE]]-NSE_BhavCopy[[#This Row],[ PREV_CLOSE]])/NSE_BhavCopy[[#This Row],[ PREV_CLOSE]]*100</f>
        <v>-4.6253137325206088</v>
      </c>
    </row>
    <row r="489" spans="1:12" hidden="1" x14ac:dyDescent="0.25">
      <c r="A489" s="28" t="s">
        <v>1619</v>
      </c>
      <c r="B489" s="28" t="s">
        <v>321</v>
      </c>
      <c r="C489" s="30">
        <v>44428</v>
      </c>
      <c r="D489" s="28">
        <v>109.65</v>
      </c>
      <c r="E489" s="28">
        <v>108</v>
      </c>
      <c r="F489" s="28">
        <v>108.85</v>
      </c>
      <c r="G489" s="28">
        <v>102.2</v>
      </c>
      <c r="H489" s="28">
        <v>104.25</v>
      </c>
      <c r="I489" s="28">
        <v>662166</v>
      </c>
      <c r="J489" s="28">
        <v>404496</v>
      </c>
      <c r="K489" s="28">
        <v>61.09</v>
      </c>
      <c r="L489" s="29">
        <f>SUM(NSE_BhavCopy[[#This Row],[ CLOSE_PRICE]]-NSE_BhavCopy[[#This Row],[ PREV_CLOSE]])/NSE_BhavCopy[[#This Row],[ PREV_CLOSE]]*100</f>
        <v>-6.7943456452348405</v>
      </c>
    </row>
    <row r="490" spans="1:12" hidden="1" x14ac:dyDescent="0.25">
      <c r="A490" s="28" t="s">
        <v>894</v>
      </c>
      <c r="B490" s="28" t="s">
        <v>321</v>
      </c>
      <c r="C490" s="30">
        <v>44428</v>
      </c>
      <c r="D490" s="28">
        <v>4268.1000000000004</v>
      </c>
      <c r="E490" s="28">
        <v>4284.8999999999996</v>
      </c>
      <c r="F490" s="28">
        <v>4290</v>
      </c>
      <c r="G490" s="28">
        <v>4290</v>
      </c>
      <c r="H490" s="28">
        <v>4268.92</v>
      </c>
      <c r="I490" s="28">
        <v>95</v>
      </c>
      <c r="J490" s="28">
        <v>58</v>
      </c>
      <c r="K490" s="28">
        <v>61.05</v>
      </c>
      <c r="L490" s="29">
        <f>SUM(NSE_BhavCopy[[#This Row],[ CLOSE_PRICE]]-NSE_BhavCopy[[#This Row],[ PREV_CLOSE]])/NSE_BhavCopy[[#This Row],[ PREV_CLOSE]]*100</f>
        <v>0.51310887748646083</v>
      </c>
    </row>
    <row r="491" spans="1:12" hidden="1" x14ac:dyDescent="0.25">
      <c r="A491" s="28" t="s">
        <v>1511</v>
      </c>
      <c r="B491" s="28" t="s">
        <v>321</v>
      </c>
      <c r="C491" s="30">
        <v>44428</v>
      </c>
      <c r="D491" s="28">
        <v>184.35</v>
      </c>
      <c r="E491" s="28">
        <v>178.35</v>
      </c>
      <c r="F491" s="28">
        <v>183.6</v>
      </c>
      <c r="G491" s="28">
        <v>173.9</v>
      </c>
      <c r="H491" s="28">
        <v>177.09</v>
      </c>
      <c r="I491" s="28">
        <v>806680</v>
      </c>
      <c r="J491" s="28">
        <v>492353</v>
      </c>
      <c r="K491" s="28">
        <v>61.03</v>
      </c>
      <c r="L491" s="29">
        <f>SUM(NSE_BhavCopy[[#This Row],[ CLOSE_PRICE]]-NSE_BhavCopy[[#This Row],[ PREV_CLOSE]])/NSE_BhavCopy[[#This Row],[ PREV_CLOSE]]*100</f>
        <v>-5.6685652291836117</v>
      </c>
    </row>
    <row r="492" spans="1:12" hidden="1" x14ac:dyDescent="0.25">
      <c r="A492" s="28" t="s">
        <v>322</v>
      </c>
      <c r="B492" s="28" t="s">
        <v>321</v>
      </c>
      <c r="C492" s="30">
        <v>44428</v>
      </c>
      <c r="D492" s="28">
        <v>54.35</v>
      </c>
      <c r="E492" s="28">
        <v>54.25</v>
      </c>
      <c r="F492" s="28">
        <v>54.25</v>
      </c>
      <c r="G492" s="28">
        <v>52.9</v>
      </c>
      <c r="H492" s="28">
        <v>53.14</v>
      </c>
      <c r="I492" s="28">
        <v>73665</v>
      </c>
      <c r="J492" s="28">
        <v>44847</v>
      </c>
      <c r="K492" s="28">
        <v>60.88</v>
      </c>
      <c r="L492" s="29">
        <f>SUM(NSE_BhavCopy[[#This Row],[ CLOSE_PRICE]]-NSE_BhavCopy[[#This Row],[ PREV_CLOSE]])/NSE_BhavCopy[[#This Row],[ PREV_CLOSE]]*100</f>
        <v>-2.6678932842686343</v>
      </c>
    </row>
    <row r="493" spans="1:12" hidden="1" x14ac:dyDescent="0.25">
      <c r="A493" s="28" t="s">
        <v>1147</v>
      </c>
      <c r="B493" s="28" t="s">
        <v>321</v>
      </c>
      <c r="C493" s="30">
        <v>44428</v>
      </c>
      <c r="D493" s="28">
        <v>105.32</v>
      </c>
      <c r="E493" s="28">
        <v>107.98</v>
      </c>
      <c r="F493" s="28">
        <v>107.98</v>
      </c>
      <c r="G493" s="28">
        <v>104.1</v>
      </c>
      <c r="H493" s="28">
        <v>104.37</v>
      </c>
      <c r="I493" s="28">
        <v>110459</v>
      </c>
      <c r="J493" s="28">
        <v>67250</v>
      </c>
      <c r="K493" s="28">
        <v>60.88</v>
      </c>
      <c r="L493" s="29">
        <f>SUM(NSE_BhavCopy[[#This Row],[ CLOSE_PRICE]]-NSE_BhavCopy[[#This Row],[ PREV_CLOSE]])/NSE_BhavCopy[[#This Row],[ PREV_CLOSE]]*100</f>
        <v>-1.1583744777819966</v>
      </c>
    </row>
    <row r="494" spans="1:12" hidden="1" x14ac:dyDescent="0.25">
      <c r="A494" s="28" t="s">
        <v>1566</v>
      </c>
      <c r="B494" s="28" t="s">
        <v>321</v>
      </c>
      <c r="C494" s="30">
        <v>44428</v>
      </c>
      <c r="D494" s="28">
        <v>25.55</v>
      </c>
      <c r="E494" s="28">
        <v>24.35</v>
      </c>
      <c r="F494" s="28">
        <v>26</v>
      </c>
      <c r="G494" s="28">
        <v>24.3</v>
      </c>
      <c r="H494" s="28">
        <v>24.92</v>
      </c>
      <c r="I494" s="28">
        <v>2297307</v>
      </c>
      <c r="J494" s="28">
        <v>1398011</v>
      </c>
      <c r="K494" s="28">
        <v>60.85</v>
      </c>
      <c r="L494" s="29">
        <f>SUM(NSE_BhavCopy[[#This Row],[ CLOSE_PRICE]]-NSE_BhavCopy[[#This Row],[ PREV_CLOSE]])/NSE_BhavCopy[[#This Row],[ PREV_CLOSE]]*100</f>
        <v>-4.8923679060665357</v>
      </c>
    </row>
    <row r="495" spans="1:12" hidden="1" x14ac:dyDescent="0.25">
      <c r="A495" s="28" t="s">
        <v>1138</v>
      </c>
      <c r="B495" s="28" t="s">
        <v>321</v>
      </c>
      <c r="C495" s="30">
        <v>44428</v>
      </c>
      <c r="D495" s="28">
        <v>84.05</v>
      </c>
      <c r="E495" s="28">
        <v>83</v>
      </c>
      <c r="F495" s="28">
        <v>83.85</v>
      </c>
      <c r="G495" s="28">
        <v>77.95</v>
      </c>
      <c r="H495" s="28">
        <v>80.12</v>
      </c>
      <c r="I495" s="28">
        <v>275692</v>
      </c>
      <c r="J495" s="28">
        <v>167636</v>
      </c>
      <c r="K495" s="28">
        <v>60.81</v>
      </c>
      <c r="L495" s="29">
        <f>SUM(NSE_BhavCopy[[#This Row],[ CLOSE_PRICE]]-NSE_BhavCopy[[#This Row],[ PREV_CLOSE]])/NSE_BhavCopy[[#This Row],[ PREV_CLOSE]]*100</f>
        <v>-7.2575847709696548</v>
      </c>
    </row>
    <row r="496" spans="1:12" hidden="1" x14ac:dyDescent="0.25">
      <c r="A496" s="28" t="s">
        <v>1236</v>
      </c>
      <c r="B496" s="28" t="s">
        <v>321</v>
      </c>
      <c r="C496" s="30">
        <v>44428</v>
      </c>
      <c r="D496" s="28">
        <v>470.55</v>
      </c>
      <c r="E496" s="28">
        <v>464.5</v>
      </c>
      <c r="F496" s="28">
        <v>467.35</v>
      </c>
      <c r="G496" s="28">
        <v>448.55</v>
      </c>
      <c r="H496" s="28">
        <v>455.19</v>
      </c>
      <c r="I496" s="28">
        <v>84378</v>
      </c>
      <c r="J496" s="28">
        <v>51299</v>
      </c>
      <c r="K496" s="28">
        <v>60.8</v>
      </c>
      <c r="L496" s="29">
        <f>SUM(NSE_BhavCopy[[#This Row],[ CLOSE_PRICE]]-NSE_BhavCopy[[#This Row],[ PREV_CLOSE]])/NSE_BhavCopy[[#This Row],[ PREV_CLOSE]]*100</f>
        <v>-4.6753798746148121</v>
      </c>
    </row>
    <row r="497" spans="1:12" hidden="1" x14ac:dyDescent="0.25">
      <c r="A497" s="28" t="s">
        <v>1010</v>
      </c>
      <c r="B497" s="28" t="s">
        <v>321</v>
      </c>
      <c r="C497" s="30">
        <v>44428</v>
      </c>
      <c r="D497" s="28">
        <v>162.47999999999999</v>
      </c>
      <c r="E497" s="28">
        <v>162.05000000000001</v>
      </c>
      <c r="F497" s="28">
        <v>165.44</v>
      </c>
      <c r="G497" s="28">
        <v>162</v>
      </c>
      <c r="H497" s="28">
        <v>163.30000000000001</v>
      </c>
      <c r="I497" s="28">
        <v>542</v>
      </c>
      <c r="J497" s="28">
        <v>329</v>
      </c>
      <c r="K497" s="28">
        <v>60.7</v>
      </c>
      <c r="L497" s="29">
        <f>SUM(NSE_BhavCopy[[#This Row],[ CLOSE_PRICE]]-NSE_BhavCopy[[#This Row],[ PREV_CLOSE]])/NSE_BhavCopy[[#This Row],[ PREV_CLOSE]]*100</f>
        <v>-0.29542097488921087</v>
      </c>
    </row>
    <row r="498" spans="1:12" hidden="1" x14ac:dyDescent="0.25">
      <c r="A498" s="28" t="s">
        <v>820</v>
      </c>
      <c r="B498" s="28" t="s">
        <v>321</v>
      </c>
      <c r="C498" s="30">
        <v>44428</v>
      </c>
      <c r="D498" s="28">
        <v>1484.4</v>
      </c>
      <c r="E498" s="28">
        <v>1479</v>
      </c>
      <c r="F498" s="28">
        <v>1495</v>
      </c>
      <c r="G498" s="28">
        <v>1472.25</v>
      </c>
      <c r="H498" s="28">
        <v>1478.2</v>
      </c>
      <c r="I498" s="28">
        <v>771225</v>
      </c>
      <c r="J498" s="28">
        <v>467803</v>
      </c>
      <c r="K498" s="28">
        <v>60.66</v>
      </c>
      <c r="L498" s="29">
        <f>SUM(NSE_BhavCopy[[#This Row],[ CLOSE_PRICE]]-NSE_BhavCopy[[#This Row],[ PREV_CLOSE]])/NSE_BhavCopy[[#This Row],[ PREV_CLOSE]]*100</f>
        <v>-0.81851253031528493</v>
      </c>
    </row>
    <row r="499" spans="1:12" hidden="1" x14ac:dyDescent="0.25">
      <c r="A499" s="28" t="s">
        <v>1778</v>
      </c>
      <c r="B499" s="28" t="s">
        <v>321</v>
      </c>
      <c r="C499" s="30">
        <v>44428</v>
      </c>
      <c r="D499" s="28">
        <v>21.25</v>
      </c>
      <c r="E499" s="28">
        <v>20.9</v>
      </c>
      <c r="F499" s="28">
        <v>21.75</v>
      </c>
      <c r="G499" s="28">
        <v>21.15</v>
      </c>
      <c r="H499" s="28">
        <v>20.65</v>
      </c>
      <c r="I499" s="28">
        <v>231811</v>
      </c>
      <c r="J499" s="28">
        <v>140542</v>
      </c>
      <c r="K499" s="28">
        <v>60.63</v>
      </c>
      <c r="L499" s="29">
        <f>SUM(NSE_BhavCopy[[#This Row],[ CLOSE_PRICE]]-NSE_BhavCopy[[#This Row],[ PREV_CLOSE]])/NSE_BhavCopy[[#This Row],[ PREV_CLOSE]]*100</f>
        <v>-0.47058823529412436</v>
      </c>
    </row>
    <row r="500" spans="1:12" hidden="1" x14ac:dyDescent="0.25">
      <c r="A500" s="28" t="s">
        <v>1521</v>
      </c>
      <c r="B500" s="28" t="s">
        <v>321</v>
      </c>
      <c r="C500" s="30">
        <v>44428</v>
      </c>
      <c r="D500" s="28">
        <v>126.35</v>
      </c>
      <c r="E500" s="28">
        <v>124</v>
      </c>
      <c r="F500" s="28">
        <v>128.94999999999999</v>
      </c>
      <c r="G500" s="28">
        <v>123.65</v>
      </c>
      <c r="H500" s="28">
        <v>124.97</v>
      </c>
      <c r="I500" s="28">
        <v>125776</v>
      </c>
      <c r="J500" s="28">
        <v>76221</v>
      </c>
      <c r="K500" s="28">
        <v>60.6</v>
      </c>
      <c r="L500" s="29">
        <f>SUM(NSE_BhavCopy[[#This Row],[ CLOSE_PRICE]]-NSE_BhavCopy[[#This Row],[ PREV_CLOSE]])/NSE_BhavCopy[[#This Row],[ PREV_CLOSE]]*100</f>
        <v>-2.1369212504946491</v>
      </c>
    </row>
    <row r="501" spans="1:12" hidden="1" x14ac:dyDescent="0.25">
      <c r="A501" s="28" t="s">
        <v>1273</v>
      </c>
      <c r="B501" s="28" t="s">
        <v>321</v>
      </c>
      <c r="C501" s="30">
        <v>44428</v>
      </c>
      <c r="D501" s="28">
        <v>607.35</v>
      </c>
      <c r="E501" s="28">
        <v>602.5</v>
      </c>
      <c r="F501" s="28">
        <v>618.70000000000005</v>
      </c>
      <c r="G501" s="28">
        <v>613.29999999999995</v>
      </c>
      <c r="H501" s="28">
        <v>599.71</v>
      </c>
      <c r="I501" s="28">
        <v>383997</v>
      </c>
      <c r="J501" s="28">
        <v>232668</v>
      </c>
      <c r="K501" s="28">
        <v>60.59</v>
      </c>
      <c r="L501" s="29">
        <f>SUM(NSE_BhavCopy[[#This Row],[ CLOSE_PRICE]]-NSE_BhavCopy[[#This Row],[ PREV_CLOSE]])/NSE_BhavCopy[[#This Row],[ PREV_CLOSE]]*100</f>
        <v>0.97966576109326275</v>
      </c>
    </row>
    <row r="502" spans="1:12" hidden="1" x14ac:dyDescent="0.25">
      <c r="A502" s="28" t="s">
        <v>1054</v>
      </c>
      <c r="B502" s="28" t="s">
        <v>321</v>
      </c>
      <c r="C502" s="30">
        <v>44428</v>
      </c>
      <c r="D502" s="28">
        <v>65.8</v>
      </c>
      <c r="E502" s="28">
        <v>65.45</v>
      </c>
      <c r="F502" s="28">
        <v>66.849999999999994</v>
      </c>
      <c r="G502" s="28">
        <v>65.150000000000006</v>
      </c>
      <c r="H502" s="28">
        <v>65.099999999999994</v>
      </c>
      <c r="I502" s="28">
        <v>602787</v>
      </c>
      <c r="J502" s="28">
        <v>365190</v>
      </c>
      <c r="K502" s="28">
        <v>60.58</v>
      </c>
      <c r="L502" s="29">
        <f>SUM(NSE_BhavCopy[[#This Row],[ CLOSE_PRICE]]-NSE_BhavCopy[[#This Row],[ PREV_CLOSE]])/NSE_BhavCopy[[#This Row],[ PREV_CLOSE]]*100</f>
        <v>-0.98784194528874092</v>
      </c>
    </row>
    <row r="503" spans="1:12" hidden="1" x14ac:dyDescent="0.25">
      <c r="A503" s="28" t="s">
        <v>1580</v>
      </c>
      <c r="B503" s="28" t="s">
        <v>321</v>
      </c>
      <c r="C503" s="30">
        <v>44428</v>
      </c>
      <c r="D503" s="28">
        <v>302.25</v>
      </c>
      <c r="E503" s="28">
        <v>303</v>
      </c>
      <c r="F503" s="28">
        <v>303.05</v>
      </c>
      <c r="G503" s="28">
        <v>289.39999999999998</v>
      </c>
      <c r="H503" s="28">
        <v>295</v>
      </c>
      <c r="I503" s="28">
        <v>53994</v>
      </c>
      <c r="J503" s="28">
        <v>32704</v>
      </c>
      <c r="K503" s="28">
        <v>60.57</v>
      </c>
      <c r="L503" s="29">
        <f>SUM(NSE_BhavCopy[[#This Row],[ CLOSE_PRICE]]-NSE_BhavCopy[[#This Row],[ PREV_CLOSE]])/NSE_BhavCopy[[#This Row],[ PREV_CLOSE]]*100</f>
        <v>-4.2514474772539366</v>
      </c>
    </row>
    <row r="504" spans="1:12" hidden="1" x14ac:dyDescent="0.25">
      <c r="A504" s="28" t="s">
        <v>1484</v>
      </c>
      <c r="B504" s="28" t="s">
        <v>321</v>
      </c>
      <c r="C504" s="30">
        <v>44428</v>
      </c>
      <c r="D504" s="28">
        <v>135.85</v>
      </c>
      <c r="E504" s="28">
        <v>134.15</v>
      </c>
      <c r="F504" s="28">
        <v>136.5</v>
      </c>
      <c r="G504" s="28">
        <v>132.80000000000001</v>
      </c>
      <c r="H504" s="28">
        <v>133.86000000000001</v>
      </c>
      <c r="I504" s="28">
        <v>2233977</v>
      </c>
      <c r="J504" s="28">
        <v>1351768</v>
      </c>
      <c r="K504" s="28">
        <v>60.51</v>
      </c>
      <c r="L504" s="29">
        <f>SUM(NSE_BhavCopy[[#This Row],[ CLOSE_PRICE]]-NSE_BhavCopy[[#This Row],[ PREV_CLOSE]])/NSE_BhavCopy[[#This Row],[ PREV_CLOSE]]*100</f>
        <v>-2.2451232977548639</v>
      </c>
    </row>
    <row r="505" spans="1:12" hidden="1" x14ac:dyDescent="0.25">
      <c r="A505" s="28" t="s">
        <v>1746</v>
      </c>
      <c r="B505" s="28" t="s">
        <v>321</v>
      </c>
      <c r="C505" s="30">
        <v>44428</v>
      </c>
      <c r="D505" s="28">
        <v>22.15</v>
      </c>
      <c r="E505" s="28">
        <v>22.3</v>
      </c>
      <c r="F505" s="28">
        <v>24.35</v>
      </c>
      <c r="G505" s="28">
        <v>24.35</v>
      </c>
      <c r="H505" s="28">
        <v>23.83</v>
      </c>
      <c r="I505" s="28">
        <v>27090</v>
      </c>
      <c r="J505" s="28">
        <v>16362</v>
      </c>
      <c r="K505" s="28">
        <v>60.4</v>
      </c>
      <c r="L505" s="29">
        <f>SUM(NSE_BhavCopy[[#This Row],[ CLOSE_PRICE]]-NSE_BhavCopy[[#This Row],[ PREV_CLOSE]])/NSE_BhavCopy[[#This Row],[ PREV_CLOSE]]*100</f>
        <v>9.9322799097065602</v>
      </c>
    </row>
    <row r="506" spans="1:12" hidden="1" x14ac:dyDescent="0.25">
      <c r="A506" s="28" t="s">
        <v>593</v>
      </c>
      <c r="B506" s="28" t="s">
        <v>321</v>
      </c>
      <c r="C506" s="30">
        <v>44428</v>
      </c>
      <c r="D506" s="28">
        <v>48.9</v>
      </c>
      <c r="E506" s="28">
        <v>48.3</v>
      </c>
      <c r="F506" s="28">
        <v>48.5</v>
      </c>
      <c r="G506" s="28">
        <v>46.55</v>
      </c>
      <c r="H506" s="28">
        <v>47.37</v>
      </c>
      <c r="I506" s="28">
        <v>1065095</v>
      </c>
      <c r="J506" s="28">
        <v>642959</v>
      </c>
      <c r="K506" s="28">
        <v>60.37</v>
      </c>
      <c r="L506" s="29">
        <f>SUM(NSE_BhavCopy[[#This Row],[ CLOSE_PRICE]]-NSE_BhavCopy[[#This Row],[ PREV_CLOSE]])/NSE_BhavCopy[[#This Row],[ PREV_CLOSE]]*100</f>
        <v>-4.8057259713701468</v>
      </c>
    </row>
    <row r="507" spans="1:12" hidden="1" x14ac:dyDescent="0.25">
      <c r="A507" s="28" t="s">
        <v>787</v>
      </c>
      <c r="B507" s="28" t="s">
        <v>321</v>
      </c>
      <c r="C507" s="30">
        <v>44428</v>
      </c>
      <c r="D507" s="28">
        <v>301.3</v>
      </c>
      <c r="E507" s="28">
        <v>296.3</v>
      </c>
      <c r="F507" s="28">
        <v>303.39999999999998</v>
      </c>
      <c r="G507" s="28">
        <v>298.8</v>
      </c>
      <c r="H507" s="28">
        <v>299.14999999999998</v>
      </c>
      <c r="I507" s="28">
        <v>3821</v>
      </c>
      <c r="J507" s="28">
        <v>2306</v>
      </c>
      <c r="K507" s="28">
        <v>60.35</v>
      </c>
      <c r="L507" s="29">
        <f>SUM(NSE_BhavCopy[[#This Row],[ CLOSE_PRICE]]-NSE_BhavCopy[[#This Row],[ PREV_CLOSE]])/NSE_BhavCopy[[#This Row],[ PREV_CLOSE]]*100</f>
        <v>-0.82973780285429799</v>
      </c>
    </row>
    <row r="508" spans="1:12" hidden="1" x14ac:dyDescent="0.25">
      <c r="A508" s="28" t="s">
        <v>1190</v>
      </c>
      <c r="B508" s="28" t="s">
        <v>321</v>
      </c>
      <c r="C508" s="30">
        <v>44428</v>
      </c>
      <c r="D508" s="28">
        <v>157.9</v>
      </c>
      <c r="E508" s="28">
        <v>156.9</v>
      </c>
      <c r="F508" s="28">
        <v>157</v>
      </c>
      <c r="G508" s="28">
        <v>151.6</v>
      </c>
      <c r="H508" s="28">
        <v>153.57</v>
      </c>
      <c r="I508" s="28">
        <v>408354</v>
      </c>
      <c r="J508" s="28">
        <v>246321</v>
      </c>
      <c r="K508" s="28">
        <v>60.32</v>
      </c>
      <c r="L508" s="29">
        <f>SUM(NSE_BhavCopy[[#This Row],[ CLOSE_PRICE]]-NSE_BhavCopy[[#This Row],[ PREV_CLOSE]])/NSE_BhavCopy[[#This Row],[ PREV_CLOSE]]*100</f>
        <v>-3.9898670044331923</v>
      </c>
    </row>
    <row r="509" spans="1:12" hidden="1" x14ac:dyDescent="0.25">
      <c r="A509" s="28" t="s">
        <v>863</v>
      </c>
      <c r="B509" s="28" t="s">
        <v>321</v>
      </c>
      <c r="C509" s="30">
        <v>44428</v>
      </c>
      <c r="D509" s="28">
        <v>355.9</v>
      </c>
      <c r="E509" s="28">
        <v>355</v>
      </c>
      <c r="F509" s="28">
        <v>356</v>
      </c>
      <c r="G509" s="28">
        <v>343.7</v>
      </c>
      <c r="H509" s="28">
        <v>347.07</v>
      </c>
      <c r="I509" s="28">
        <v>31636</v>
      </c>
      <c r="J509" s="28">
        <v>19056</v>
      </c>
      <c r="K509" s="28">
        <v>60.24</v>
      </c>
      <c r="L509" s="29">
        <f>SUM(NSE_BhavCopy[[#This Row],[ CLOSE_PRICE]]-NSE_BhavCopy[[#This Row],[ PREV_CLOSE]])/NSE_BhavCopy[[#This Row],[ PREV_CLOSE]]*100</f>
        <v>-3.4279291935937031</v>
      </c>
    </row>
    <row r="510" spans="1:12" hidden="1" x14ac:dyDescent="0.25">
      <c r="A510" s="28" t="s">
        <v>663</v>
      </c>
      <c r="B510" s="28" t="s">
        <v>321</v>
      </c>
      <c r="C510" s="30">
        <v>44428</v>
      </c>
      <c r="D510" s="28">
        <v>6.9</v>
      </c>
      <c r="E510" s="28">
        <v>6.85</v>
      </c>
      <c r="F510" s="28">
        <v>7</v>
      </c>
      <c r="G510" s="28">
        <v>6.8</v>
      </c>
      <c r="H510" s="28">
        <v>6.86</v>
      </c>
      <c r="I510" s="28">
        <v>3657962</v>
      </c>
      <c r="J510" s="28">
        <v>2200577</v>
      </c>
      <c r="K510" s="28">
        <v>60.16</v>
      </c>
      <c r="L510" s="29">
        <f>SUM(NSE_BhavCopy[[#This Row],[ CLOSE_PRICE]]-NSE_BhavCopy[[#This Row],[ PREV_CLOSE]])/NSE_BhavCopy[[#This Row],[ PREV_CLOSE]]*100</f>
        <v>-1.4492753623188481</v>
      </c>
    </row>
    <row r="511" spans="1:12" hidden="1" x14ac:dyDescent="0.25">
      <c r="A511" s="28" t="s">
        <v>1197</v>
      </c>
      <c r="B511" s="28" t="s">
        <v>321</v>
      </c>
      <c r="C511" s="30">
        <v>44428</v>
      </c>
      <c r="D511" s="28">
        <v>15.55</v>
      </c>
      <c r="E511" s="28">
        <v>14.9</v>
      </c>
      <c r="F511" s="28">
        <v>15.3</v>
      </c>
      <c r="G511" s="28">
        <v>14.85</v>
      </c>
      <c r="H511" s="28">
        <v>15.02</v>
      </c>
      <c r="I511" s="28">
        <v>44499</v>
      </c>
      <c r="J511" s="28">
        <v>26766</v>
      </c>
      <c r="K511" s="28">
        <v>60.15</v>
      </c>
      <c r="L511" s="29">
        <f>SUM(NSE_BhavCopy[[#This Row],[ CLOSE_PRICE]]-NSE_BhavCopy[[#This Row],[ PREV_CLOSE]])/NSE_BhavCopy[[#This Row],[ PREV_CLOSE]]*100</f>
        <v>-4.5016077170418072</v>
      </c>
    </row>
    <row r="512" spans="1:12" hidden="1" x14ac:dyDescent="0.25">
      <c r="A512" s="28" t="s">
        <v>1002</v>
      </c>
      <c r="B512" s="28" t="s">
        <v>321</v>
      </c>
      <c r="C512" s="30">
        <v>44428</v>
      </c>
      <c r="D512" s="28">
        <v>80.05</v>
      </c>
      <c r="E512" s="28">
        <v>80</v>
      </c>
      <c r="F512" s="28">
        <v>80.2</v>
      </c>
      <c r="G512" s="28">
        <v>78.150000000000006</v>
      </c>
      <c r="H512" s="28">
        <v>78.66</v>
      </c>
      <c r="I512" s="28">
        <v>1524</v>
      </c>
      <c r="J512" s="28">
        <v>916</v>
      </c>
      <c r="K512" s="28">
        <v>60.1</v>
      </c>
      <c r="L512" s="29">
        <f>SUM(NSE_BhavCopy[[#This Row],[ CLOSE_PRICE]]-NSE_BhavCopy[[#This Row],[ PREV_CLOSE]])/NSE_BhavCopy[[#This Row],[ PREV_CLOSE]]*100</f>
        <v>-2.3735165521548924</v>
      </c>
    </row>
    <row r="513" spans="1:12" hidden="1" x14ac:dyDescent="0.25">
      <c r="A513" s="28" t="s">
        <v>804</v>
      </c>
      <c r="B513" s="28" t="s">
        <v>321</v>
      </c>
      <c r="C513" s="30">
        <v>44428</v>
      </c>
      <c r="D513" s="28">
        <v>40000.300000000003</v>
      </c>
      <c r="E513" s="28">
        <v>39999.300000000003</v>
      </c>
      <c r="F513" s="28">
        <v>39999.300000000003</v>
      </c>
      <c r="G513" s="28">
        <v>39097.1</v>
      </c>
      <c r="H513" s="28">
        <v>39260.699999999997</v>
      </c>
      <c r="I513" s="28">
        <v>3636</v>
      </c>
      <c r="J513" s="28">
        <v>2184</v>
      </c>
      <c r="K513" s="28">
        <v>60.07</v>
      </c>
      <c r="L513" s="29">
        <f>SUM(NSE_BhavCopy[[#This Row],[ CLOSE_PRICE]]-NSE_BhavCopy[[#This Row],[ PREV_CLOSE]])/NSE_BhavCopy[[#This Row],[ PREV_CLOSE]]*100</f>
        <v>-2.2579830651270223</v>
      </c>
    </row>
    <row r="514" spans="1:12" hidden="1" x14ac:dyDescent="0.25">
      <c r="A514" s="28" t="s">
        <v>481</v>
      </c>
      <c r="B514" s="28" t="s">
        <v>321</v>
      </c>
      <c r="C514" s="30">
        <v>44428</v>
      </c>
      <c r="D514" s="28">
        <v>3</v>
      </c>
      <c r="E514" s="28">
        <v>3</v>
      </c>
      <c r="F514" s="28">
        <v>3</v>
      </c>
      <c r="G514" s="28">
        <v>2.95</v>
      </c>
      <c r="H514" s="28">
        <v>2.92</v>
      </c>
      <c r="I514" s="28">
        <v>244084</v>
      </c>
      <c r="J514" s="28">
        <v>146545</v>
      </c>
      <c r="K514" s="28">
        <v>60.04</v>
      </c>
      <c r="L514" s="29">
        <f>SUM(NSE_BhavCopy[[#This Row],[ CLOSE_PRICE]]-NSE_BhavCopy[[#This Row],[ PREV_CLOSE]])/NSE_BhavCopy[[#This Row],[ PREV_CLOSE]]*100</f>
        <v>-1.6666666666666607</v>
      </c>
    </row>
    <row r="515" spans="1:12" hidden="1" x14ac:dyDescent="0.25">
      <c r="A515" s="28" t="s">
        <v>1542</v>
      </c>
      <c r="B515" s="28" t="s">
        <v>321</v>
      </c>
      <c r="C515" s="30">
        <v>44428</v>
      </c>
      <c r="D515" s="28">
        <v>281.14999999999998</v>
      </c>
      <c r="E515" s="28">
        <v>278.25</v>
      </c>
      <c r="F515" s="28">
        <v>281.39999999999998</v>
      </c>
      <c r="G515" s="28">
        <v>270.5</v>
      </c>
      <c r="H515" s="28">
        <v>273.98</v>
      </c>
      <c r="I515" s="28">
        <v>43224</v>
      </c>
      <c r="J515" s="28">
        <v>25948</v>
      </c>
      <c r="K515" s="28">
        <v>60.03</v>
      </c>
      <c r="L515" s="29">
        <f>SUM(NSE_BhavCopy[[#This Row],[ CLOSE_PRICE]]-NSE_BhavCopy[[#This Row],[ PREV_CLOSE]])/NSE_BhavCopy[[#This Row],[ PREV_CLOSE]]*100</f>
        <v>-3.7880135159167625</v>
      </c>
    </row>
    <row r="516" spans="1:12" hidden="1" x14ac:dyDescent="0.25">
      <c r="A516" s="28" t="s">
        <v>1447</v>
      </c>
      <c r="B516" s="28" t="s">
        <v>321</v>
      </c>
      <c r="C516" s="30">
        <v>44428</v>
      </c>
      <c r="D516" s="28">
        <v>79.400000000000006</v>
      </c>
      <c r="E516" s="28">
        <v>79</v>
      </c>
      <c r="F516" s="28">
        <v>79.2</v>
      </c>
      <c r="G516" s="28">
        <v>77.05</v>
      </c>
      <c r="H516" s="28">
        <v>77.569999999999993</v>
      </c>
      <c r="I516" s="28">
        <v>239443</v>
      </c>
      <c r="J516" s="28">
        <v>143576</v>
      </c>
      <c r="K516" s="28">
        <v>59.96</v>
      </c>
      <c r="L516" s="29">
        <f>SUM(NSE_BhavCopy[[#This Row],[ CLOSE_PRICE]]-NSE_BhavCopy[[#This Row],[ PREV_CLOSE]])/NSE_BhavCopy[[#This Row],[ PREV_CLOSE]]*100</f>
        <v>-2.9596977329974914</v>
      </c>
    </row>
    <row r="517" spans="1:12" hidden="1" x14ac:dyDescent="0.25">
      <c r="A517" s="28" t="s">
        <v>1785</v>
      </c>
      <c r="B517" s="28" t="s">
        <v>321</v>
      </c>
      <c r="C517" s="30">
        <v>44428</v>
      </c>
      <c r="D517" s="28">
        <v>59.35</v>
      </c>
      <c r="E517" s="28">
        <v>59</v>
      </c>
      <c r="F517" s="28">
        <v>59.1</v>
      </c>
      <c r="G517" s="28">
        <v>56.95</v>
      </c>
      <c r="H517" s="28">
        <v>57.61</v>
      </c>
      <c r="I517" s="28">
        <v>200325</v>
      </c>
      <c r="J517" s="28">
        <v>120027</v>
      </c>
      <c r="K517" s="28">
        <v>59.92</v>
      </c>
      <c r="L517" s="29">
        <f>SUM(NSE_BhavCopy[[#This Row],[ CLOSE_PRICE]]-NSE_BhavCopy[[#This Row],[ PREV_CLOSE]])/NSE_BhavCopy[[#This Row],[ PREV_CLOSE]]*100</f>
        <v>-4.0438079191238385</v>
      </c>
    </row>
    <row r="518" spans="1:12" hidden="1" x14ac:dyDescent="0.25">
      <c r="A518" s="28" t="s">
        <v>1055</v>
      </c>
      <c r="B518" s="28" t="s">
        <v>321</v>
      </c>
      <c r="C518" s="30">
        <v>44428</v>
      </c>
      <c r="D518" s="28">
        <v>398.32</v>
      </c>
      <c r="E518" s="28">
        <v>406.5</v>
      </c>
      <c r="F518" s="28">
        <v>406.5</v>
      </c>
      <c r="G518" s="28">
        <v>393.89</v>
      </c>
      <c r="H518" s="28">
        <v>394.44</v>
      </c>
      <c r="I518" s="28">
        <v>2115</v>
      </c>
      <c r="J518" s="28">
        <v>1267</v>
      </c>
      <c r="K518" s="28">
        <v>59.91</v>
      </c>
      <c r="L518" s="29">
        <f>SUM(NSE_BhavCopy[[#This Row],[ CLOSE_PRICE]]-NSE_BhavCopy[[#This Row],[ PREV_CLOSE]])/NSE_BhavCopy[[#This Row],[ PREV_CLOSE]]*100</f>
        <v>-1.1121711186985355</v>
      </c>
    </row>
    <row r="519" spans="1:12" hidden="1" x14ac:dyDescent="0.25">
      <c r="A519" s="28" t="s">
        <v>1315</v>
      </c>
      <c r="B519" s="28" t="s">
        <v>321</v>
      </c>
      <c r="C519" s="30">
        <v>44428</v>
      </c>
      <c r="D519" s="28">
        <v>196.7</v>
      </c>
      <c r="E519" s="28">
        <v>196.95</v>
      </c>
      <c r="F519" s="28">
        <v>198.45</v>
      </c>
      <c r="G519" s="28">
        <v>191.9</v>
      </c>
      <c r="H519" s="28">
        <v>194.46</v>
      </c>
      <c r="I519" s="28">
        <v>106279</v>
      </c>
      <c r="J519" s="28">
        <v>63626</v>
      </c>
      <c r="K519" s="28">
        <v>59.87</v>
      </c>
      <c r="L519" s="29">
        <f>SUM(NSE_BhavCopy[[#This Row],[ CLOSE_PRICE]]-NSE_BhavCopy[[#This Row],[ PREV_CLOSE]])/NSE_BhavCopy[[#This Row],[ PREV_CLOSE]]*100</f>
        <v>-2.4402643619725382</v>
      </c>
    </row>
    <row r="520" spans="1:12" hidden="1" x14ac:dyDescent="0.25">
      <c r="A520" s="28" t="s">
        <v>1712</v>
      </c>
      <c r="B520" s="28" t="s">
        <v>321</v>
      </c>
      <c r="C520" s="30">
        <v>44428</v>
      </c>
      <c r="D520" s="28">
        <v>1.85</v>
      </c>
      <c r="E520" s="28">
        <v>1.8</v>
      </c>
      <c r="F520" s="28">
        <v>1.9</v>
      </c>
      <c r="G520" s="28">
        <v>1.8</v>
      </c>
      <c r="H520" s="28">
        <v>1.83</v>
      </c>
      <c r="I520" s="28">
        <v>6137352</v>
      </c>
      <c r="J520" s="28">
        <v>3673429</v>
      </c>
      <c r="K520" s="28">
        <v>59.85</v>
      </c>
      <c r="L520" s="29">
        <f>SUM(NSE_BhavCopy[[#This Row],[ CLOSE_PRICE]]-NSE_BhavCopy[[#This Row],[ PREV_CLOSE]])/NSE_BhavCopy[[#This Row],[ PREV_CLOSE]]*100</f>
        <v>-2.7027027027027049</v>
      </c>
    </row>
    <row r="521" spans="1:12" hidden="1" x14ac:dyDescent="0.25">
      <c r="A521" s="28" t="s">
        <v>559</v>
      </c>
      <c r="B521" s="28" t="s">
        <v>321</v>
      </c>
      <c r="C521" s="30">
        <v>44428</v>
      </c>
      <c r="D521" s="28">
        <v>353.9</v>
      </c>
      <c r="E521" s="28">
        <v>363</v>
      </c>
      <c r="F521" s="28">
        <v>363</v>
      </c>
      <c r="G521" s="28">
        <v>346.9</v>
      </c>
      <c r="H521" s="28">
        <v>349.72</v>
      </c>
      <c r="I521" s="28">
        <v>16123</v>
      </c>
      <c r="J521" s="28">
        <v>9648</v>
      </c>
      <c r="K521" s="28">
        <v>59.84</v>
      </c>
      <c r="L521" s="29">
        <f>SUM(NSE_BhavCopy[[#This Row],[ CLOSE_PRICE]]-NSE_BhavCopy[[#This Row],[ PREV_CLOSE]])/NSE_BhavCopy[[#This Row],[ PREV_CLOSE]]*100</f>
        <v>-1.9779598756710937</v>
      </c>
    </row>
    <row r="522" spans="1:12" hidden="1" x14ac:dyDescent="0.25">
      <c r="A522" s="28" t="s">
        <v>523</v>
      </c>
      <c r="B522" s="28" t="s">
        <v>321</v>
      </c>
      <c r="C522" s="30">
        <v>44428</v>
      </c>
      <c r="D522" s="28">
        <v>672.85</v>
      </c>
      <c r="E522" s="28">
        <v>666.1</v>
      </c>
      <c r="F522" s="28">
        <v>670.65</v>
      </c>
      <c r="G522" s="28">
        <v>651.65</v>
      </c>
      <c r="H522" s="28">
        <v>657.09</v>
      </c>
      <c r="I522" s="28">
        <v>113259</v>
      </c>
      <c r="J522" s="28">
        <v>67747</v>
      </c>
      <c r="K522" s="28">
        <v>59.82</v>
      </c>
      <c r="L522" s="29">
        <f>SUM(NSE_BhavCopy[[#This Row],[ CLOSE_PRICE]]-NSE_BhavCopy[[#This Row],[ PREV_CLOSE]])/NSE_BhavCopy[[#This Row],[ PREV_CLOSE]]*100</f>
        <v>-3.1507765475217426</v>
      </c>
    </row>
    <row r="523" spans="1:12" hidden="1" x14ac:dyDescent="0.25">
      <c r="A523" s="28" t="s">
        <v>1586</v>
      </c>
      <c r="B523" s="28" t="s">
        <v>321</v>
      </c>
      <c r="C523" s="30">
        <v>44428</v>
      </c>
      <c r="D523" s="28">
        <v>734.1</v>
      </c>
      <c r="E523" s="28">
        <v>716.15</v>
      </c>
      <c r="F523" s="28">
        <v>729.7</v>
      </c>
      <c r="G523" s="28">
        <v>715.45</v>
      </c>
      <c r="H523" s="28">
        <v>717.42</v>
      </c>
      <c r="I523" s="28">
        <v>38916</v>
      </c>
      <c r="J523" s="28">
        <v>23267</v>
      </c>
      <c r="K523" s="28">
        <v>59.79</v>
      </c>
      <c r="L523" s="29">
        <f>SUM(NSE_BhavCopy[[#This Row],[ CLOSE_PRICE]]-NSE_BhavCopy[[#This Row],[ PREV_CLOSE]])/NSE_BhavCopy[[#This Row],[ PREV_CLOSE]]*100</f>
        <v>-2.5405258139218057</v>
      </c>
    </row>
    <row r="524" spans="1:12" hidden="1" x14ac:dyDescent="0.25">
      <c r="A524" s="28" t="s">
        <v>801</v>
      </c>
      <c r="B524" s="28" t="s">
        <v>321</v>
      </c>
      <c r="C524" s="30">
        <v>44428</v>
      </c>
      <c r="D524" s="28">
        <v>76.400000000000006</v>
      </c>
      <c r="E524" s="28">
        <v>76</v>
      </c>
      <c r="F524" s="28">
        <v>76.5</v>
      </c>
      <c r="G524" s="28">
        <v>74.650000000000006</v>
      </c>
      <c r="H524" s="28">
        <v>75.09</v>
      </c>
      <c r="I524" s="28">
        <v>103868</v>
      </c>
      <c r="J524" s="28">
        <v>62095</v>
      </c>
      <c r="K524" s="28">
        <v>59.78</v>
      </c>
      <c r="L524" s="29">
        <f>SUM(NSE_BhavCopy[[#This Row],[ CLOSE_PRICE]]-NSE_BhavCopy[[#This Row],[ PREV_CLOSE]])/NSE_BhavCopy[[#This Row],[ PREV_CLOSE]]*100</f>
        <v>-2.2905759162303663</v>
      </c>
    </row>
    <row r="525" spans="1:12" hidden="1" x14ac:dyDescent="0.25">
      <c r="A525" s="28" t="s">
        <v>685</v>
      </c>
      <c r="B525" s="28" t="s">
        <v>321</v>
      </c>
      <c r="C525" s="30">
        <v>44428</v>
      </c>
      <c r="D525" s="28">
        <v>68.7</v>
      </c>
      <c r="E525" s="28">
        <v>68</v>
      </c>
      <c r="F525" s="28">
        <v>68.45</v>
      </c>
      <c r="G525" s="28">
        <v>65.8</v>
      </c>
      <c r="H525" s="28">
        <v>66.849999999999994</v>
      </c>
      <c r="I525" s="28">
        <v>48749</v>
      </c>
      <c r="J525" s="28">
        <v>29139</v>
      </c>
      <c r="K525" s="28">
        <v>59.77</v>
      </c>
      <c r="L525" s="29">
        <f>SUM(NSE_BhavCopy[[#This Row],[ CLOSE_PRICE]]-NSE_BhavCopy[[#This Row],[ PREV_CLOSE]])/NSE_BhavCopy[[#This Row],[ PREV_CLOSE]]*100</f>
        <v>-4.2212518195051025</v>
      </c>
    </row>
    <row r="526" spans="1:12" hidden="1" x14ac:dyDescent="0.25">
      <c r="A526" s="28" t="s">
        <v>1075</v>
      </c>
      <c r="B526" s="28" t="s">
        <v>321</v>
      </c>
      <c r="C526" s="30">
        <v>44428</v>
      </c>
      <c r="D526" s="28">
        <v>72.55</v>
      </c>
      <c r="E526" s="28">
        <v>72.3</v>
      </c>
      <c r="F526" s="28">
        <v>72.3</v>
      </c>
      <c r="G526" s="28">
        <v>69.75</v>
      </c>
      <c r="H526" s="28">
        <v>70.489999999999995</v>
      </c>
      <c r="I526" s="28">
        <v>39863</v>
      </c>
      <c r="J526" s="28">
        <v>23815</v>
      </c>
      <c r="K526" s="28">
        <v>59.74</v>
      </c>
      <c r="L526" s="29">
        <f>SUM(NSE_BhavCopy[[#This Row],[ CLOSE_PRICE]]-NSE_BhavCopy[[#This Row],[ PREV_CLOSE]])/NSE_BhavCopy[[#This Row],[ PREV_CLOSE]]*100</f>
        <v>-3.8594073053066813</v>
      </c>
    </row>
    <row r="527" spans="1:12" hidden="1" x14ac:dyDescent="0.25">
      <c r="A527" s="28" t="s">
        <v>1242</v>
      </c>
      <c r="B527" s="28" t="s">
        <v>321</v>
      </c>
      <c r="C527" s="30">
        <v>44428</v>
      </c>
      <c r="D527" s="28">
        <v>248.55</v>
      </c>
      <c r="E527" s="28">
        <v>249.8</v>
      </c>
      <c r="F527" s="28">
        <v>250</v>
      </c>
      <c r="G527" s="28">
        <v>244.55</v>
      </c>
      <c r="H527" s="28">
        <v>244.35</v>
      </c>
      <c r="I527" s="28">
        <v>32785</v>
      </c>
      <c r="J527" s="28">
        <v>19581</v>
      </c>
      <c r="K527" s="28">
        <v>59.73</v>
      </c>
      <c r="L527" s="29">
        <f>SUM(NSE_BhavCopy[[#This Row],[ CLOSE_PRICE]]-NSE_BhavCopy[[#This Row],[ PREV_CLOSE]])/NSE_BhavCopy[[#This Row],[ PREV_CLOSE]]*100</f>
        <v>-1.6093341380004023</v>
      </c>
    </row>
    <row r="528" spans="1:12" hidden="1" x14ac:dyDescent="0.25">
      <c r="A528" s="28" t="s">
        <v>1384</v>
      </c>
      <c r="B528" s="28" t="s">
        <v>321</v>
      </c>
      <c r="C528" s="30">
        <v>44428</v>
      </c>
      <c r="D528" s="28">
        <v>1959.5</v>
      </c>
      <c r="E528" s="28">
        <v>1950.35</v>
      </c>
      <c r="F528" s="28">
        <v>1962.85</v>
      </c>
      <c r="G528" s="28">
        <v>1923.35</v>
      </c>
      <c r="H528" s="28">
        <v>1926.51</v>
      </c>
      <c r="I528" s="28">
        <v>45196</v>
      </c>
      <c r="J528" s="28">
        <v>26969</v>
      </c>
      <c r="K528" s="28">
        <v>59.67</v>
      </c>
      <c r="L528" s="29">
        <f>SUM(NSE_BhavCopy[[#This Row],[ CLOSE_PRICE]]-NSE_BhavCopy[[#This Row],[ PREV_CLOSE]])/NSE_BhavCopy[[#This Row],[ PREV_CLOSE]]*100</f>
        <v>-1.8448583822403724</v>
      </c>
    </row>
    <row r="529" spans="1:12" hidden="1" x14ac:dyDescent="0.25">
      <c r="A529" s="28" t="s">
        <v>483</v>
      </c>
      <c r="B529" s="28" t="s">
        <v>321</v>
      </c>
      <c r="C529" s="30">
        <v>44428</v>
      </c>
      <c r="D529" s="28">
        <v>124.8</v>
      </c>
      <c r="E529" s="28">
        <v>124</v>
      </c>
      <c r="F529" s="28">
        <v>126.2</v>
      </c>
      <c r="G529" s="28">
        <v>122.35</v>
      </c>
      <c r="H529" s="28">
        <v>123.21</v>
      </c>
      <c r="I529" s="28">
        <v>20010</v>
      </c>
      <c r="J529" s="28">
        <v>11935</v>
      </c>
      <c r="K529" s="28">
        <v>59.65</v>
      </c>
      <c r="L529" s="29">
        <f>SUM(NSE_BhavCopy[[#This Row],[ CLOSE_PRICE]]-NSE_BhavCopy[[#This Row],[ PREV_CLOSE]])/NSE_BhavCopy[[#This Row],[ PREV_CLOSE]]*100</f>
        <v>-1.963141025641028</v>
      </c>
    </row>
    <row r="530" spans="1:12" hidden="1" x14ac:dyDescent="0.25">
      <c r="A530" s="28" t="s">
        <v>959</v>
      </c>
      <c r="B530" s="28" t="s">
        <v>321</v>
      </c>
      <c r="C530" s="30">
        <v>44428</v>
      </c>
      <c r="D530" s="28">
        <v>84.45</v>
      </c>
      <c r="E530" s="28">
        <v>82</v>
      </c>
      <c r="F530" s="28">
        <v>82.8</v>
      </c>
      <c r="G530" s="28">
        <v>77.650000000000006</v>
      </c>
      <c r="H530" s="28">
        <v>80.08</v>
      </c>
      <c r="I530" s="28">
        <v>8412</v>
      </c>
      <c r="J530" s="28">
        <v>5016</v>
      </c>
      <c r="K530" s="28">
        <v>59.63</v>
      </c>
      <c r="L530" s="29">
        <f>SUM(NSE_BhavCopy[[#This Row],[ CLOSE_PRICE]]-NSE_BhavCopy[[#This Row],[ PREV_CLOSE]])/NSE_BhavCopy[[#This Row],[ PREV_CLOSE]]*100</f>
        <v>-8.052101835405562</v>
      </c>
    </row>
    <row r="531" spans="1:12" hidden="1" x14ac:dyDescent="0.25">
      <c r="A531" s="28" t="s">
        <v>707</v>
      </c>
      <c r="B531" s="28" t="s">
        <v>321</v>
      </c>
      <c r="C531" s="30">
        <v>44428</v>
      </c>
      <c r="D531" s="28">
        <v>6004.1</v>
      </c>
      <c r="E531" s="28">
        <v>6034.9</v>
      </c>
      <c r="F531" s="28">
        <v>6062.65</v>
      </c>
      <c r="G531" s="28">
        <v>5993.05</v>
      </c>
      <c r="H531" s="28">
        <v>6014.2</v>
      </c>
      <c r="I531" s="28">
        <v>6536</v>
      </c>
      <c r="J531" s="28">
        <v>3897</v>
      </c>
      <c r="K531" s="28">
        <v>59.62</v>
      </c>
      <c r="L531" s="29">
        <f>SUM(NSE_BhavCopy[[#This Row],[ CLOSE_PRICE]]-NSE_BhavCopy[[#This Row],[ PREV_CLOSE]])/NSE_BhavCopy[[#This Row],[ PREV_CLOSE]]*100</f>
        <v>-0.18404090538132578</v>
      </c>
    </row>
    <row r="532" spans="1:12" hidden="1" x14ac:dyDescent="0.25">
      <c r="A532" s="28" t="s">
        <v>1576</v>
      </c>
      <c r="B532" s="28" t="s">
        <v>321</v>
      </c>
      <c r="C532" s="30">
        <v>44428</v>
      </c>
      <c r="D532" s="28">
        <v>3028.15</v>
      </c>
      <c r="E532" s="28">
        <v>3005</v>
      </c>
      <c r="F532" s="28">
        <v>3104.95</v>
      </c>
      <c r="G532" s="28">
        <v>2975.95</v>
      </c>
      <c r="H532" s="28">
        <v>3004.02</v>
      </c>
      <c r="I532" s="28">
        <v>1480</v>
      </c>
      <c r="J532" s="28">
        <v>882</v>
      </c>
      <c r="K532" s="28">
        <v>59.59</v>
      </c>
      <c r="L532" s="29">
        <f>SUM(NSE_BhavCopy[[#This Row],[ CLOSE_PRICE]]-NSE_BhavCopy[[#This Row],[ PREV_CLOSE]])/NSE_BhavCopy[[#This Row],[ PREV_CLOSE]]*100</f>
        <v>-1.723824777504426</v>
      </c>
    </row>
    <row r="533" spans="1:12" hidden="1" x14ac:dyDescent="0.25">
      <c r="A533" s="28" t="s">
        <v>853</v>
      </c>
      <c r="B533" s="28" t="s">
        <v>321</v>
      </c>
      <c r="C533" s="30">
        <v>44428</v>
      </c>
      <c r="D533" s="28">
        <v>23.75</v>
      </c>
      <c r="E533" s="28">
        <v>23.1</v>
      </c>
      <c r="F533" s="28">
        <v>23.7</v>
      </c>
      <c r="G533" s="28">
        <v>22.4</v>
      </c>
      <c r="H533" s="28">
        <v>22.54</v>
      </c>
      <c r="I533" s="28">
        <v>172968</v>
      </c>
      <c r="J533" s="28">
        <v>102985</v>
      </c>
      <c r="K533" s="28">
        <v>59.54</v>
      </c>
      <c r="L533" s="29">
        <f>SUM(NSE_BhavCopy[[#This Row],[ CLOSE_PRICE]]-NSE_BhavCopy[[#This Row],[ PREV_CLOSE]])/NSE_BhavCopy[[#This Row],[ PREV_CLOSE]]*100</f>
        <v>-5.6842105263157956</v>
      </c>
    </row>
    <row r="534" spans="1:12" hidden="1" x14ac:dyDescent="0.25">
      <c r="A534" s="28" t="s">
        <v>1669</v>
      </c>
      <c r="B534" s="28" t="s">
        <v>321</v>
      </c>
      <c r="C534" s="30">
        <v>44428</v>
      </c>
      <c r="D534" s="28">
        <v>39</v>
      </c>
      <c r="E534" s="28">
        <v>39.5</v>
      </c>
      <c r="F534" s="28">
        <v>41</v>
      </c>
      <c r="G534" s="28">
        <v>37.85</v>
      </c>
      <c r="H534" s="28">
        <v>38.58</v>
      </c>
      <c r="I534" s="28">
        <v>120053</v>
      </c>
      <c r="J534" s="28">
        <v>71467</v>
      </c>
      <c r="K534" s="28">
        <v>59.53</v>
      </c>
      <c r="L534" s="29">
        <f>SUM(NSE_BhavCopy[[#This Row],[ CLOSE_PRICE]]-NSE_BhavCopy[[#This Row],[ PREV_CLOSE]])/NSE_BhavCopy[[#This Row],[ PREV_CLOSE]]*100</f>
        <v>-2.9487179487179453</v>
      </c>
    </row>
    <row r="535" spans="1:12" hidden="1" x14ac:dyDescent="0.25">
      <c r="A535" s="28" t="s">
        <v>1537</v>
      </c>
      <c r="B535" s="28" t="s">
        <v>321</v>
      </c>
      <c r="C535" s="30">
        <v>44428</v>
      </c>
      <c r="D535" s="28">
        <v>92.2</v>
      </c>
      <c r="E535" s="28">
        <v>91</v>
      </c>
      <c r="F535" s="28">
        <v>94</v>
      </c>
      <c r="G535" s="28">
        <v>91.5</v>
      </c>
      <c r="H535" s="28">
        <v>92.44</v>
      </c>
      <c r="I535" s="28">
        <v>144357</v>
      </c>
      <c r="J535" s="28">
        <v>85930</v>
      </c>
      <c r="K535" s="28">
        <v>59.53</v>
      </c>
      <c r="L535" s="29">
        <f>SUM(NSE_BhavCopy[[#This Row],[ CLOSE_PRICE]]-NSE_BhavCopy[[#This Row],[ PREV_CLOSE]])/NSE_BhavCopy[[#This Row],[ PREV_CLOSE]]*100</f>
        <v>-0.75921908893709633</v>
      </c>
    </row>
    <row r="536" spans="1:12" hidden="1" x14ac:dyDescent="0.25">
      <c r="A536" s="28" t="s">
        <v>550</v>
      </c>
      <c r="B536" s="28" t="s">
        <v>321</v>
      </c>
      <c r="C536" s="30">
        <v>44428</v>
      </c>
      <c r="D536" s="28">
        <v>49.6</v>
      </c>
      <c r="E536" s="28">
        <v>48.9</v>
      </c>
      <c r="F536" s="28">
        <v>51.1</v>
      </c>
      <c r="G536" s="28">
        <v>48.6</v>
      </c>
      <c r="H536" s="28">
        <v>49.06</v>
      </c>
      <c r="I536" s="28">
        <v>63621</v>
      </c>
      <c r="J536" s="28">
        <v>37836</v>
      </c>
      <c r="K536" s="28">
        <v>59.47</v>
      </c>
      <c r="L536" s="29">
        <f>SUM(NSE_BhavCopy[[#This Row],[ CLOSE_PRICE]]-NSE_BhavCopy[[#This Row],[ PREV_CLOSE]])/NSE_BhavCopy[[#This Row],[ PREV_CLOSE]]*100</f>
        <v>-2.0161290322580645</v>
      </c>
    </row>
    <row r="537" spans="1:12" hidden="1" x14ac:dyDescent="0.25">
      <c r="A537" s="28" t="s">
        <v>696</v>
      </c>
      <c r="B537" s="28" t="s">
        <v>321</v>
      </c>
      <c r="C537" s="30">
        <v>44428</v>
      </c>
      <c r="D537" s="28">
        <v>43.55</v>
      </c>
      <c r="E537" s="28">
        <v>41</v>
      </c>
      <c r="F537" s="28">
        <v>43.65</v>
      </c>
      <c r="G537" s="28">
        <v>42.2</v>
      </c>
      <c r="H537" s="28">
        <v>42.35</v>
      </c>
      <c r="I537" s="28">
        <v>19596</v>
      </c>
      <c r="J537" s="28">
        <v>11649</v>
      </c>
      <c r="K537" s="28">
        <v>59.45</v>
      </c>
      <c r="L537" s="29">
        <f>SUM(NSE_BhavCopy[[#This Row],[ CLOSE_PRICE]]-NSE_BhavCopy[[#This Row],[ PREV_CLOSE]])/NSE_BhavCopy[[#This Row],[ PREV_CLOSE]]*100</f>
        <v>-3.0998851894374155</v>
      </c>
    </row>
    <row r="538" spans="1:12" hidden="1" x14ac:dyDescent="0.25">
      <c r="A538" s="28" t="s">
        <v>1047</v>
      </c>
      <c r="B538" s="28" t="s">
        <v>321</v>
      </c>
      <c r="C538" s="30">
        <v>44428</v>
      </c>
      <c r="D538" s="28">
        <v>68.400000000000006</v>
      </c>
      <c r="E538" s="28">
        <v>68</v>
      </c>
      <c r="F538" s="28">
        <v>69.5</v>
      </c>
      <c r="G538" s="28">
        <v>67.650000000000006</v>
      </c>
      <c r="H538" s="28">
        <v>68.17</v>
      </c>
      <c r="I538" s="28">
        <v>62877</v>
      </c>
      <c r="J538" s="28">
        <v>37344</v>
      </c>
      <c r="K538" s="28">
        <v>59.39</v>
      </c>
      <c r="L538" s="29">
        <f>SUM(NSE_BhavCopy[[#This Row],[ CLOSE_PRICE]]-NSE_BhavCopy[[#This Row],[ PREV_CLOSE]])/NSE_BhavCopy[[#This Row],[ PREV_CLOSE]]*100</f>
        <v>-1.0964912280701753</v>
      </c>
    </row>
    <row r="539" spans="1:12" hidden="1" x14ac:dyDescent="0.25">
      <c r="A539" s="28" t="s">
        <v>584</v>
      </c>
      <c r="B539" s="28" t="s">
        <v>321</v>
      </c>
      <c r="C539" s="30">
        <v>44428</v>
      </c>
      <c r="D539" s="28">
        <v>188.2</v>
      </c>
      <c r="E539" s="28">
        <v>185.6</v>
      </c>
      <c r="F539" s="28">
        <v>190.3</v>
      </c>
      <c r="G539" s="28">
        <v>181.75</v>
      </c>
      <c r="H539" s="28">
        <v>184.11</v>
      </c>
      <c r="I539" s="28">
        <v>486055</v>
      </c>
      <c r="J539" s="28">
        <v>288428</v>
      </c>
      <c r="K539" s="28">
        <v>59.34</v>
      </c>
      <c r="L539" s="29">
        <f>SUM(NSE_BhavCopy[[#This Row],[ CLOSE_PRICE]]-NSE_BhavCopy[[#This Row],[ PREV_CLOSE]])/NSE_BhavCopy[[#This Row],[ PREV_CLOSE]]*100</f>
        <v>-3.4272051009564235</v>
      </c>
    </row>
    <row r="540" spans="1:12" hidden="1" x14ac:dyDescent="0.25">
      <c r="A540" s="28" t="s">
        <v>852</v>
      </c>
      <c r="B540" s="28" t="s">
        <v>321</v>
      </c>
      <c r="C540" s="30">
        <v>44428</v>
      </c>
      <c r="D540" s="28">
        <v>774.15</v>
      </c>
      <c r="E540" s="28">
        <v>778</v>
      </c>
      <c r="F540" s="28">
        <v>782</v>
      </c>
      <c r="G540" s="28">
        <v>759.05</v>
      </c>
      <c r="H540" s="28">
        <v>761.2</v>
      </c>
      <c r="I540" s="28">
        <v>3175</v>
      </c>
      <c r="J540" s="28">
        <v>1884</v>
      </c>
      <c r="K540" s="28">
        <v>59.34</v>
      </c>
      <c r="L540" s="29">
        <f>SUM(NSE_BhavCopy[[#This Row],[ CLOSE_PRICE]]-NSE_BhavCopy[[#This Row],[ PREV_CLOSE]])/NSE_BhavCopy[[#This Row],[ PREV_CLOSE]]*100</f>
        <v>-1.9505263837757569</v>
      </c>
    </row>
    <row r="541" spans="1:12" hidden="1" x14ac:dyDescent="0.25">
      <c r="A541" s="28" t="s">
        <v>1666</v>
      </c>
      <c r="B541" s="28" t="s">
        <v>321</v>
      </c>
      <c r="C541" s="30">
        <v>44428</v>
      </c>
      <c r="D541" s="28">
        <v>4.25</v>
      </c>
      <c r="E541" s="28">
        <v>4.2</v>
      </c>
      <c r="F541" s="28">
        <v>4.45</v>
      </c>
      <c r="G541" s="28">
        <v>4.25</v>
      </c>
      <c r="H541" s="28">
        <v>4.28</v>
      </c>
      <c r="I541" s="28">
        <v>404295</v>
      </c>
      <c r="J541" s="28">
        <v>239789</v>
      </c>
      <c r="K541" s="28">
        <v>59.31</v>
      </c>
      <c r="L541" s="29">
        <f>SUM(NSE_BhavCopy[[#This Row],[ CLOSE_PRICE]]-NSE_BhavCopy[[#This Row],[ PREV_CLOSE]])/NSE_BhavCopy[[#This Row],[ PREV_CLOSE]]*100</f>
        <v>0</v>
      </c>
    </row>
    <row r="542" spans="1:12" hidden="1" x14ac:dyDescent="0.25">
      <c r="A542" s="28" t="s">
        <v>1581</v>
      </c>
      <c r="B542" s="28" t="s">
        <v>321</v>
      </c>
      <c r="C542" s="30">
        <v>44428</v>
      </c>
      <c r="D542" s="28">
        <v>1907.05</v>
      </c>
      <c r="E542" s="28">
        <v>1890</v>
      </c>
      <c r="F542" s="28">
        <v>1894.6</v>
      </c>
      <c r="G542" s="28">
        <v>1854.4</v>
      </c>
      <c r="H542" s="28">
        <v>1863.89</v>
      </c>
      <c r="I542" s="28">
        <v>55767</v>
      </c>
      <c r="J542" s="28">
        <v>33069</v>
      </c>
      <c r="K542" s="28">
        <v>59.3</v>
      </c>
      <c r="L542" s="29">
        <f>SUM(NSE_BhavCopy[[#This Row],[ CLOSE_PRICE]]-NSE_BhavCopy[[#This Row],[ PREV_CLOSE]])/NSE_BhavCopy[[#This Row],[ PREV_CLOSE]]*100</f>
        <v>-2.760808578694836</v>
      </c>
    </row>
    <row r="543" spans="1:12" hidden="1" x14ac:dyDescent="0.25">
      <c r="A543" s="28" t="s">
        <v>1243</v>
      </c>
      <c r="B543" s="28" t="s">
        <v>321</v>
      </c>
      <c r="C543" s="30">
        <v>44428</v>
      </c>
      <c r="D543" s="28">
        <v>159.65</v>
      </c>
      <c r="E543" s="28">
        <v>156.5</v>
      </c>
      <c r="F543" s="28">
        <v>159.1</v>
      </c>
      <c r="G543" s="28">
        <v>153.6</v>
      </c>
      <c r="H543" s="28">
        <v>155.81</v>
      </c>
      <c r="I543" s="28">
        <v>85991</v>
      </c>
      <c r="J543" s="28">
        <v>50973</v>
      </c>
      <c r="K543" s="28">
        <v>59.28</v>
      </c>
      <c r="L543" s="29">
        <f>SUM(NSE_BhavCopy[[#This Row],[ CLOSE_PRICE]]-NSE_BhavCopy[[#This Row],[ PREV_CLOSE]])/NSE_BhavCopy[[#This Row],[ PREV_CLOSE]]*100</f>
        <v>-3.789539617914194</v>
      </c>
    </row>
    <row r="544" spans="1:12" hidden="1" x14ac:dyDescent="0.25">
      <c r="A544" s="28" t="s">
        <v>1102</v>
      </c>
      <c r="B544" s="28" t="s">
        <v>321</v>
      </c>
      <c r="C544" s="30">
        <v>44428</v>
      </c>
      <c r="D544" s="28">
        <v>54.75</v>
      </c>
      <c r="E544" s="28">
        <v>54</v>
      </c>
      <c r="F544" s="28">
        <v>54.2</v>
      </c>
      <c r="G544" s="28">
        <v>52.2</v>
      </c>
      <c r="H544" s="28">
        <v>52.82</v>
      </c>
      <c r="I544" s="28">
        <v>1524816</v>
      </c>
      <c r="J544" s="28">
        <v>903805</v>
      </c>
      <c r="K544" s="28">
        <v>59.27</v>
      </c>
      <c r="L544" s="29">
        <f>SUM(NSE_BhavCopy[[#This Row],[ CLOSE_PRICE]]-NSE_BhavCopy[[#This Row],[ PREV_CLOSE]])/NSE_BhavCopy[[#This Row],[ PREV_CLOSE]]*100</f>
        <v>-4.6575342465753371</v>
      </c>
    </row>
    <row r="545" spans="1:12" hidden="1" x14ac:dyDescent="0.25">
      <c r="A545" s="28" t="s">
        <v>914</v>
      </c>
      <c r="B545" s="28" t="s">
        <v>321</v>
      </c>
      <c r="C545" s="30">
        <v>44428</v>
      </c>
      <c r="D545" s="28">
        <v>130.05000000000001</v>
      </c>
      <c r="E545" s="28">
        <v>132.44999999999999</v>
      </c>
      <c r="F545" s="28">
        <v>132.44999999999999</v>
      </c>
      <c r="G545" s="28">
        <v>126.55</v>
      </c>
      <c r="H545" s="28">
        <v>127.24</v>
      </c>
      <c r="I545" s="28">
        <v>37672</v>
      </c>
      <c r="J545" s="28">
        <v>22326</v>
      </c>
      <c r="K545" s="28">
        <v>59.26</v>
      </c>
      <c r="L545" s="29">
        <f>SUM(NSE_BhavCopy[[#This Row],[ CLOSE_PRICE]]-NSE_BhavCopy[[#This Row],[ PREV_CLOSE]])/NSE_BhavCopy[[#This Row],[ PREV_CLOSE]]*100</f>
        <v>-2.6912725874663699</v>
      </c>
    </row>
    <row r="546" spans="1:12" hidden="1" x14ac:dyDescent="0.25">
      <c r="A546" s="28" t="s">
        <v>1614</v>
      </c>
      <c r="B546" s="28" t="s">
        <v>321</v>
      </c>
      <c r="C546" s="30">
        <v>44428</v>
      </c>
      <c r="D546" s="28">
        <v>30.05</v>
      </c>
      <c r="E546" s="28">
        <v>29.95</v>
      </c>
      <c r="F546" s="28">
        <v>31.55</v>
      </c>
      <c r="G546" s="28">
        <v>30.95</v>
      </c>
      <c r="H546" s="28">
        <v>31.12</v>
      </c>
      <c r="I546" s="28">
        <v>74947</v>
      </c>
      <c r="J546" s="28">
        <v>44397</v>
      </c>
      <c r="K546" s="28">
        <v>59.24</v>
      </c>
      <c r="L546" s="29">
        <f>SUM(NSE_BhavCopy[[#This Row],[ CLOSE_PRICE]]-NSE_BhavCopy[[#This Row],[ PREV_CLOSE]])/NSE_BhavCopy[[#This Row],[ PREV_CLOSE]]*100</f>
        <v>2.9950083194675492</v>
      </c>
    </row>
    <row r="547" spans="1:12" hidden="1" x14ac:dyDescent="0.25">
      <c r="A547" s="28" t="s">
        <v>1534</v>
      </c>
      <c r="B547" s="28" t="s">
        <v>321</v>
      </c>
      <c r="C547" s="30">
        <v>44428</v>
      </c>
      <c r="D547" s="28">
        <v>155</v>
      </c>
      <c r="E547" s="28">
        <v>153.1</v>
      </c>
      <c r="F547" s="28">
        <v>155.80000000000001</v>
      </c>
      <c r="G547" s="28">
        <v>146.35</v>
      </c>
      <c r="H547" s="28">
        <v>149.35</v>
      </c>
      <c r="I547" s="28">
        <v>56444</v>
      </c>
      <c r="J547" s="28">
        <v>33432</v>
      </c>
      <c r="K547" s="28">
        <v>59.23</v>
      </c>
      <c r="L547" s="29">
        <f>SUM(NSE_BhavCopy[[#This Row],[ CLOSE_PRICE]]-NSE_BhavCopy[[#This Row],[ PREV_CLOSE]])/NSE_BhavCopy[[#This Row],[ PREV_CLOSE]]*100</f>
        <v>-5.5806451612903265</v>
      </c>
    </row>
    <row r="548" spans="1:12" hidden="1" x14ac:dyDescent="0.25">
      <c r="A548" s="28" t="s">
        <v>1057</v>
      </c>
      <c r="B548" s="28" t="s">
        <v>321</v>
      </c>
      <c r="C548" s="30">
        <v>44428</v>
      </c>
      <c r="D548" s="28">
        <v>86.35</v>
      </c>
      <c r="E548" s="28">
        <v>85.7</v>
      </c>
      <c r="F548" s="28">
        <v>86.35</v>
      </c>
      <c r="G548" s="28">
        <v>82.9</v>
      </c>
      <c r="H548" s="28">
        <v>83.97</v>
      </c>
      <c r="I548" s="28">
        <v>85884</v>
      </c>
      <c r="J548" s="28">
        <v>50863</v>
      </c>
      <c r="K548" s="28">
        <v>59.22</v>
      </c>
      <c r="L548" s="29">
        <f>SUM(NSE_BhavCopy[[#This Row],[ CLOSE_PRICE]]-NSE_BhavCopy[[#This Row],[ PREV_CLOSE]])/NSE_BhavCopy[[#This Row],[ PREV_CLOSE]]*100</f>
        <v>-3.9953676896351924</v>
      </c>
    </row>
    <row r="549" spans="1:12" hidden="1" x14ac:dyDescent="0.25">
      <c r="A549" s="28" t="s">
        <v>1622</v>
      </c>
      <c r="B549" s="28" t="s">
        <v>321</v>
      </c>
      <c r="C549" s="30">
        <v>44428</v>
      </c>
      <c r="D549" s="28">
        <v>12.95</v>
      </c>
      <c r="E549" s="28">
        <v>12.9</v>
      </c>
      <c r="F549" s="28">
        <v>13.35</v>
      </c>
      <c r="G549" s="28">
        <v>12.45</v>
      </c>
      <c r="H549" s="28">
        <v>12.77</v>
      </c>
      <c r="I549" s="28">
        <v>1014915</v>
      </c>
      <c r="J549" s="28">
        <v>601014</v>
      </c>
      <c r="K549" s="28">
        <v>59.22</v>
      </c>
      <c r="L549" s="29">
        <f>SUM(NSE_BhavCopy[[#This Row],[ CLOSE_PRICE]]-NSE_BhavCopy[[#This Row],[ PREV_CLOSE]])/NSE_BhavCopy[[#This Row],[ PREV_CLOSE]]*100</f>
        <v>-3.8610038610038608</v>
      </c>
    </row>
    <row r="550" spans="1:12" hidden="1" x14ac:dyDescent="0.25">
      <c r="A550" s="28" t="s">
        <v>1051</v>
      </c>
      <c r="B550" s="28" t="s">
        <v>321</v>
      </c>
      <c r="C550" s="30">
        <v>44428</v>
      </c>
      <c r="D550" s="28">
        <v>68.55</v>
      </c>
      <c r="E550" s="28">
        <v>68</v>
      </c>
      <c r="F550" s="28">
        <v>69.099999999999994</v>
      </c>
      <c r="G550" s="28">
        <v>66.55</v>
      </c>
      <c r="H550" s="28">
        <v>67.11</v>
      </c>
      <c r="I550" s="28">
        <v>322122</v>
      </c>
      <c r="J550" s="28">
        <v>190674</v>
      </c>
      <c r="K550" s="28">
        <v>59.19</v>
      </c>
      <c r="L550" s="29">
        <f>SUM(NSE_BhavCopy[[#This Row],[ CLOSE_PRICE]]-NSE_BhavCopy[[#This Row],[ PREV_CLOSE]])/NSE_BhavCopy[[#This Row],[ PREV_CLOSE]]*100</f>
        <v>-2.9175784099197668</v>
      </c>
    </row>
    <row r="551" spans="1:12" hidden="1" x14ac:dyDescent="0.25">
      <c r="A551" s="28" t="s">
        <v>627</v>
      </c>
      <c r="B551" s="28" t="s">
        <v>321</v>
      </c>
      <c r="C551" s="30">
        <v>44428</v>
      </c>
      <c r="D551" s="28">
        <v>559.20000000000005</v>
      </c>
      <c r="E551" s="28">
        <v>601</v>
      </c>
      <c r="F551" s="28">
        <v>601</v>
      </c>
      <c r="G551" s="28">
        <v>546.9</v>
      </c>
      <c r="H551" s="28">
        <v>561.04</v>
      </c>
      <c r="I551" s="28">
        <v>4241</v>
      </c>
      <c r="J551" s="28">
        <v>2510</v>
      </c>
      <c r="K551" s="28">
        <v>59.18</v>
      </c>
      <c r="L551" s="29">
        <f>SUM(NSE_BhavCopy[[#This Row],[ CLOSE_PRICE]]-NSE_BhavCopy[[#This Row],[ PREV_CLOSE]])/NSE_BhavCopy[[#This Row],[ PREV_CLOSE]]*100</f>
        <v>-2.1995708154506559</v>
      </c>
    </row>
    <row r="552" spans="1:12" hidden="1" x14ac:dyDescent="0.25">
      <c r="A552" s="28" t="s">
        <v>850</v>
      </c>
      <c r="B552" s="28" t="s">
        <v>321</v>
      </c>
      <c r="C552" s="30">
        <v>44428</v>
      </c>
      <c r="D552" s="28">
        <v>1586.3</v>
      </c>
      <c r="E552" s="28">
        <v>1552</v>
      </c>
      <c r="F552" s="28">
        <v>1580</v>
      </c>
      <c r="G552" s="28">
        <v>1509.05</v>
      </c>
      <c r="H552" s="28">
        <v>1529.11</v>
      </c>
      <c r="I552" s="28">
        <v>68403</v>
      </c>
      <c r="J552" s="28">
        <v>40481</v>
      </c>
      <c r="K552" s="28">
        <v>59.18</v>
      </c>
      <c r="L552" s="29">
        <f>SUM(NSE_BhavCopy[[#This Row],[ CLOSE_PRICE]]-NSE_BhavCopy[[#This Row],[ PREV_CLOSE]])/NSE_BhavCopy[[#This Row],[ PREV_CLOSE]]*100</f>
        <v>-4.8698228582235394</v>
      </c>
    </row>
    <row r="553" spans="1:12" hidden="1" x14ac:dyDescent="0.25">
      <c r="A553" s="28" t="s">
        <v>1472</v>
      </c>
      <c r="B553" s="28" t="s">
        <v>321</v>
      </c>
      <c r="C553" s="30">
        <v>44428</v>
      </c>
      <c r="D553" s="28">
        <v>629.5</v>
      </c>
      <c r="E553" s="28">
        <v>620</v>
      </c>
      <c r="F553" s="28">
        <v>636.20000000000005</v>
      </c>
      <c r="G553" s="28">
        <v>625.54999999999995</v>
      </c>
      <c r="H553" s="28">
        <v>627.69000000000005</v>
      </c>
      <c r="I553" s="28">
        <v>332369</v>
      </c>
      <c r="J553" s="28">
        <v>196644</v>
      </c>
      <c r="K553" s="28">
        <v>59.16</v>
      </c>
      <c r="L553" s="29">
        <f>SUM(NSE_BhavCopy[[#This Row],[ CLOSE_PRICE]]-NSE_BhavCopy[[#This Row],[ PREV_CLOSE]])/NSE_BhavCopy[[#This Row],[ PREV_CLOSE]]*100</f>
        <v>-0.62748212867355768</v>
      </c>
    </row>
    <row r="554" spans="1:12" hidden="1" x14ac:dyDescent="0.25">
      <c r="A554" s="28" t="s">
        <v>949</v>
      </c>
      <c r="B554" s="28" t="s">
        <v>321</v>
      </c>
      <c r="C554" s="30">
        <v>44428</v>
      </c>
      <c r="D554" s="28">
        <v>42.9</v>
      </c>
      <c r="E554" s="28">
        <v>42.35</v>
      </c>
      <c r="F554" s="28">
        <v>42.45</v>
      </c>
      <c r="G554" s="28">
        <v>41.1</v>
      </c>
      <c r="H554" s="28">
        <v>41.5</v>
      </c>
      <c r="I554" s="28">
        <v>1786708</v>
      </c>
      <c r="J554" s="28">
        <v>1056443</v>
      </c>
      <c r="K554" s="28">
        <v>59.13</v>
      </c>
      <c r="L554" s="29">
        <f>SUM(NSE_BhavCopy[[#This Row],[ CLOSE_PRICE]]-NSE_BhavCopy[[#This Row],[ PREV_CLOSE]])/NSE_BhavCopy[[#This Row],[ PREV_CLOSE]]*100</f>
        <v>-4.1958041958041887</v>
      </c>
    </row>
    <row r="555" spans="1:12" hidden="1" x14ac:dyDescent="0.25">
      <c r="A555" s="28" t="s">
        <v>1356</v>
      </c>
      <c r="B555" s="28" t="s">
        <v>321</v>
      </c>
      <c r="C555" s="30">
        <v>44428</v>
      </c>
      <c r="D555" s="28">
        <v>16.8</v>
      </c>
      <c r="E555" s="28">
        <v>16.75</v>
      </c>
      <c r="F555" s="28">
        <v>17.5</v>
      </c>
      <c r="G555" s="28">
        <v>16.899999999999999</v>
      </c>
      <c r="H555" s="28">
        <v>16.53</v>
      </c>
      <c r="I555" s="28">
        <v>212816</v>
      </c>
      <c r="J555" s="28">
        <v>125641</v>
      </c>
      <c r="K555" s="28">
        <v>59.04</v>
      </c>
      <c r="L555" s="29">
        <f>SUM(NSE_BhavCopy[[#This Row],[ CLOSE_PRICE]]-NSE_BhavCopy[[#This Row],[ PREV_CLOSE]])/NSE_BhavCopy[[#This Row],[ PREV_CLOSE]]*100</f>
        <v>0.59523809523808258</v>
      </c>
    </row>
    <row r="556" spans="1:12" hidden="1" x14ac:dyDescent="0.25">
      <c r="A556" s="28" t="s">
        <v>1487</v>
      </c>
      <c r="B556" s="28" t="s">
        <v>321</v>
      </c>
      <c r="C556" s="30">
        <v>44428</v>
      </c>
      <c r="D556" s="28">
        <v>434.6</v>
      </c>
      <c r="E556" s="28">
        <v>434.95</v>
      </c>
      <c r="F556" s="28">
        <v>434.95</v>
      </c>
      <c r="G556" s="28">
        <v>409.7</v>
      </c>
      <c r="H556" s="28">
        <v>414.9</v>
      </c>
      <c r="I556" s="28">
        <v>43639</v>
      </c>
      <c r="J556" s="28">
        <v>25742</v>
      </c>
      <c r="K556" s="28">
        <v>58.99</v>
      </c>
      <c r="L556" s="29">
        <f>SUM(NSE_BhavCopy[[#This Row],[ CLOSE_PRICE]]-NSE_BhavCopy[[#This Row],[ PREV_CLOSE]])/NSE_BhavCopy[[#This Row],[ PREV_CLOSE]]*100</f>
        <v>-5.7294063506672881</v>
      </c>
    </row>
    <row r="557" spans="1:12" hidden="1" x14ac:dyDescent="0.25">
      <c r="A557" s="28" t="s">
        <v>566</v>
      </c>
      <c r="B557" s="28" t="s">
        <v>321</v>
      </c>
      <c r="C557" s="30">
        <v>44428</v>
      </c>
      <c r="D557" s="28">
        <v>636.65</v>
      </c>
      <c r="E557" s="28">
        <v>625</v>
      </c>
      <c r="F557" s="28">
        <v>648</v>
      </c>
      <c r="G557" s="28">
        <v>638.95000000000005</v>
      </c>
      <c r="H557" s="28">
        <v>638.08000000000004</v>
      </c>
      <c r="I557" s="28">
        <v>132552</v>
      </c>
      <c r="J557" s="28">
        <v>78112</v>
      </c>
      <c r="K557" s="28">
        <v>58.93</v>
      </c>
      <c r="L557" s="29">
        <f>SUM(NSE_BhavCopy[[#This Row],[ CLOSE_PRICE]]-NSE_BhavCopy[[#This Row],[ PREV_CLOSE]])/NSE_BhavCopy[[#This Row],[ PREV_CLOSE]]*100</f>
        <v>0.36126600172780465</v>
      </c>
    </row>
    <row r="558" spans="1:12" hidden="1" x14ac:dyDescent="0.25">
      <c r="A558" s="28" t="s">
        <v>1590</v>
      </c>
      <c r="B558" s="28" t="s">
        <v>321</v>
      </c>
      <c r="C558" s="30">
        <v>44428</v>
      </c>
      <c r="D558" s="28">
        <v>203.35</v>
      </c>
      <c r="E558" s="28">
        <v>199.55</v>
      </c>
      <c r="F558" s="28">
        <v>207</v>
      </c>
      <c r="G558" s="28">
        <v>196.2</v>
      </c>
      <c r="H558" s="28">
        <v>200.08</v>
      </c>
      <c r="I558" s="28">
        <v>73910</v>
      </c>
      <c r="J558" s="28">
        <v>43537</v>
      </c>
      <c r="K558" s="28">
        <v>58.91</v>
      </c>
      <c r="L558" s="29">
        <f>SUM(NSE_BhavCopy[[#This Row],[ CLOSE_PRICE]]-NSE_BhavCopy[[#This Row],[ PREV_CLOSE]])/NSE_BhavCopy[[#This Row],[ PREV_CLOSE]]*100</f>
        <v>-3.5161052372756361</v>
      </c>
    </row>
    <row r="559" spans="1:12" hidden="1" x14ac:dyDescent="0.25">
      <c r="A559" s="28" t="s">
        <v>1610</v>
      </c>
      <c r="B559" s="28" t="s">
        <v>321</v>
      </c>
      <c r="C559" s="30">
        <v>44428</v>
      </c>
      <c r="D559" s="28">
        <v>540.75</v>
      </c>
      <c r="E559" s="28">
        <v>539</v>
      </c>
      <c r="F559" s="28">
        <v>543.75</v>
      </c>
      <c r="G559" s="28">
        <v>538.70000000000005</v>
      </c>
      <c r="H559" s="28">
        <v>537.82000000000005</v>
      </c>
      <c r="I559" s="28">
        <v>90875</v>
      </c>
      <c r="J559" s="28">
        <v>53419</v>
      </c>
      <c r="K559" s="28">
        <v>58.78</v>
      </c>
      <c r="L559" s="29">
        <f>SUM(NSE_BhavCopy[[#This Row],[ CLOSE_PRICE]]-NSE_BhavCopy[[#This Row],[ PREV_CLOSE]])/NSE_BhavCopy[[#This Row],[ PREV_CLOSE]]*100</f>
        <v>-0.37910309754969113</v>
      </c>
    </row>
    <row r="560" spans="1:12" hidden="1" x14ac:dyDescent="0.25">
      <c r="A560" s="28" t="s">
        <v>406</v>
      </c>
      <c r="B560" s="28" t="s">
        <v>321</v>
      </c>
      <c r="C560" s="30">
        <v>44428</v>
      </c>
      <c r="D560" s="28">
        <v>74.400000000000006</v>
      </c>
      <c r="E560" s="28">
        <v>74</v>
      </c>
      <c r="F560" s="28">
        <v>74.7</v>
      </c>
      <c r="G560" s="28">
        <v>70.5</v>
      </c>
      <c r="H560" s="28">
        <v>71.91</v>
      </c>
      <c r="I560" s="28">
        <v>144823</v>
      </c>
      <c r="J560" s="28">
        <v>85100</v>
      </c>
      <c r="K560" s="28">
        <v>58.76</v>
      </c>
      <c r="L560" s="29">
        <f>SUM(NSE_BhavCopy[[#This Row],[ CLOSE_PRICE]]-NSE_BhavCopy[[#This Row],[ PREV_CLOSE]])/NSE_BhavCopy[[#This Row],[ PREV_CLOSE]]*100</f>
        <v>-5.2419354838709751</v>
      </c>
    </row>
    <row r="561" spans="1:12" hidden="1" x14ac:dyDescent="0.25">
      <c r="A561" s="28" t="s">
        <v>19</v>
      </c>
      <c r="B561" s="28" t="s">
        <v>321</v>
      </c>
      <c r="C561" s="30">
        <v>44428</v>
      </c>
      <c r="D561" s="28">
        <v>1134.25</v>
      </c>
      <c r="E561" s="28">
        <v>1107.5</v>
      </c>
      <c r="F561" s="28">
        <v>1140.75</v>
      </c>
      <c r="G561" s="28">
        <v>1117.3499999999999</v>
      </c>
      <c r="H561" s="28">
        <v>1124.0899999999999</v>
      </c>
      <c r="I561" s="28">
        <v>3467046</v>
      </c>
      <c r="J561" s="28">
        <v>2037229</v>
      </c>
      <c r="K561" s="28">
        <v>58.76</v>
      </c>
      <c r="L561" s="29">
        <f>SUM(NSE_BhavCopy[[#This Row],[ CLOSE_PRICE]]-NSE_BhavCopy[[#This Row],[ PREV_CLOSE]])/NSE_BhavCopy[[#This Row],[ PREV_CLOSE]]*100</f>
        <v>-1.489971346704879</v>
      </c>
    </row>
    <row r="562" spans="1:12" hidden="1" x14ac:dyDescent="0.25">
      <c r="A562" s="28" t="s">
        <v>875</v>
      </c>
      <c r="B562" s="28" t="s">
        <v>321</v>
      </c>
      <c r="C562" s="30">
        <v>44428</v>
      </c>
      <c r="D562" s="28">
        <v>123.8</v>
      </c>
      <c r="E562" s="28">
        <v>123</v>
      </c>
      <c r="F562" s="28">
        <v>124.9</v>
      </c>
      <c r="G562" s="28">
        <v>118.8</v>
      </c>
      <c r="H562" s="28">
        <v>120.94</v>
      </c>
      <c r="I562" s="28">
        <v>260162</v>
      </c>
      <c r="J562" s="28">
        <v>152822</v>
      </c>
      <c r="K562" s="28">
        <v>58.74</v>
      </c>
      <c r="L562" s="29">
        <f>SUM(NSE_BhavCopy[[#This Row],[ CLOSE_PRICE]]-NSE_BhavCopy[[#This Row],[ PREV_CLOSE]])/NSE_BhavCopy[[#This Row],[ PREV_CLOSE]]*100</f>
        <v>-4.0387722132471726</v>
      </c>
    </row>
    <row r="563" spans="1:12" hidden="1" x14ac:dyDescent="0.25">
      <c r="A563" s="28" t="s">
        <v>583</v>
      </c>
      <c r="B563" s="28" t="s">
        <v>321</v>
      </c>
      <c r="C563" s="30">
        <v>44428</v>
      </c>
      <c r="D563" s="28">
        <v>22.4</v>
      </c>
      <c r="E563" s="28">
        <v>22.4</v>
      </c>
      <c r="F563" s="28">
        <v>22.75</v>
      </c>
      <c r="G563" s="28">
        <v>21.3</v>
      </c>
      <c r="H563" s="28">
        <v>21.83</v>
      </c>
      <c r="I563" s="28">
        <v>306871</v>
      </c>
      <c r="J563" s="28">
        <v>180129</v>
      </c>
      <c r="K563" s="28">
        <v>58.7</v>
      </c>
      <c r="L563" s="29">
        <f>SUM(NSE_BhavCopy[[#This Row],[ CLOSE_PRICE]]-NSE_BhavCopy[[#This Row],[ PREV_CLOSE]])/NSE_BhavCopy[[#This Row],[ PREV_CLOSE]]*100</f>
        <v>-4.9107142857142767</v>
      </c>
    </row>
    <row r="564" spans="1:12" hidden="1" x14ac:dyDescent="0.25">
      <c r="A564" s="28" t="s">
        <v>1033</v>
      </c>
      <c r="B564" s="28" t="s">
        <v>321</v>
      </c>
      <c r="C564" s="30">
        <v>44428</v>
      </c>
      <c r="D564" s="28">
        <v>18.899999999999999</v>
      </c>
      <c r="E564" s="28">
        <v>18.600000000000001</v>
      </c>
      <c r="F564" s="28">
        <v>19.2</v>
      </c>
      <c r="G564" s="28">
        <v>18.5</v>
      </c>
      <c r="H564" s="28">
        <v>18.62</v>
      </c>
      <c r="I564" s="28">
        <v>4812210</v>
      </c>
      <c r="J564" s="28">
        <v>2821914</v>
      </c>
      <c r="K564" s="28">
        <v>58.64</v>
      </c>
      <c r="L564" s="29">
        <f>SUM(NSE_BhavCopy[[#This Row],[ CLOSE_PRICE]]-NSE_BhavCopy[[#This Row],[ PREV_CLOSE]])/NSE_BhavCopy[[#This Row],[ PREV_CLOSE]]*100</f>
        <v>-2.1164021164021092</v>
      </c>
    </row>
    <row r="565" spans="1:12" hidden="1" x14ac:dyDescent="0.25">
      <c r="A565" s="28" t="s">
        <v>1744</v>
      </c>
      <c r="B565" s="28" t="s">
        <v>321</v>
      </c>
      <c r="C565" s="30">
        <v>44428</v>
      </c>
      <c r="D565" s="28">
        <v>31.95</v>
      </c>
      <c r="E565" s="28">
        <v>33</v>
      </c>
      <c r="F565" s="28">
        <v>33</v>
      </c>
      <c r="G565" s="28">
        <v>30.8</v>
      </c>
      <c r="H565" s="28">
        <v>31.37</v>
      </c>
      <c r="I565" s="28">
        <v>23998</v>
      </c>
      <c r="J565" s="28">
        <v>14067</v>
      </c>
      <c r="K565" s="28">
        <v>58.62</v>
      </c>
      <c r="L565" s="29">
        <f>SUM(NSE_BhavCopy[[#This Row],[ CLOSE_PRICE]]-NSE_BhavCopy[[#This Row],[ PREV_CLOSE]])/NSE_BhavCopy[[#This Row],[ PREV_CLOSE]]*100</f>
        <v>-3.5993740219092287</v>
      </c>
    </row>
    <row r="566" spans="1:12" hidden="1" x14ac:dyDescent="0.25">
      <c r="A566" s="28" t="s">
        <v>1601</v>
      </c>
      <c r="B566" s="28" t="s">
        <v>321</v>
      </c>
      <c r="C566" s="30">
        <v>44428</v>
      </c>
      <c r="D566" s="28">
        <v>61.4</v>
      </c>
      <c r="E566" s="28">
        <v>61.25</v>
      </c>
      <c r="F566" s="28">
        <v>62</v>
      </c>
      <c r="G566" s="28">
        <v>59.6</v>
      </c>
      <c r="H566" s="28">
        <v>60.32</v>
      </c>
      <c r="I566" s="28">
        <v>104302</v>
      </c>
      <c r="J566" s="28">
        <v>61135</v>
      </c>
      <c r="K566" s="28">
        <v>58.61</v>
      </c>
      <c r="L566" s="29">
        <f>SUM(NSE_BhavCopy[[#This Row],[ CLOSE_PRICE]]-NSE_BhavCopy[[#This Row],[ PREV_CLOSE]])/NSE_BhavCopy[[#This Row],[ PREV_CLOSE]]*100</f>
        <v>-2.9315960912052073</v>
      </c>
    </row>
    <row r="567" spans="1:12" hidden="1" x14ac:dyDescent="0.25">
      <c r="A567" s="28" t="s">
        <v>1348</v>
      </c>
      <c r="B567" s="28" t="s">
        <v>321</v>
      </c>
      <c r="C567" s="30">
        <v>44428</v>
      </c>
      <c r="D567" s="28">
        <v>114.95</v>
      </c>
      <c r="E567" s="28">
        <v>114.85</v>
      </c>
      <c r="F567" s="28">
        <v>117.25</v>
      </c>
      <c r="G567" s="28">
        <v>113.15</v>
      </c>
      <c r="H567" s="28">
        <v>113.82</v>
      </c>
      <c r="I567" s="28">
        <v>110246</v>
      </c>
      <c r="J567" s="28">
        <v>64610</v>
      </c>
      <c r="K567" s="28">
        <v>58.61</v>
      </c>
      <c r="L567" s="29">
        <f>SUM(NSE_BhavCopy[[#This Row],[ CLOSE_PRICE]]-NSE_BhavCopy[[#This Row],[ PREV_CLOSE]])/NSE_BhavCopy[[#This Row],[ PREV_CLOSE]]*100</f>
        <v>-1.5658982166159174</v>
      </c>
    </row>
    <row r="568" spans="1:12" hidden="1" x14ac:dyDescent="0.25">
      <c r="A568" s="28" t="s">
        <v>1420</v>
      </c>
      <c r="B568" s="28" t="s">
        <v>321</v>
      </c>
      <c r="C568" s="30">
        <v>44428</v>
      </c>
      <c r="D568" s="28">
        <v>68.599999999999994</v>
      </c>
      <c r="E568" s="28">
        <v>67.599999999999994</v>
      </c>
      <c r="F568" s="28">
        <v>69.75</v>
      </c>
      <c r="G568" s="28">
        <v>67.3</v>
      </c>
      <c r="H568" s="28">
        <v>67.650000000000006</v>
      </c>
      <c r="I568" s="28">
        <v>77356</v>
      </c>
      <c r="J568" s="28">
        <v>45280</v>
      </c>
      <c r="K568" s="28">
        <v>58.53</v>
      </c>
      <c r="L568" s="29">
        <f>SUM(NSE_BhavCopy[[#This Row],[ CLOSE_PRICE]]-NSE_BhavCopy[[#This Row],[ PREV_CLOSE]])/NSE_BhavCopy[[#This Row],[ PREV_CLOSE]]*100</f>
        <v>-1.8950437317784217</v>
      </c>
    </row>
    <row r="569" spans="1:12" hidden="1" x14ac:dyDescent="0.25">
      <c r="A569" s="28" t="s">
        <v>1500</v>
      </c>
      <c r="B569" s="28" t="s">
        <v>321</v>
      </c>
      <c r="C569" s="30">
        <v>44428</v>
      </c>
      <c r="D569" s="28">
        <v>128.55000000000001</v>
      </c>
      <c r="E569" s="28">
        <v>128.55000000000001</v>
      </c>
      <c r="F569" s="28">
        <v>128.55000000000001</v>
      </c>
      <c r="G569" s="28">
        <v>120.55</v>
      </c>
      <c r="H569" s="28">
        <v>123.43</v>
      </c>
      <c r="I569" s="28">
        <v>36270</v>
      </c>
      <c r="J569" s="28">
        <v>21204</v>
      </c>
      <c r="K569" s="28">
        <v>58.46</v>
      </c>
      <c r="L569" s="29">
        <f>SUM(NSE_BhavCopy[[#This Row],[ CLOSE_PRICE]]-NSE_BhavCopy[[#This Row],[ PREV_CLOSE]])/NSE_BhavCopy[[#This Row],[ PREV_CLOSE]]*100</f>
        <v>-6.2232594321275876</v>
      </c>
    </row>
    <row r="570" spans="1:12" hidden="1" x14ac:dyDescent="0.25">
      <c r="A570" s="28" t="s">
        <v>1567</v>
      </c>
      <c r="B570" s="28" t="s">
        <v>321</v>
      </c>
      <c r="C570" s="30">
        <v>44428</v>
      </c>
      <c r="D570" s="28">
        <v>12.6</v>
      </c>
      <c r="E570" s="28">
        <v>13.2</v>
      </c>
      <c r="F570" s="28">
        <v>13.25</v>
      </c>
      <c r="G570" s="28">
        <v>12.9</v>
      </c>
      <c r="H570" s="28">
        <v>12.83</v>
      </c>
      <c r="I570" s="28">
        <v>17383</v>
      </c>
      <c r="J570" s="28">
        <v>10160</v>
      </c>
      <c r="K570" s="28">
        <v>58.45</v>
      </c>
      <c r="L570" s="29">
        <f>SUM(NSE_BhavCopy[[#This Row],[ CLOSE_PRICE]]-NSE_BhavCopy[[#This Row],[ PREV_CLOSE]])/NSE_BhavCopy[[#This Row],[ PREV_CLOSE]]*100</f>
        <v>2.3809523809523867</v>
      </c>
    </row>
    <row r="571" spans="1:12" hidden="1" x14ac:dyDescent="0.25">
      <c r="A571" s="28" t="s">
        <v>348</v>
      </c>
      <c r="B571" s="28" t="s">
        <v>321</v>
      </c>
      <c r="C571" s="30">
        <v>44428</v>
      </c>
      <c r="D571" s="28">
        <v>273.14999999999998</v>
      </c>
      <c r="E571" s="28">
        <v>271.95</v>
      </c>
      <c r="F571" s="28">
        <v>276.89999999999998</v>
      </c>
      <c r="G571" s="28">
        <v>272.5</v>
      </c>
      <c r="H571" s="28">
        <v>270.77999999999997</v>
      </c>
      <c r="I571" s="28">
        <v>729554</v>
      </c>
      <c r="J571" s="28">
        <v>426259</v>
      </c>
      <c r="K571" s="28">
        <v>58.43</v>
      </c>
      <c r="L571" s="29">
        <f>SUM(NSE_BhavCopy[[#This Row],[ CLOSE_PRICE]]-NSE_BhavCopy[[#This Row],[ PREV_CLOSE]])/NSE_BhavCopy[[#This Row],[ PREV_CLOSE]]*100</f>
        <v>-0.23796448837634168</v>
      </c>
    </row>
    <row r="572" spans="1:12" hidden="1" x14ac:dyDescent="0.25">
      <c r="A572" s="28" t="s">
        <v>1587</v>
      </c>
      <c r="B572" s="28" t="s">
        <v>321</v>
      </c>
      <c r="C572" s="30">
        <v>44428</v>
      </c>
      <c r="D572" s="28">
        <v>114.45</v>
      </c>
      <c r="E572" s="28">
        <v>112.7</v>
      </c>
      <c r="F572" s="28">
        <v>113.8</v>
      </c>
      <c r="G572" s="28">
        <v>111.45</v>
      </c>
      <c r="H572" s="28">
        <v>110.78</v>
      </c>
      <c r="I572" s="28">
        <v>246749</v>
      </c>
      <c r="J572" s="28">
        <v>144029</v>
      </c>
      <c r="K572" s="28">
        <v>58.37</v>
      </c>
      <c r="L572" s="29">
        <f>SUM(NSE_BhavCopy[[#This Row],[ CLOSE_PRICE]]-NSE_BhavCopy[[#This Row],[ PREV_CLOSE]])/NSE_BhavCopy[[#This Row],[ PREV_CLOSE]]*100</f>
        <v>-2.6212319790301439</v>
      </c>
    </row>
    <row r="573" spans="1:12" hidden="1" x14ac:dyDescent="0.25">
      <c r="A573" s="28" t="s">
        <v>1207</v>
      </c>
      <c r="B573" s="28" t="s">
        <v>321</v>
      </c>
      <c r="C573" s="30">
        <v>44428</v>
      </c>
      <c r="D573" s="28">
        <v>21.9</v>
      </c>
      <c r="E573" s="28">
        <v>21.7</v>
      </c>
      <c r="F573" s="28">
        <v>22.3</v>
      </c>
      <c r="G573" s="28">
        <v>21.5</v>
      </c>
      <c r="H573" s="28">
        <v>21.78</v>
      </c>
      <c r="I573" s="28">
        <v>906685</v>
      </c>
      <c r="J573" s="28">
        <v>528741</v>
      </c>
      <c r="K573" s="28">
        <v>58.32</v>
      </c>
      <c r="L573" s="29">
        <f>SUM(NSE_BhavCopy[[#This Row],[ CLOSE_PRICE]]-NSE_BhavCopy[[#This Row],[ PREV_CLOSE]])/NSE_BhavCopy[[#This Row],[ PREV_CLOSE]]*100</f>
        <v>-1.8264840182648339</v>
      </c>
    </row>
    <row r="574" spans="1:12" hidden="1" x14ac:dyDescent="0.25">
      <c r="A574" s="28" t="s">
        <v>1029</v>
      </c>
      <c r="B574" s="28" t="s">
        <v>321</v>
      </c>
      <c r="C574" s="30">
        <v>44428</v>
      </c>
      <c r="D574" s="28">
        <v>29.15</v>
      </c>
      <c r="E574" s="28">
        <v>28.5</v>
      </c>
      <c r="F574" s="28">
        <v>29.5</v>
      </c>
      <c r="G574" s="28">
        <v>28.1</v>
      </c>
      <c r="H574" s="28">
        <v>28.47</v>
      </c>
      <c r="I574" s="28">
        <v>113313</v>
      </c>
      <c r="J574" s="28">
        <v>66028</v>
      </c>
      <c r="K574" s="28">
        <v>58.27</v>
      </c>
      <c r="L574" s="29">
        <f>SUM(NSE_BhavCopy[[#This Row],[ CLOSE_PRICE]]-NSE_BhavCopy[[#This Row],[ PREV_CLOSE]])/NSE_BhavCopy[[#This Row],[ PREV_CLOSE]]*100</f>
        <v>-3.6020583190394415</v>
      </c>
    </row>
    <row r="575" spans="1:12" hidden="1" x14ac:dyDescent="0.25">
      <c r="A575" s="28" t="s">
        <v>971</v>
      </c>
      <c r="B575" s="28" t="s">
        <v>321</v>
      </c>
      <c r="C575" s="30">
        <v>44428</v>
      </c>
      <c r="D575" s="28">
        <v>155.6</v>
      </c>
      <c r="E575" s="28">
        <v>150</v>
      </c>
      <c r="F575" s="28">
        <v>154.19999999999999</v>
      </c>
      <c r="G575" s="28">
        <v>149.05000000000001</v>
      </c>
      <c r="H575" s="28">
        <v>150.74</v>
      </c>
      <c r="I575" s="28">
        <v>156869</v>
      </c>
      <c r="J575" s="28">
        <v>91376</v>
      </c>
      <c r="K575" s="28">
        <v>58.25</v>
      </c>
      <c r="L575" s="29">
        <f>SUM(NSE_BhavCopy[[#This Row],[ CLOSE_PRICE]]-NSE_BhavCopy[[#This Row],[ PREV_CLOSE]])/NSE_BhavCopy[[#This Row],[ PREV_CLOSE]]*100</f>
        <v>-4.2095115681233821</v>
      </c>
    </row>
    <row r="576" spans="1:12" hidden="1" x14ac:dyDescent="0.25">
      <c r="A576" s="28" t="s">
        <v>1770</v>
      </c>
      <c r="B576" s="28" t="s">
        <v>321</v>
      </c>
      <c r="C576" s="30">
        <v>44428</v>
      </c>
      <c r="D576" s="28">
        <v>16.2</v>
      </c>
      <c r="E576" s="28">
        <v>16.649999999999999</v>
      </c>
      <c r="F576" s="28">
        <v>16.649999999999999</v>
      </c>
      <c r="G576" s="28">
        <v>16.2</v>
      </c>
      <c r="H576" s="28">
        <v>16.3</v>
      </c>
      <c r="I576" s="28">
        <v>38644</v>
      </c>
      <c r="J576" s="28">
        <v>22497</v>
      </c>
      <c r="K576" s="28">
        <v>58.22</v>
      </c>
      <c r="L576" s="29">
        <f>SUM(NSE_BhavCopy[[#This Row],[ CLOSE_PRICE]]-NSE_BhavCopy[[#This Row],[ PREV_CLOSE]])/NSE_BhavCopy[[#This Row],[ PREV_CLOSE]]*100</f>
        <v>0</v>
      </c>
    </row>
    <row r="577" spans="1:12" hidden="1" x14ac:dyDescent="0.25">
      <c r="A577" s="28" t="s">
        <v>944</v>
      </c>
      <c r="B577" s="28" t="s">
        <v>321</v>
      </c>
      <c r="C577" s="30">
        <v>44428</v>
      </c>
      <c r="D577" s="28">
        <v>62.85</v>
      </c>
      <c r="E577" s="28">
        <v>62.5</v>
      </c>
      <c r="F577" s="28">
        <v>62.5</v>
      </c>
      <c r="G577" s="28">
        <v>61.8</v>
      </c>
      <c r="H577" s="28">
        <v>61.75</v>
      </c>
      <c r="I577" s="28">
        <v>1016543</v>
      </c>
      <c r="J577" s="28">
        <v>591631</v>
      </c>
      <c r="K577" s="28">
        <v>58.2</v>
      </c>
      <c r="L577" s="29">
        <f>SUM(NSE_BhavCopy[[#This Row],[ CLOSE_PRICE]]-NSE_BhavCopy[[#This Row],[ PREV_CLOSE]])/NSE_BhavCopy[[#This Row],[ PREV_CLOSE]]*100</f>
        <v>-1.670644391408121</v>
      </c>
    </row>
    <row r="578" spans="1:12" hidden="1" x14ac:dyDescent="0.25">
      <c r="A578" s="28" t="s">
        <v>1497</v>
      </c>
      <c r="B578" s="28" t="s">
        <v>321</v>
      </c>
      <c r="C578" s="30">
        <v>44428</v>
      </c>
      <c r="D578" s="28">
        <v>33.9</v>
      </c>
      <c r="E578" s="28">
        <v>33.25</v>
      </c>
      <c r="F578" s="28">
        <v>34.5</v>
      </c>
      <c r="G578" s="28">
        <v>32.549999999999997</v>
      </c>
      <c r="H578" s="28">
        <v>33.21</v>
      </c>
      <c r="I578" s="28">
        <v>528606</v>
      </c>
      <c r="J578" s="28">
        <v>307571</v>
      </c>
      <c r="K578" s="28">
        <v>58.19</v>
      </c>
      <c r="L578" s="29">
        <f>SUM(NSE_BhavCopy[[#This Row],[ CLOSE_PRICE]]-NSE_BhavCopy[[#This Row],[ PREV_CLOSE]])/NSE_BhavCopy[[#This Row],[ PREV_CLOSE]]*100</f>
        <v>-3.9823008849557562</v>
      </c>
    </row>
    <row r="579" spans="1:12" hidden="1" x14ac:dyDescent="0.25">
      <c r="A579" s="28" t="s">
        <v>1178</v>
      </c>
      <c r="B579" s="28" t="s">
        <v>321</v>
      </c>
      <c r="C579" s="30">
        <v>44428</v>
      </c>
      <c r="D579" s="28">
        <v>1052.2</v>
      </c>
      <c r="E579" s="28">
        <v>1048</v>
      </c>
      <c r="F579" s="28">
        <v>1066.95</v>
      </c>
      <c r="G579" s="28">
        <v>1041.95</v>
      </c>
      <c r="H579" s="28">
        <v>1046.74</v>
      </c>
      <c r="I579" s="28">
        <v>12679</v>
      </c>
      <c r="J579" s="28">
        <v>7372</v>
      </c>
      <c r="K579" s="28">
        <v>58.14</v>
      </c>
      <c r="L579" s="29">
        <f>SUM(NSE_BhavCopy[[#This Row],[ CLOSE_PRICE]]-NSE_BhavCopy[[#This Row],[ PREV_CLOSE]])/NSE_BhavCopy[[#This Row],[ PREV_CLOSE]]*100</f>
        <v>-0.97414940125451432</v>
      </c>
    </row>
    <row r="580" spans="1:12" hidden="1" x14ac:dyDescent="0.25">
      <c r="A580" s="28" t="s">
        <v>1292</v>
      </c>
      <c r="B580" s="28" t="s">
        <v>321</v>
      </c>
      <c r="C580" s="30">
        <v>44428</v>
      </c>
      <c r="D580" s="28">
        <v>144.85</v>
      </c>
      <c r="E580" s="28">
        <v>141.5</v>
      </c>
      <c r="F580" s="28">
        <v>143.25</v>
      </c>
      <c r="G580" s="28">
        <v>136.69999999999999</v>
      </c>
      <c r="H580" s="28">
        <v>139.77000000000001</v>
      </c>
      <c r="I580" s="28">
        <v>1251549</v>
      </c>
      <c r="J580" s="28">
        <v>727576</v>
      </c>
      <c r="K580" s="28">
        <v>58.13</v>
      </c>
      <c r="L580" s="29">
        <f>SUM(NSE_BhavCopy[[#This Row],[ CLOSE_PRICE]]-NSE_BhavCopy[[#This Row],[ PREV_CLOSE]])/NSE_BhavCopy[[#This Row],[ PREV_CLOSE]]*100</f>
        <v>-5.6265101829478814</v>
      </c>
    </row>
    <row r="581" spans="1:12" hidden="1" x14ac:dyDescent="0.25">
      <c r="A581" s="28" t="s">
        <v>574</v>
      </c>
      <c r="B581" s="28" t="s">
        <v>321</v>
      </c>
      <c r="C581" s="30">
        <v>44428</v>
      </c>
      <c r="D581" s="28">
        <v>162.30000000000001</v>
      </c>
      <c r="E581" s="28">
        <v>160</v>
      </c>
      <c r="F581" s="28">
        <v>163.1</v>
      </c>
      <c r="G581" s="28">
        <v>155.30000000000001</v>
      </c>
      <c r="H581" s="28">
        <v>158.22</v>
      </c>
      <c r="I581" s="28">
        <v>105509</v>
      </c>
      <c r="J581" s="28">
        <v>61282</v>
      </c>
      <c r="K581" s="28">
        <v>58.08</v>
      </c>
      <c r="L581" s="29">
        <f>SUM(NSE_BhavCopy[[#This Row],[ CLOSE_PRICE]]-NSE_BhavCopy[[#This Row],[ PREV_CLOSE]])/NSE_BhavCopy[[#This Row],[ PREV_CLOSE]]*100</f>
        <v>-4.3130006161429453</v>
      </c>
    </row>
    <row r="582" spans="1:12" hidden="1" x14ac:dyDescent="0.25">
      <c r="A582" s="28" t="s">
        <v>797</v>
      </c>
      <c r="B582" s="28" t="s">
        <v>321</v>
      </c>
      <c r="C582" s="30">
        <v>44428</v>
      </c>
      <c r="D582" s="28">
        <v>217.15</v>
      </c>
      <c r="E582" s="28">
        <v>212.4</v>
      </c>
      <c r="F582" s="28">
        <v>215.5</v>
      </c>
      <c r="G582" s="28">
        <v>207.25</v>
      </c>
      <c r="H582" s="28">
        <v>209.71</v>
      </c>
      <c r="I582" s="28">
        <v>3261</v>
      </c>
      <c r="J582" s="28">
        <v>1894</v>
      </c>
      <c r="K582" s="28">
        <v>58.08</v>
      </c>
      <c r="L582" s="29">
        <f>SUM(NSE_BhavCopy[[#This Row],[ CLOSE_PRICE]]-NSE_BhavCopy[[#This Row],[ PREV_CLOSE]])/NSE_BhavCopy[[#This Row],[ PREV_CLOSE]]*100</f>
        <v>-4.5590605572185154</v>
      </c>
    </row>
    <row r="583" spans="1:12" hidden="1" x14ac:dyDescent="0.25">
      <c r="A583" s="28" t="s">
        <v>46</v>
      </c>
      <c r="B583" s="28" t="s">
        <v>321</v>
      </c>
      <c r="C583" s="30">
        <v>44428</v>
      </c>
      <c r="D583" s="28">
        <v>688.3</v>
      </c>
      <c r="E583" s="28">
        <v>683.85</v>
      </c>
      <c r="F583" s="28">
        <v>684.4</v>
      </c>
      <c r="G583" s="28">
        <v>680.7</v>
      </c>
      <c r="H583" s="28">
        <v>679.78</v>
      </c>
      <c r="I583" s="28">
        <v>13121808</v>
      </c>
      <c r="J583" s="28">
        <v>7617084</v>
      </c>
      <c r="K583" s="28">
        <v>58.05</v>
      </c>
      <c r="L583" s="29">
        <f>SUM(NSE_BhavCopy[[#This Row],[ CLOSE_PRICE]]-NSE_BhavCopy[[#This Row],[ PREV_CLOSE]])/NSE_BhavCopy[[#This Row],[ PREV_CLOSE]]*100</f>
        <v>-1.1041696934476115</v>
      </c>
    </row>
    <row r="584" spans="1:12" hidden="1" x14ac:dyDescent="0.25">
      <c r="A584" s="28" t="s">
        <v>1034</v>
      </c>
      <c r="B584" s="28" t="s">
        <v>321</v>
      </c>
      <c r="C584" s="30">
        <v>44428</v>
      </c>
      <c r="D584" s="28">
        <v>94.4</v>
      </c>
      <c r="E584" s="28">
        <v>93.2</v>
      </c>
      <c r="F584" s="28">
        <v>94.9</v>
      </c>
      <c r="G584" s="28">
        <v>90.6</v>
      </c>
      <c r="H584" s="28">
        <v>91.87</v>
      </c>
      <c r="I584" s="28">
        <v>40974</v>
      </c>
      <c r="J584" s="28">
        <v>23786</v>
      </c>
      <c r="K584" s="28">
        <v>58.05</v>
      </c>
      <c r="L584" s="29">
        <f>SUM(NSE_BhavCopy[[#This Row],[ CLOSE_PRICE]]-NSE_BhavCopy[[#This Row],[ PREV_CLOSE]])/NSE_BhavCopy[[#This Row],[ PREV_CLOSE]]*100</f>
        <v>-4.0254237288135712</v>
      </c>
    </row>
    <row r="585" spans="1:12" x14ac:dyDescent="0.25">
      <c r="A585" s="28" t="s">
        <v>578</v>
      </c>
      <c r="B585" s="28" t="s">
        <v>321</v>
      </c>
      <c r="C585" s="30">
        <v>44428</v>
      </c>
      <c r="D585" s="28">
        <v>1902.95</v>
      </c>
      <c r="E585" s="28">
        <v>1902.95</v>
      </c>
      <c r="F585" s="28">
        <v>1984.95</v>
      </c>
      <c r="G585" s="28">
        <v>1953.45</v>
      </c>
      <c r="H585" s="28">
        <v>1946.92</v>
      </c>
      <c r="I585" s="28">
        <v>569703</v>
      </c>
      <c r="J585" s="28">
        <v>330674</v>
      </c>
      <c r="K585" s="28">
        <v>58.04</v>
      </c>
      <c r="L585" s="29">
        <f>SUM(NSE_BhavCopy[[#This Row],[ CLOSE_PRICE]]-NSE_BhavCopy[[#This Row],[ PREV_CLOSE]])/NSE_BhavCopy[[#This Row],[ PREV_CLOSE]]*100</f>
        <v>2.6537744029007593</v>
      </c>
    </row>
    <row r="586" spans="1:12" hidden="1" x14ac:dyDescent="0.25">
      <c r="A586" s="28" t="s">
        <v>1376</v>
      </c>
      <c r="B586" s="28" t="s">
        <v>321</v>
      </c>
      <c r="C586" s="30">
        <v>44428</v>
      </c>
      <c r="D586" s="28">
        <v>148.19999999999999</v>
      </c>
      <c r="E586" s="28">
        <v>148.94999999999999</v>
      </c>
      <c r="F586" s="28">
        <v>148.94999999999999</v>
      </c>
      <c r="G586" s="28">
        <v>142.6</v>
      </c>
      <c r="H586" s="28">
        <v>143.83000000000001</v>
      </c>
      <c r="I586" s="28">
        <v>251524</v>
      </c>
      <c r="J586" s="28">
        <v>145903</v>
      </c>
      <c r="K586" s="28">
        <v>58.01</v>
      </c>
      <c r="L586" s="29">
        <f>SUM(NSE_BhavCopy[[#This Row],[ CLOSE_PRICE]]-NSE_BhavCopy[[#This Row],[ PREV_CLOSE]])/NSE_BhavCopy[[#This Row],[ PREV_CLOSE]]*100</f>
        <v>-3.7786774628879858</v>
      </c>
    </row>
    <row r="587" spans="1:12" hidden="1" x14ac:dyDescent="0.25">
      <c r="A587" s="28" t="s">
        <v>1342</v>
      </c>
      <c r="B587" s="28" t="s">
        <v>321</v>
      </c>
      <c r="C587" s="30">
        <v>44428</v>
      </c>
      <c r="D587" s="28">
        <v>165</v>
      </c>
      <c r="E587" s="28">
        <v>164.9</v>
      </c>
      <c r="F587" s="28">
        <v>164.9</v>
      </c>
      <c r="G587" s="28">
        <v>158.30000000000001</v>
      </c>
      <c r="H587" s="28">
        <v>158.33000000000001</v>
      </c>
      <c r="I587" s="28">
        <v>45625</v>
      </c>
      <c r="J587" s="28">
        <v>26453</v>
      </c>
      <c r="K587" s="28">
        <v>57.98</v>
      </c>
      <c r="L587" s="29">
        <f>SUM(NSE_BhavCopy[[#This Row],[ CLOSE_PRICE]]-NSE_BhavCopy[[#This Row],[ PREV_CLOSE]])/NSE_BhavCopy[[#This Row],[ PREV_CLOSE]]*100</f>
        <v>-4.0606060606060534</v>
      </c>
    </row>
    <row r="588" spans="1:12" hidden="1" x14ac:dyDescent="0.25">
      <c r="A588" s="28" t="s">
        <v>1175</v>
      </c>
      <c r="B588" s="28" t="s">
        <v>321</v>
      </c>
      <c r="C588" s="30">
        <v>44428</v>
      </c>
      <c r="D588" s="28">
        <v>457.6</v>
      </c>
      <c r="E588" s="28">
        <v>462.8</v>
      </c>
      <c r="F588" s="28">
        <v>469.85</v>
      </c>
      <c r="G588" s="28">
        <v>451.25</v>
      </c>
      <c r="H588" s="28">
        <v>453.02</v>
      </c>
      <c r="I588" s="28">
        <v>5523</v>
      </c>
      <c r="J588" s="28">
        <v>3201</v>
      </c>
      <c r="K588" s="28">
        <v>57.96</v>
      </c>
      <c r="L588" s="29">
        <f>SUM(NSE_BhavCopy[[#This Row],[ CLOSE_PRICE]]-NSE_BhavCopy[[#This Row],[ PREV_CLOSE]])/NSE_BhavCopy[[#This Row],[ PREV_CLOSE]]*100</f>
        <v>-1.3876748251748301</v>
      </c>
    </row>
    <row r="589" spans="1:12" hidden="1" x14ac:dyDescent="0.25">
      <c r="A589" s="28" t="s">
        <v>1341</v>
      </c>
      <c r="B589" s="28" t="s">
        <v>321</v>
      </c>
      <c r="C589" s="30">
        <v>44428</v>
      </c>
      <c r="D589" s="28">
        <v>75.599999999999994</v>
      </c>
      <c r="E589" s="28">
        <v>75.5</v>
      </c>
      <c r="F589" s="28">
        <v>75.5</v>
      </c>
      <c r="G589" s="28">
        <v>73.400000000000006</v>
      </c>
      <c r="H589" s="28">
        <v>72.98</v>
      </c>
      <c r="I589" s="28">
        <v>151916</v>
      </c>
      <c r="J589" s="28">
        <v>88037</v>
      </c>
      <c r="K589" s="28">
        <v>57.95</v>
      </c>
      <c r="L589" s="29">
        <f>SUM(NSE_BhavCopy[[#This Row],[ CLOSE_PRICE]]-NSE_BhavCopy[[#This Row],[ PREV_CLOSE]])/NSE_BhavCopy[[#This Row],[ PREV_CLOSE]]*100</f>
        <v>-2.9100529100528951</v>
      </c>
    </row>
    <row r="590" spans="1:12" hidden="1" x14ac:dyDescent="0.25">
      <c r="A590" s="28" t="s">
        <v>687</v>
      </c>
      <c r="B590" s="28" t="s">
        <v>321</v>
      </c>
      <c r="C590" s="30">
        <v>44428</v>
      </c>
      <c r="D590" s="28">
        <v>476.65</v>
      </c>
      <c r="E590" s="28">
        <v>477.65</v>
      </c>
      <c r="F590" s="28">
        <v>477.65</v>
      </c>
      <c r="G590" s="28">
        <v>465.2</v>
      </c>
      <c r="H590" s="28">
        <v>467.13</v>
      </c>
      <c r="I590" s="28">
        <v>16145</v>
      </c>
      <c r="J590" s="28">
        <v>9350</v>
      </c>
      <c r="K590" s="28">
        <v>57.91</v>
      </c>
      <c r="L590" s="29">
        <f>SUM(NSE_BhavCopy[[#This Row],[ CLOSE_PRICE]]-NSE_BhavCopy[[#This Row],[ PREV_CLOSE]])/NSE_BhavCopy[[#This Row],[ PREV_CLOSE]]*100</f>
        <v>-2.4021818944718323</v>
      </c>
    </row>
    <row r="591" spans="1:12" hidden="1" x14ac:dyDescent="0.25">
      <c r="A591" s="28" t="s">
        <v>599</v>
      </c>
      <c r="B591" s="28" t="s">
        <v>321</v>
      </c>
      <c r="C591" s="30">
        <v>44428</v>
      </c>
      <c r="D591" s="28">
        <v>893.65</v>
      </c>
      <c r="E591" s="28">
        <v>893.65</v>
      </c>
      <c r="F591" s="28">
        <v>893.65</v>
      </c>
      <c r="G591" s="28">
        <v>869</v>
      </c>
      <c r="H591" s="28">
        <v>876.53</v>
      </c>
      <c r="I591" s="28">
        <v>57667</v>
      </c>
      <c r="J591" s="28">
        <v>33360</v>
      </c>
      <c r="K591" s="28">
        <v>57.85</v>
      </c>
      <c r="L591" s="29">
        <f>SUM(NSE_BhavCopy[[#This Row],[ CLOSE_PRICE]]-NSE_BhavCopy[[#This Row],[ PREV_CLOSE]])/NSE_BhavCopy[[#This Row],[ PREV_CLOSE]]*100</f>
        <v>-2.7583505846808012</v>
      </c>
    </row>
    <row r="592" spans="1:12" hidden="1" x14ac:dyDescent="0.25">
      <c r="A592" s="28" t="s">
        <v>645</v>
      </c>
      <c r="B592" s="28" t="s">
        <v>321</v>
      </c>
      <c r="C592" s="30">
        <v>44428</v>
      </c>
      <c r="D592" s="28">
        <v>71.150000000000006</v>
      </c>
      <c r="E592" s="28">
        <v>71.05</v>
      </c>
      <c r="F592" s="28">
        <v>71.900000000000006</v>
      </c>
      <c r="G592" s="28">
        <v>70.099999999999994</v>
      </c>
      <c r="H592" s="28">
        <v>70.81</v>
      </c>
      <c r="I592" s="28">
        <v>1543181</v>
      </c>
      <c r="J592" s="28">
        <v>892782</v>
      </c>
      <c r="K592" s="28">
        <v>57.85</v>
      </c>
      <c r="L592" s="29">
        <f>SUM(NSE_BhavCopy[[#This Row],[ CLOSE_PRICE]]-NSE_BhavCopy[[#This Row],[ PREV_CLOSE]])/NSE_BhavCopy[[#This Row],[ PREV_CLOSE]]*100</f>
        <v>-1.475755446240353</v>
      </c>
    </row>
    <row r="593" spans="1:12" hidden="1" x14ac:dyDescent="0.25">
      <c r="A593" s="28" t="s">
        <v>1396</v>
      </c>
      <c r="B593" s="28" t="s">
        <v>321</v>
      </c>
      <c r="C593" s="30">
        <v>44428</v>
      </c>
      <c r="D593" s="28">
        <v>374.05</v>
      </c>
      <c r="E593" s="28">
        <v>371</v>
      </c>
      <c r="F593" s="28">
        <v>377.4</v>
      </c>
      <c r="G593" s="28">
        <v>360.75</v>
      </c>
      <c r="H593" s="28">
        <v>364.75</v>
      </c>
      <c r="I593" s="28">
        <v>40350</v>
      </c>
      <c r="J593" s="28">
        <v>23330</v>
      </c>
      <c r="K593" s="28">
        <v>57.82</v>
      </c>
      <c r="L593" s="29">
        <f>SUM(NSE_BhavCopy[[#This Row],[ CLOSE_PRICE]]-NSE_BhavCopy[[#This Row],[ PREV_CLOSE]])/NSE_BhavCopy[[#This Row],[ PREV_CLOSE]]*100</f>
        <v>-3.555674375083548</v>
      </c>
    </row>
    <row r="594" spans="1:12" hidden="1" x14ac:dyDescent="0.25">
      <c r="A594" s="28" t="s">
        <v>691</v>
      </c>
      <c r="B594" s="28" t="s">
        <v>321</v>
      </c>
      <c r="C594" s="30">
        <v>44428</v>
      </c>
      <c r="D594" s="28">
        <v>3273.3</v>
      </c>
      <c r="E594" s="28">
        <v>3289.7</v>
      </c>
      <c r="F594" s="28">
        <v>3375.55</v>
      </c>
      <c r="G594" s="28">
        <v>3315.8</v>
      </c>
      <c r="H594" s="28">
        <v>3282.79</v>
      </c>
      <c r="I594" s="28">
        <v>20253</v>
      </c>
      <c r="J594" s="28">
        <v>11704</v>
      </c>
      <c r="K594" s="28">
        <v>57.79</v>
      </c>
      <c r="L594" s="29">
        <f>SUM(NSE_BhavCopy[[#This Row],[ CLOSE_PRICE]]-NSE_BhavCopy[[#This Row],[ PREV_CLOSE]])/NSE_BhavCopy[[#This Row],[ PREV_CLOSE]]*100</f>
        <v>1.2983838939296732</v>
      </c>
    </row>
    <row r="595" spans="1:12" hidden="1" x14ac:dyDescent="0.25">
      <c r="A595" s="28" t="s">
        <v>718</v>
      </c>
      <c r="B595" s="28" t="s">
        <v>321</v>
      </c>
      <c r="C595" s="30">
        <v>44428</v>
      </c>
      <c r="D595" s="28">
        <v>4303.55</v>
      </c>
      <c r="E595" s="28">
        <v>4304</v>
      </c>
      <c r="F595" s="28">
        <v>4359.95</v>
      </c>
      <c r="G595" s="28">
        <v>4272.3500000000004</v>
      </c>
      <c r="H595" s="28">
        <v>4305.74</v>
      </c>
      <c r="I595" s="28">
        <v>46566</v>
      </c>
      <c r="J595" s="28">
        <v>26900</v>
      </c>
      <c r="K595" s="28">
        <v>57.77</v>
      </c>
      <c r="L595" s="29">
        <f>SUM(NSE_BhavCopy[[#This Row],[ CLOSE_PRICE]]-NSE_BhavCopy[[#This Row],[ PREV_CLOSE]])/NSE_BhavCopy[[#This Row],[ PREV_CLOSE]]*100</f>
        <v>-0.72498286298520564</v>
      </c>
    </row>
    <row r="596" spans="1:12" hidden="1" x14ac:dyDescent="0.25">
      <c r="A596" s="28" t="s">
        <v>1752</v>
      </c>
      <c r="B596" s="28" t="s">
        <v>321</v>
      </c>
      <c r="C596" s="30">
        <v>44428</v>
      </c>
      <c r="D596" s="28">
        <v>111.85</v>
      </c>
      <c r="E596" s="28">
        <v>106.2</v>
      </c>
      <c r="F596" s="28">
        <v>115.45</v>
      </c>
      <c r="G596" s="28">
        <v>108.65</v>
      </c>
      <c r="H596" s="28">
        <v>111.34</v>
      </c>
      <c r="I596" s="28">
        <v>57028</v>
      </c>
      <c r="J596" s="28">
        <v>32935</v>
      </c>
      <c r="K596" s="28">
        <v>57.75</v>
      </c>
      <c r="L596" s="29">
        <f>SUM(NSE_BhavCopy[[#This Row],[ CLOSE_PRICE]]-NSE_BhavCopy[[#This Row],[ PREV_CLOSE]])/NSE_BhavCopy[[#This Row],[ PREV_CLOSE]]*100</f>
        <v>-2.8609745194456764</v>
      </c>
    </row>
    <row r="597" spans="1:12" hidden="1" x14ac:dyDescent="0.25">
      <c r="A597" s="28" t="s">
        <v>943</v>
      </c>
      <c r="B597" s="28" t="s">
        <v>321</v>
      </c>
      <c r="C597" s="30">
        <v>44428</v>
      </c>
      <c r="D597" s="28">
        <v>408</v>
      </c>
      <c r="E597" s="28">
        <v>402.35</v>
      </c>
      <c r="F597" s="28">
        <v>409.85</v>
      </c>
      <c r="G597" s="28">
        <v>398.75</v>
      </c>
      <c r="H597" s="28">
        <v>400.49</v>
      </c>
      <c r="I597" s="28">
        <v>243655</v>
      </c>
      <c r="J597" s="28">
        <v>140619</v>
      </c>
      <c r="K597" s="28">
        <v>57.71</v>
      </c>
      <c r="L597" s="29">
        <f>SUM(NSE_BhavCopy[[#This Row],[ CLOSE_PRICE]]-NSE_BhavCopy[[#This Row],[ PREV_CLOSE]])/NSE_BhavCopy[[#This Row],[ PREV_CLOSE]]*100</f>
        <v>-2.267156862745098</v>
      </c>
    </row>
    <row r="598" spans="1:12" hidden="1" x14ac:dyDescent="0.25">
      <c r="A598" s="28" t="s">
        <v>608</v>
      </c>
      <c r="B598" s="28" t="s">
        <v>321</v>
      </c>
      <c r="C598" s="30">
        <v>44428</v>
      </c>
      <c r="D598" s="28">
        <v>588.9</v>
      </c>
      <c r="E598" s="28">
        <v>587.5</v>
      </c>
      <c r="F598" s="28">
        <v>591.4</v>
      </c>
      <c r="G598" s="28">
        <v>575.85</v>
      </c>
      <c r="H598" s="28">
        <v>576.94000000000005</v>
      </c>
      <c r="I598" s="28">
        <v>125482</v>
      </c>
      <c r="J598" s="28">
        <v>72394</v>
      </c>
      <c r="K598" s="28">
        <v>57.69</v>
      </c>
      <c r="L598" s="29">
        <f>SUM(NSE_BhavCopy[[#This Row],[ CLOSE_PRICE]]-NSE_BhavCopy[[#This Row],[ PREV_CLOSE]])/NSE_BhavCopy[[#This Row],[ PREV_CLOSE]]*100</f>
        <v>-2.2159959246051883</v>
      </c>
    </row>
    <row r="599" spans="1:12" hidden="1" x14ac:dyDescent="0.25">
      <c r="A599" s="28" t="s">
        <v>558</v>
      </c>
      <c r="B599" s="28" t="s">
        <v>321</v>
      </c>
      <c r="C599" s="30">
        <v>44428</v>
      </c>
      <c r="D599" s="28">
        <v>122</v>
      </c>
      <c r="E599" s="28">
        <v>112.95</v>
      </c>
      <c r="F599" s="28">
        <v>122.5</v>
      </c>
      <c r="G599" s="28">
        <v>118</v>
      </c>
      <c r="H599" s="28">
        <v>119.38</v>
      </c>
      <c r="I599" s="28">
        <v>18244</v>
      </c>
      <c r="J599" s="28">
        <v>10521</v>
      </c>
      <c r="K599" s="28">
        <v>57.67</v>
      </c>
      <c r="L599" s="29">
        <f>SUM(NSE_BhavCopy[[#This Row],[ CLOSE_PRICE]]-NSE_BhavCopy[[#This Row],[ PREV_CLOSE]])/NSE_BhavCopy[[#This Row],[ PREV_CLOSE]]*100</f>
        <v>-3.278688524590164</v>
      </c>
    </row>
    <row r="600" spans="1:12" hidden="1" x14ac:dyDescent="0.25">
      <c r="A600" s="28" t="s">
        <v>419</v>
      </c>
      <c r="B600" s="28" t="s">
        <v>321</v>
      </c>
      <c r="C600" s="30">
        <v>44428</v>
      </c>
      <c r="D600" s="28">
        <v>185.6</v>
      </c>
      <c r="E600" s="28">
        <v>189.35</v>
      </c>
      <c r="F600" s="28">
        <v>189.35</v>
      </c>
      <c r="G600" s="28">
        <v>184</v>
      </c>
      <c r="H600" s="28">
        <v>183.44</v>
      </c>
      <c r="I600" s="28">
        <v>4002</v>
      </c>
      <c r="J600" s="28">
        <v>2307</v>
      </c>
      <c r="K600" s="28">
        <v>57.65</v>
      </c>
      <c r="L600" s="29">
        <f>SUM(NSE_BhavCopy[[#This Row],[ CLOSE_PRICE]]-NSE_BhavCopy[[#This Row],[ PREV_CLOSE]])/NSE_BhavCopy[[#This Row],[ PREV_CLOSE]]*100</f>
        <v>-0.86206896551723844</v>
      </c>
    </row>
    <row r="601" spans="1:12" hidden="1" x14ac:dyDescent="0.25">
      <c r="A601" s="28" t="s">
        <v>1204</v>
      </c>
      <c r="B601" s="28" t="s">
        <v>321</v>
      </c>
      <c r="C601" s="30">
        <v>44428</v>
      </c>
      <c r="D601" s="28">
        <v>13.75</v>
      </c>
      <c r="E601" s="28">
        <v>13.55</v>
      </c>
      <c r="F601" s="28">
        <v>13.55</v>
      </c>
      <c r="G601" s="28">
        <v>13.1</v>
      </c>
      <c r="H601" s="28">
        <v>13.18</v>
      </c>
      <c r="I601" s="28">
        <v>275786</v>
      </c>
      <c r="J601" s="28">
        <v>158990</v>
      </c>
      <c r="K601" s="28">
        <v>57.65</v>
      </c>
      <c r="L601" s="29">
        <f>SUM(NSE_BhavCopy[[#This Row],[ CLOSE_PRICE]]-NSE_BhavCopy[[#This Row],[ PREV_CLOSE]])/NSE_BhavCopy[[#This Row],[ PREV_CLOSE]]*100</f>
        <v>-4.7272727272727302</v>
      </c>
    </row>
    <row r="602" spans="1:12" hidden="1" x14ac:dyDescent="0.25">
      <c r="A602" s="28" t="s">
        <v>407</v>
      </c>
      <c r="B602" s="28" t="s">
        <v>321</v>
      </c>
      <c r="C602" s="30">
        <v>44428</v>
      </c>
      <c r="D602" s="28">
        <v>29.1</v>
      </c>
      <c r="E602" s="28">
        <v>28.55</v>
      </c>
      <c r="F602" s="28">
        <v>28.8</v>
      </c>
      <c r="G602" s="28">
        <v>28.05</v>
      </c>
      <c r="H602" s="28">
        <v>27.96</v>
      </c>
      <c r="I602" s="28">
        <v>36796</v>
      </c>
      <c r="J602" s="28">
        <v>21196</v>
      </c>
      <c r="K602" s="28">
        <v>57.6</v>
      </c>
      <c r="L602" s="29">
        <f>SUM(NSE_BhavCopy[[#This Row],[ CLOSE_PRICE]]-NSE_BhavCopy[[#This Row],[ PREV_CLOSE]])/NSE_BhavCopy[[#This Row],[ PREV_CLOSE]]*100</f>
        <v>-3.6082474226804147</v>
      </c>
    </row>
    <row r="603" spans="1:12" hidden="1" x14ac:dyDescent="0.25">
      <c r="A603" s="28" t="s">
        <v>400</v>
      </c>
      <c r="B603" s="28" t="s">
        <v>321</v>
      </c>
      <c r="C603" s="30">
        <v>44428</v>
      </c>
      <c r="D603" s="28">
        <v>835.8</v>
      </c>
      <c r="E603" s="28">
        <v>823.7</v>
      </c>
      <c r="F603" s="28">
        <v>853.95</v>
      </c>
      <c r="G603" s="28">
        <v>770.45</v>
      </c>
      <c r="H603" s="28">
        <v>797.95</v>
      </c>
      <c r="I603" s="28">
        <v>5853</v>
      </c>
      <c r="J603" s="28">
        <v>3371</v>
      </c>
      <c r="K603" s="28">
        <v>57.59</v>
      </c>
      <c r="L603" s="29">
        <f>SUM(NSE_BhavCopy[[#This Row],[ CLOSE_PRICE]]-NSE_BhavCopy[[#This Row],[ PREV_CLOSE]])/NSE_BhavCopy[[#This Row],[ PREV_CLOSE]]*100</f>
        <v>-7.8188561856903451</v>
      </c>
    </row>
    <row r="604" spans="1:12" hidden="1" x14ac:dyDescent="0.25">
      <c r="A604" s="28" t="s">
        <v>449</v>
      </c>
      <c r="B604" s="28" t="s">
        <v>321</v>
      </c>
      <c r="C604" s="30">
        <v>44428</v>
      </c>
      <c r="D604" s="28">
        <v>550</v>
      </c>
      <c r="E604" s="28">
        <v>549.95000000000005</v>
      </c>
      <c r="F604" s="28">
        <v>550</v>
      </c>
      <c r="G604" s="28">
        <v>533.95000000000005</v>
      </c>
      <c r="H604" s="28">
        <v>537.44000000000005</v>
      </c>
      <c r="I604" s="28">
        <v>2612</v>
      </c>
      <c r="J604" s="28">
        <v>1503</v>
      </c>
      <c r="K604" s="28">
        <v>57.54</v>
      </c>
      <c r="L604" s="29">
        <f>SUM(NSE_BhavCopy[[#This Row],[ CLOSE_PRICE]]-NSE_BhavCopy[[#This Row],[ PREV_CLOSE]])/NSE_BhavCopy[[#This Row],[ PREV_CLOSE]]*100</f>
        <v>-2.91818181818181</v>
      </c>
    </row>
    <row r="605" spans="1:12" hidden="1" x14ac:dyDescent="0.25">
      <c r="A605" s="28" t="s">
        <v>646</v>
      </c>
      <c r="B605" s="28" t="s">
        <v>321</v>
      </c>
      <c r="C605" s="30">
        <v>44428</v>
      </c>
      <c r="D605" s="28">
        <v>195.9</v>
      </c>
      <c r="E605" s="28">
        <v>198</v>
      </c>
      <c r="F605" s="28">
        <v>198</v>
      </c>
      <c r="G605" s="28">
        <v>187.05</v>
      </c>
      <c r="H605" s="28">
        <v>190.48</v>
      </c>
      <c r="I605" s="28">
        <v>71640</v>
      </c>
      <c r="J605" s="28">
        <v>41170</v>
      </c>
      <c r="K605" s="28">
        <v>57.47</v>
      </c>
      <c r="L605" s="29">
        <f>SUM(NSE_BhavCopy[[#This Row],[ CLOSE_PRICE]]-NSE_BhavCopy[[#This Row],[ PREV_CLOSE]])/NSE_BhavCopy[[#This Row],[ PREV_CLOSE]]*100</f>
        <v>-4.5176110260336877</v>
      </c>
    </row>
    <row r="606" spans="1:12" hidden="1" x14ac:dyDescent="0.25">
      <c r="A606" s="28" t="s">
        <v>818</v>
      </c>
      <c r="B606" s="28" t="s">
        <v>321</v>
      </c>
      <c r="C606" s="30">
        <v>44428</v>
      </c>
      <c r="D606" s="28">
        <v>355.3</v>
      </c>
      <c r="E606" s="28">
        <v>358</v>
      </c>
      <c r="F606" s="28">
        <v>358.4</v>
      </c>
      <c r="G606" s="28">
        <v>349.35</v>
      </c>
      <c r="H606" s="28">
        <v>349.93</v>
      </c>
      <c r="I606" s="28">
        <v>6432</v>
      </c>
      <c r="J606" s="28">
        <v>3696</v>
      </c>
      <c r="K606" s="28">
        <v>57.46</v>
      </c>
      <c r="L606" s="29">
        <f>SUM(NSE_BhavCopy[[#This Row],[ CLOSE_PRICE]]-NSE_BhavCopy[[#This Row],[ PREV_CLOSE]])/NSE_BhavCopy[[#This Row],[ PREV_CLOSE]]*100</f>
        <v>-1.6746411483253554</v>
      </c>
    </row>
    <row r="607" spans="1:12" hidden="1" x14ac:dyDescent="0.25">
      <c r="A607" s="28" t="s">
        <v>447</v>
      </c>
      <c r="B607" s="28" t="s">
        <v>321</v>
      </c>
      <c r="C607" s="30">
        <v>44428</v>
      </c>
      <c r="D607" s="28">
        <v>61.05</v>
      </c>
      <c r="E607" s="28">
        <v>60.55</v>
      </c>
      <c r="F607" s="28">
        <v>61.7</v>
      </c>
      <c r="G607" s="28">
        <v>60.05</v>
      </c>
      <c r="H607" s="28">
        <v>60.61</v>
      </c>
      <c r="I607" s="28">
        <v>181987</v>
      </c>
      <c r="J607" s="28">
        <v>104538</v>
      </c>
      <c r="K607" s="28">
        <v>57.44</v>
      </c>
      <c r="L607" s="29">
        <f>SUM(NSE_BhavCopy[[#This Row],[ CLOSE_PRICE]]-NSE_BhavCopy[[#This Row],[ PREV_CLOSE]])/NSE_BhavCopy[[#This Row],[ PREV_CLOSE]]*100</f>
        <v>-1.638001638001638</v>
      </c>
    </row>
    <row r="608" spans="1:12" hidden="1" x14ac:dyDescent="0.25">
      <c r="A608" s="28" t="s">
        <v>1460</v>
      </c>
      <c r="B608" s="28" t="s">
        <v>321</v>
      </c>
      <c r="C608" s="30">
        <v>44428</v>
      </c>
      <c r="D608" s="28">
        <v>63.15</v>
      </c>
      <c r="E608" s="28">
        <v>63</v>
      </c>
      <c r="F608" s="28">
        <v>63</v>
      </c>
      <c r="G608" s="28">
        <v>58.95</v>
      </c>
      <c r="H608" s="28">
        <v>60.19</v>
      </c>
      <c r="I608" s="28">
        <v>197773</v>
      </c>
      <c r="J608" s="28">
        <v>113574</v>
      </c>
      <c r="K608" s="28">
        <v>57.43</v>
      </c>
      <c r="L608" s="29">
        <f>SUM(NSE_BhavCopy[[#This Row],[ CLOSE_PRICE]]-NSE_BhavCopy[[#This Row],[ PREV_CLOSE]])/NSE_BhavCopy[[#This Row],[ PREV_CLOSE]]*100</f>
        <v>-6.6508313539192327</v>
      </c>
    </row>
    <row r="609" spans="1:12" hidden="1" x14ac:dyDescent="0.25">
      <c r="A609" s="28" t="s">
        <v>795</v>
      </c>
      <c r="B609" s="28" t="s">
        <v>321</v>
      </c>
      <c r="C609" s="30">
        <v>44428</v>
      </c>
      <c r="D609" s="28">
        <v>131.55000000000001</v>
      </c>
      <c r="E609" s="28">
        <v>131</v>
      </c>
      <c r="F609" s="28">
        <v>131</v>
      </c>
      <c r="G609" s="28">
        <v>124.95</v>
      </c>
      <c r="H609" s="28">
        <v>126.59</v>
      </c>
      <c r="I609" s="28">
        <v>24584</v>
      </c>
      <c r="J609" s="28">
        <v>14101</v>
      </c>
      <c r="K609" s="28">
        <v>57.36</v>
      </c>
      <c r="L609" s="29">
        <f>SUM(NSE_BhavCopy[[#This Row],[ CLOSE_PRICE]]-NSE_BhavCopy[[#This Row],[ PREV_CLOSE]])/NSE_BhavCopy[[#This Row],[ PREV_CLOSE]]*100</f>
        <v>-5.0171037628278281</v>
      </c>
    </row>
    <row r="610" spans="1:12" hidden="1" x14ac:dyDescent="0.25">
      <c r="A610" s="28" t="s">
        <v>1501</v>
      </c>
      <c r="B610" s="28" t="s">
        <v>321</v>
      </c>
      <c r="C610" s="30">
        <v>44428</v>
      </c>
      <c r="D610" s="28">
        <v>1110.55</v>
      </c>
      <c r="E610" s="28">
        <v>1100</v>
      </c>
      <c r="F610" s="28">
        <v>1117</v>
      </c>
      <c r="G610" s="28">
        <v>1071.05</v>
      </c>
      <c r="H610" s="28">
        <v>1081.8599999999999</v>
      </c>
      <c r="I610" s="28">
        <v>21107</v>
      </c>
      <c r="J610" s="28">
        <v>12106</v>
      </c>
      <c r="K610" s="28">
        <v>57.36</v>
      </c>
      <c r="L610" s="29">
        <f>SUM(NSE_BhavCopy[[#This Row],[ CLOSE_PRICE]]-NSE_BhavCopy[[#This Row],[ PREV_CLOSE]])/NSE_BhavCopy[[#This Row],[ PREV_CLOSE]]*100</f>
        <v>-3.5567961820719467</v>
      </c>
    </row>
    <row r="611" spans="1:12" hidden="1" x14ac:dyDescent="0.25">
      <c r="A611" s="28" t="s">
        <v>389</v>
      </c>
      <c r="B611" s="28" t="s">
        <v>321</v>
      </c>
      <c r="C611" s="30">
        <v>44428</v>
      </c>
      <c r="D611" s="28">
        <v>737.15</v>
      </c>
      <c r="E611" s="28">
        <v>731</v>
      </c>
      <c r="F611" s="28">
        <v>738.75</v>
      </c>
      <c r="G611" s="28">
        <v>730.05</v>
      </c>
      <c r="H611" s="28">
        <v>731.52</v>
      </c>
      <c r="I611" s="28">
        <v>81694</v>
      </c>
      <c r="J611" s="28">
        <v>46838</v>
      </c>
      <c r="K611" s="28">
        <v>57.33</v>
      </c>
      <c r="L611" s="29">
        <f>SUM(NSE_BhavCopy[[#This Row],[ CLOSE_PRICE]]-NSE_BhavCopy[[#This Row],[ PREV_CLOSE]])/NSE_BhavCopy[[#This Row],[ PREV_CLOSE]]*100</f>
        <v>-0.96316896154107345</v>
      </c>
    </row>
    <row r="612" spans="1:12" hidden="1" x14ac:dyDescent="0.25">
      <c r="A612" s="28" t="s">
        <v>1603</v>
      </c>
      <c r="B612" s="28" t="s">
        <v>321</v>
      </c>
      <c r="C612" s="30">
        <v>44428</v>
      </c>
      <c r="D612" s="28">
        <v>70</v>
      </c>
      <c r="E612" s="28">
        <v>68.099999999999994</v>
      </c>
      <c r="F612" s="28">
        <v>71.75</v>
      </c>
      <c r="G612" s="28">
        <v>68.650000000000006</v>
      </c>
      <c r="H612" s="28">
        <v>69.38</v>
      </c>
      <c r="I612" s="28">
        <v>362657</v>
      </c>
      <c r="J612" s="28">
        <v>207846</v>
      </c>
      <c r="K612" s="28">
        <v>57.31</v>
      </c>
      <c r="L612" s="29">
        <f>SUM(NSE_BhavCopy[[#This Row],[ CLOSE_PRICE]]-NSE_BhavCopy[[#This Row],[ PREV_CLOSE]])/NSE_BhavCopy[[#This Row],[ PREV_CLOSE]]*100</f>
        <v>-1.9285714285714204</v>
      </c>
    </row>
    <row r="613" spans="1:12" hidden="1" x14ac:dyDescent="0.25">
      <c r="A613" s="28" t="s">
        <v>55</v>
      </c>
      <c r="B613" s="28" t="s">
        <v>321</v>
      </c>
      <c r="C613" s="30">
        <v>44428</v>
      </c>
      <c r="D613" s="28">
        <v>1632.85</v>
      </c>
      <c r="E613" s="28">
        <v>1618.9</v>
      </c>
      <c r="F613" s="28">
        <v>1623</v>
      </c>
      <c r="G613" s="28">
        <v>1593.6</v>
      </c>
      <c r="H613" s="28">
        <v>1600.88</v>
      </c>
      <c r="I613" s="28">
        <v>2416059</v>
      </c>
      <c r="J613" s="28">
        <v>1384010</v>
      </c>
      <c r="K613" s="28">
        <v>57.28</v>
      </c>
      <c r="L613" s="29">
        <f>SUM(NSE_BhavCopy[[#This Row],[ CLOSE_PRICE]]-NSE_BhavCopy[[#This Row],[ PREV_CLOSE]])/NSE_BhavCopy[[#This Row],[ PREV_CLOSE]]*100</f>
        <v>-2.4037725449367673</v>
      </c>
    </row>
    <row r="614" spans="1:12" hidden="1" x14ac:dyDescent="0.25">
      <c r="A614" s="28" t="s">
        <v>1068</v>
      </c>
      <c r="B614" s="28" t="s">
        <v>321</v>
      </c>
      <c r="C614" s="30">
        <v>44428</v>
      </c>
      <c r="D614" s="28">
        <v>567.95000000000005</v>
      </c>
      <c r="E614" s="28">
        <v>567.95000000000005</v>
      </c>
      <c r="F614" s="28">
        <v>579.9</v>
      </c>
      <c r="G614" s="28">
        <v>551.04999999999995</v>
      </c>
      <c r="H614" s="28">
        <v>554.33000000000004</v>
      </c>
      <c r="I614" s="28">
        <v>6932</v>
      </c>
      <c r="J614" s="28">
        <v>3967</v>
      </c>
      <c r="K614" s="28">
        <v>57.23</v>
      </c>
      <c r="L614" s="29">
        <f>SUM(NSE_BhavCopy[[#This Row],[ CLOSE_PRICE]]-NSE_BhavCopy[[#This Row],[ PREV_CLOSE]])/NSE_BhavCopy[[#This Row],[ PREV_CLOSE]]*100</f>
        <v>-2.9756140505326329</v>
      </c>
    </row>
    <row r="615" spans="1:12" hidden="1" x14ac:dyDescent="0.25">
      <c r="A615" s="28" t="s">
        <v>1256</v>
      </c>
      <c r="B615" s="28" t="s">
        <v>321</v>
      </c>
      <c r="C615" s="30">
        <v>44428</v>
      </c>
      <c r="D615" s="28">
        <v>132.35</v>
      </c>
      <c r="E615" s="28">
        <v>132.5</v>
      </c>
      <c r="F615" s="28">
        <v>132.75</v>
      </c>
      <c r="G615" s="28">
        <v>125.1</v>
      </c>
      <c r="H615" s="28">
        <v>127.59</v>
      </c>
      <c r="I615" s="28">
        <v>308940</v>
      </c>
      <c r="J615" s="28">
        <v>176820</v>
      </c>
      <c r="K615" s="28">
        <v>57.23</v>
      </c>
      <c r="L615" s="29">
        <f>SUM(NSE_BhavCopy[[#This Row],[ CLOSE_PRICE]]-NSE_BhavCopy[[#This Row],[ PREV_CLOSE]])/NSE_BhavCopy[[#This Row],[ PREV_CLOSE]]*100</f>
        <v>-5.4778995088779752</v>
      </c>
    </row>
    <row r="616" spans="1:12" hidden="1" x14ac:dyDescent="0.25">
      <c r="A616" s="28" t="s">
        <v>1126</v>
      </c>
      <c r="B616" s="28" t="s">
        <v>321</v>
      </c>
      <c r="C616" s="30">
        <v>44428</v>
      </c>
      <c r="D616" s="28">
        <v>42.55</v>
      </c>
      <c r="E616" s="28">
        <v>42.3</v>
      </c>
      <c r="F616" s="28">
        <v>42.65</v>
      </c>
      <c r="G616" s="28">
        <v>41.8</v>
      </c>
      <c r="H616" s="28">
        <v>41.95</v>
      </c>
      <c r="I616" s="28">
        <v>449761</v>
      </c>
      <c r="J616" s="28">
        <v>257386</v>
      </c>
      <c r="K616" s="28">
        <v>57.23</v>
      </c>
      <c r="L616" s="29">
        <f>SUM(NSE_BhavCopy[[#This Row],[ CLOSE_PRICE]]-NSE_BhavCopy[[#This Row],[ PREV_CLOSE]])/NSE_BhavCopy[[#This Row],[ PREV_CLOSE]]*100</f>
        <v>-1.762632197414806</v>
      </c>
    </row>
    <row r="617" spans="1:12" hidden="1" x14ac:dyDescent="0.25">
      <c r="A617" s="28" t="s">
        <v>874</v>
      </c>
      <c r="B617" s="28" t="s">
        <v>321</v>
      </c>
      <c r="C617" s="30">
        <v>44428</v>
      </c>
      <c r="D617" s="28">
        <v>328.45</v>
      </c>
      <c r="E617" s="28">
        <v>325</v>
      </c>
      <c r="F617" s="28">
        <v>325.85000000000002</v>
      </c>
      <c r="G617" s="28">
        <v>319.3</v>
      </c>
      <c r="H617" s="28">
        <v>320.25</v>
      </c>
      <c r="I617" s="28">
        <v>408107</v>
      </c>
      <c r="J617" s="28">
        <v>233531</v>
      </c>
      <c r="K617" s="28">
        <v>57.22</v>
      </c>
      <c r="L617" s="29">
        <f>SUM(NSE_BhavCopy[[#This Row],[ CLOSE_PRICE]]-NSE_BhavCopy[[#This Row],[ PREV_CLOSE]])/NSE_BhavCopy[[#This Row],[ PREV_CLOSE]]*100</f>
        <v>-2.7858121479677203</v>
      </c>
    </row>
    <row r="618" spans="1:12" hidden="1" x14ac:dyDescent="0.25">
      <c r="A618" s="28" t="s">
        <v>1671</v>
      </c>
      <c r="B618" s="28" t="s">
        <v>321</v>
      </c>
      <c r="C618" s="30">
        <v>44428</v>
      </c>
      <c r="D618" s="28">
        <v>57.1</v>
      </c>
      <c r="E618" s="28">
        <v>57.4</v>
      </c>
      <c r="F618" s="28">
        <v>57.4</v>
      </c>
      <c r="G618" s="28">
        <v>53.9</v>
      </c>
      <c r="H618" s="28">
        <v>54.51</v>
      </c>
      <c r="I618" s="28">
        <v>58651</v>
      </c>
      <c r="J618" s="28">
        <v>33540</v>
      </c>
      <c r="K618" s="28">
        <v>57.19</v>
      </c>
      <c r="L618" s="29">
        <f>SUM(NSE_BhavCopy[[#This Row],[ CLOSE_PRICE]]-NSE_BhavCopy[[#This Row],[ PREV_CLOSE]])/NSE_BhavCopy[[#This Row],[ PREV_CLOSE]]*100</f>
        <v>-5.6042031523642777</v>
      </c>
    </row>
    <row r="619" spans="1:12" hidden="1" x14ac:dyDescent="0.25">
      <c r="A619" s="28" t="s">
        <v>842</v>
      </c>
      <c r="B619" s="28" t="s">
        <v>321</v>
      </c>
      <c r="C619" s="30">
        <v>44428</v>
      </c>
      <c r="D619" s="28">
        <v>404</v>
      </c>
      <c r="E619" s="28">
        <v>400.8</v>
      </c>
      <c r="F619" s="28">
        <v>408.65</v>
      </c>
      <c r="G619" s="28">
        <v>401.45</v>
      </c>
      <c r="H619" s="28">
        <v>402.42</v>
      </c>
      <c r="I619" s="28">
        <v>2365711</v>
      </c>
      <c r="J619" s="28">
        <v>1353038</v>
      </c>
      <c r="K619" s="28">
        <v>57.19</v>
      </c>
      <c r="L619" s="29">
        <f>SUM(NSE_BhavCopy[[#This Row],[ CLOSE_PRICE]]-NSE_BhavCopy[[#This Row],[ PREV_CLOSE]])/NSE_BhavCopy[[#This Row],[ PREV_CLOSE]]*100</f>
        <v>-0.63118811881188397</v>
      </c>
    </row>
    <row r="620" spans="1:12" hidden="1" x14ac:dyDescent="0.25">
      <c r="A620" s="28" t="s">
        <v>1473</v>
      </c>
      <c r="B620" s="28" t="s">
        <v>321</v>
      </c>
      <c r="C620" s="30">
        <v>44428</v>
      </c>
      <c r="D620" s="28">
        <v>124.4</v>
      </c>
      <c r="E620" s="28">
        <v>121.6</v>
      </c>
      <c r="F620" s="28">
        <v>123.6</v>
      </c>
      <c r="G620" s="28">
        <v>122.2</v>
      </c>
      <c r="H620" s="28">
        <v>121.89</v>
      </c>
      <c r="I620" s="28">
        <v>73557</v>
      </c>
      <c r="J620" s="28">
        <v>42068</v>
      </c>
      <c r="K620" s="28">
        <v>57.19</v>
      </c>
      <c r="L620" s="29">
        <f>SUM(NSE_BhavCopy[[#This Row],[ CLOSE_PRICE]]-NSE_BhavCopy[[#This Row],[ PREV_CLOSE]])/NSE_BhavCopy[[#This Row],[ PREV_CLOSE]]*100</f>
        <v>-1.7684887459807095</v>
      </c>
    </row>
    <row r="621" spans="1:12" hidden="1" x14ac:dyDescent="0.25">
      <c r="A621" s="28" t="s">
        <v>1742</v>
      </c>
      <c r="B621" s="28" t="s">
        <v>321</v>
      </c>
      <c r="C621" s="30">
        <v>44428</v>
      </c>
      <c r="D621" s="28">
        <v>25.65</v>
      </c>
      <c r="E621" s="28">
        <v>24.65</v>
      </c>
      <c r="F621" s="28">
        <v>25.5</v>
      </c>
      <c r="G621" s="28">
        <v>24.75</v>
      </c>
      <c r="H621" s="28">
        <v>24.91</v>
      </c>
      <c r="I621" s="28">
        <v>19269</v>
      </c>
      <c r="J621" s="28">
        <v>11012</v>
      </c>
      <c r="K621" s="28">
        <v>57.15</v>
      </c>
      <c r="L621" s="29">
        <f>SUM(NSE_BhavCopy[[#This Row],[ CLOSE_PRICE]]-NSE_BhavCopy[[#This Row],[ PREV_CLOSE]])/NSE_BhavCopy[[#This Row],[ PREV_CLOSE]]*100</f>
        <v>-3.5087719298245563</v>
      </c>
    </row>
    <row r="622" spans="1:12" hidden="1" x14ac:dyDescent="0.25">
      <c r="A622" s="28" t="s">
        <v>1753</v>
      </c>
      <c r="B622" s="28" t="s">
        <v>321</v>
      </c>
      <c r="C622" s="30">
        <v>44428</v>
      </c>
      <c r="D622" s="28">
        <v>23.35</v>
      </c>
      <c r="E622" s="28">
        <v>24.1</v>
      </c>
      <c r="F622" s="28">
        <v>24.4</v>
      </c>
      <c r="G622" s="28">
        <v>23</v>
      </c>
      <c r="H622" s="28">
        <v>23.47</v>
      </c>
      <c r="I622" s="28">
        <v>73307</v>
      </c>
      <c r="J622" s="28">
        <v>41881</v>
      </c>
      <c r="K622" s="28">
        <v>57.13</v>
      </c>
      <c r="L622" s="29">
        <f>SUM(NSE_BhavCopy[[#This Row],[ CLOSE_PRICE]]-NSE_BhavCopy[[#This Row],[ PREV_CLOSE]])/NSE_BhavCopy[[#This Row],[ PREV_CLOSE]]*100</f>
        <v>-1.4989293361884428</v>
      </c>
    </row>
    <row r="623" spans="1:12" hidden="1" x14ac:dyDescent="0.25">
      <c r="A623" s="28" t="s">
        <v>1171</v>
      </c>
      <c r="B623" s="28" t="s">
        <v>321</v>
      </c>
      <c r="C623" s="30">
        <v>44428</v>
      </c>
      <c r="D623" s="28">
        <v>120.9</v>
      </c>
      <c r="E623" s="28">
        <v>120</v>
      </c>
      <c r="F623" s="28">
        <v>120.55</v>
      </c>
      <c r="G623" s="28">
        <v>116.8</v>
      </c>
      <c r="H623" s="28">
        <v>118.15</v>
      </c>
      <c r="I623" s="28">
        <v>160606</v>
      </c>
      <c r="J623" s="28">
        <v>91706</v>
      </c>
      <c r="K623" s="28">
        <v>57.1</v>
      </c>
      <c r="L623" s="29">
        <f>SUM(NSE_BhavCopy[[#This Row],[ CLOSE_PRICE]]-NSE_BhavCopy[[#This Row],[ PREV_CLOSE]])/NSE_BhavCopy[[#This Row],[ PREV_CLOSE]]*100</f>
        <v>-3.3912324234904951</v>
      </c>
    </row>
    <row r="624" spans="1:12" hidden="1" x14ac:dyDescent="0.25">
      <c r="A624" s="28" t="s">
        <v>845</v>
      </c>
      <c r="B624" s="28" t="s">
        <v>321</v>
      </c>
      <c r="C624" s="30">
        <v>44428</v>
      </c>
      <c r="D624" s="28">
        <v>11.5</v>
      </c>
      <c r="E624" s="28">
        <v>11.4</v>
      </c>
      <c r="F624" s="28">
        <v>11.55</v>
      </c>
      <c r="G624" s="28">
        <v>11.1</v>
      </c>
      <c r="H624" s="28">
        <v>11.21</v>
      </c>
      <c r="I624" s="28">
        <v>2485330</v>
      </c>
      <c r="J624" s="28">
        <v>1417635</v>
      </c>
      <c r="K624" s="28">
        <v>57.04</v>
      </c>
      <c r="L624" s="29">
        <f>SUM(NSE_BhavCopy[[#This Row],[ CLOSE_PRICE]]-NSE_BhavCopy[[#This Row],[ PREV_CLOSE]])/NSE_BhavCopy[[#This Row],[ PREV_CLOSE]]*100</f>
        <v>-3.4782608695652204</v>
      </c>
    </row>
    <row r="625" spans="1:12" hidden="1" x14ac:dyDescent="0.25">
      <c r="A625" s="28" t="s">
        <v>1066</v>
      </c>
      <c r="B625" s="28" t="s">
        <v>321</v>
      </c>
      <c r="C625" s="30">
        <v>44428</v>
      </c>
      <c r="D625" s="28">
        <v>100.65</v>
      </c>
      <c r="E625" s="28">
        <v>100</v>
      </c>
      <c r="F625" s="28">
        <v>100.55</v>
      </c>
      <c r="G625" s="28">
        <v>95.85</v>
      </c>
      <c r="H625" s="28">
        <v>98.65</v>
      </c>
      <c r="I625" s="28">
        <v>879095</v>
      </c>
      <c r="J625" s="28">
        <v>501314</v>
      </c>
      <c r="K625" s="28">
        <v>57.03</v>
      </c>
      <c r="L625" s="29">
        <f>SUM(NSE_BhavCopy[[#This Row],[ CLOSE_PRICE]]-NSE_BhavCopy[[#This Row],[ PREV_CLOSE]])/NSE_BhavCopy[[#This Row],[ PREV_CLOSE]]*100</f>
        <v>-4.7690014903129772</v>
      </c>
    </row>
    <row r="626" spans="1:12" hidden="1" x14ac:dyDescent="0.25">
      <c r="A626" s="28" t="s">
        <v>1607</v>
      </c>
      <c r="B626" s="28" t="s">
        <v>321</v>
      </c>
      <c r="C626" s="30">
        <v>44428</v>
      </c>
      <c r="D626" s="28">
        <v>341.9</v>
      </c>
      <c r="E626" s="28">
        <v>341.9</v>
      </c>
      <c r="F626" s="28">
        <v>343</v>
      </c>
      <c r="G626" s="28">
        <v>336.3</v>
      </c>
      <c r="H626" s="28">
        <v>337.62</v>
      </c>
      <c r="I626" s="28">
        <v>263</v>
      </c>
      <c r="J626" s="28">
        <v>150</v>
      </c>
      <c r="K626" s="28">
        <v>57.03</v>
      </c>
      <c r="L626" s="29">
        <f>SUM(NSE_BhavCopy[[#This Row],[ CLOSE_PRICE]]-NSE_BhavCopy[[#This Row],[ PREV_CLOSE]])/NSE_BhavCopy[[#This Row],[ PREV_CLOSE]]*100</f>
        <v>-1.6379058204153161</v>
      </c>
    </row>
    <row r="627" spans="1:12" hidden="1" x14ac:dyDescent="0.25">
      <c r="A627" s="28" t="s">
        <v>1084</v>
      </c>
      <c r="B627" s="28" t="s">
        <v>321</v>
      </c>
      <c r="C627" s="30">
        <v>44428</v>
      </c>
      <c r="D627" s="28">
        <v>740.3</v>
      </c>
      <c r="E627" s="28">
        <v>738</v>
      </c>
      <c r="F627" s="28">
        <v>741</v>
      </c>
      <c r="G627" s="28">
        <v>710.9</v>
      </c>
      <c r="H627" s="28">
        <v>721.38</v>
      </c>
      <c r="I627" s="28">
        <v>320520</v>
      </c>
      <c r="J627" s="28">
        <v>182770</v>
      </c>
      <c r="K627" s="28">
        <v>57.02</v>
      </c>
      <c r="L627" s="29">
        <f>SUM(NSE_BhavCopy[[#This Row],[ CLOSE_PRICE]]-NSE_BhavCopy[[#This Row],[ PREV_CLOSE]])/NSE_BhavCopy[[#This Row],[ PREV_CLOSE]]*100</f>
        <v>-3.9713629609617698</v>
      </c>
    </row>
    <row r="628" spans="1:12" hidden="1" x14ac:dyDescent="0.25">
      <c r="A628" s="28" t="s">
        <v>1184</v>
      </c>
      <c r="B628" s="28" t="s">
        <v>321</v>
      </c>
      <c r="C628" s="30">
        <v>44428</v>
      </c>
      <c r="D628" s="28">
        <v>117.95</v>
      </c>
      <c r="E628" s="28">
        <v>116.7</v>
      </c>
      <c r="F628" s="28">
        <v>122.2</v>
      </c>
      <c r="G628" s="28">
        <v>117.9</v>
      </c>
      <c r="H628" s="28">
        <v>118.53</v>
      </c>
      <c r="I628" s="28">
        <v>444000</v>
      </c>
      <c r="J628" s="28">
        <v>253077</v>
      </c>
      <c r="K628" s="28">
        <v>57</v>
      </c>
      <c r="L628" s="29">
        <f>SUM(NSE_BhavCopy[[#This Row],[ CLOSE_PRICE]]-NSE_BhavCopy[[#This Row],[ PREV_CLOSE]])/NSE_BhavCopy[[#This Row],[ PREV_CLOSE]]*100</f>
        <v>-4.2390843577784783E-2</v>
      </c>
    </row>
    <row r="629" spans="1:12" hidden="1" x14ac:dyDescent="0.25">
      <c r="A629" s="28" t="s">
        <v>737</v>
      </c>
      <c r="B629" s="28" t="s">
        <v>321</v>
      </c>
      <c r="C629" s="30">
        <v>44428</v>
      </c>
      <c r="D629" s="28">
        <v>104.4</v>
      </c>
      <c r="E629" s="28">
        <v>103.8</v>
      </c>
      <c r="F629" s="28">
        <v>103.8</v>
      </c>
      <c r="G629" s="28">
        <v>100.6</v>
      </c>
      <c r="H629" s="28">
        <v>101.56</v>
      </c>
      <c r="I629" s="28">
        <v>408553</v>
      </c>
      <c r="J629" s="28">
        <v>232775</v>
      </c>
      <c r="K629" s="28">
        <v>56.98</v>
      </c>
      <c r="L629" s="29">
        <f>SUM(NSE_BhavCopy[[#This Row],[ CLOSE_PRICE]]-NSE_BhavCopy[[#This Row],[ PREV_CLOSE]])/NSE_BhavCopy[[#This Row],[ PREV_CLOSE]]*100</f>
        <v>-3.6398467432950299</v>
      </c>
    </row>
    <row r="630" spans="1:12" hidden="1" x14ac:dyDescent="0.25">
      <c r="A630" s="28" t="s">
        <v>344</v>
      </c>
      <c r="B630" s="28" t="s">
        <v>321</v>
      </c>
      <c r="C630" s="30">
        <v>44428</v>
      </c>
      <c r="D630" s="28">
        <v>691.55</v>
      </c>
      <c r="E630" s="28">
        <v>690.05</v>
      </c>
      <c r="F630" s="28">
        <v>693</v>
      </c>
      <c r="G630" s="28">
        <v>670.4</v>
      </c>
      <c r="H630" s="28">
        <v>675.04</v>
      </c>
      <c r="I630" s="28">
        <v>10799</v>
      </c>
      <c r="J630" s="28">
        <v>6148</v>
      </c>
      <c r="K630" s="28">
        <v>56.93</v>
      </c>
      <c r="L630" s="29">
        <f>SUM(NSE_BhavCopy[[#This Row],[ CLOSE_PRICE]]-NSE_BhavCopy[[#This Row],[ PREV_CLOSE]])/NSE_BhavCopy[[#This Row],[ PREV_CLOSE]]*100</f>
        <v>-3.0583471910924707</v>
      </c>
    </row>
    <row r="631" spans="1:12" hidden="1" x14ac:dyDescent="0.25">
      <c r="A631" s="28" t="s">
        <v>755</v>
      </c>
      <c r="B631" s="28" t="s">
        <v>321</v>
      </c>
      <c r="C631" s="30">
        <v>44428</v>
      </c>
      <c r="D631" s="28">
        <v>206.95</v>
      </c>
      <c r="E631" s="28">
        <v>204.4</v>
      </c>
      <c r="F631" s="28">
        <v>208.8</v>
      </c>
      <c r="G631" s="28">
        <v>196.15</v>
      </c>
      <c r="H631" s="28">
        <v>201.72</v>
      </c>
      <c r="I631" s="28">
        <v>317613</v>
      </c>
      <c r="J631" s="28">
        <v>180664</v>
      </c>
      <c r="K631" s="28">
        <v>56.88</v>
      </c>
      <c r="L631" s="29">
        <f>SUM(NSE_BhavCopy[[#This Row],[ CLOSE_PRICE]]-NSE_BhavCopy[[#This Row],[ PREV_CLOSE]])/NSE_BhavCopy[[#This Row],[ PREV_CLOSE]]*100</f>
        <v>-5.2186518482725219</v>
      </c>
    </row>
    <row r="632" spans="1:12" hidden="1" x14ac:dyDescent="0.25">
      <c r="A632" s="28" t="s">
        <v>1303</v>
      </c>
      <c r="B632" s="28" t="s">
        <v>321</v>
      </c>
      <c r="C632" s="30">
        <v>44428</v>
      </c>
      <c r="D632" s="28">
        <v>891.3</v>
      </c>
      <c r="E632" s="28">
        <v>881</v>
      </c>
      <c r="F632" s="28">
        <v>905</v>
      </c>
      <c r="G632" s="28">
        <v>870.6</v>
      </c>
      <c r="H632" s="28">
        <v>886.77</v>
      </c>
      <c r="I632" s="28">
        <v>76106</v>
      </c>
      <c r="J632" s="28">
        <v>43289</v>
      </c>
      <c r="K632" s="28">
        <v>56.88</v>
      </c>
      <c r="L632" s="29">
        <f>SUM(NSE_BhavCopy[[#This Row],[ CLOSE_PRICE]]-NSE_BhavCopy[[#This Row],[ PREV_CLOSE]])/NSE_BhavCopy[[#This Row],[ PREV_CLOSE]]*100</f>
        <v>-2.3224503534163508</v>
      </c>
    </row>
    <row r="633" spans="1:12" hidden="1" x14ac:dyDescent="0.25">
      <c r="A633" s="28" t="s">
        <v>1468</v>
      </c>
      <c r="B633" s="28" t="s">
        <v>321</v>
      </c>
      <c r="C633" s="30">
        <v>44428</v>
      </c>
      <c r="D633" s="28">
        <v>1742.3</v>
      </c>
      <c r="E633" s="28">
        <v>1740</v>
      </c>
      <c r="F633" s="28">
        <v>1740.05</v>
      </c>
      <c r="G633" s="28">
        <v>1696.95</v>
      </c>
      <c r="H633" s="28">
        <v>1709.41</v>
      </c>
      <c r="I633" s="28">
        <v>24625</v>
      </c>
      <c r="J633" s="28">
        <v>14005</v>
      </c>
      <c r="K633" s="28">
        <v>56.87</v>
      </c>
      <c r="L633" s="29">
        <f>SUM(NSE_BhavCopy[[#This Row],[ CLOSE_PRICE]]-NSE_BhavCopy[[#This Row],[ PREV_CLOSE]])/NSE_BhavCopy[[#This Row],[ PREV_CLOSE]]*100</f>
        <v>-2.6028812489238313</v>
      </c>
    </row>
    <row r="634" spans="1:12" hidden="1" x14ac:dyDescent="0.25">
      <c r="A634" s="28" t="s">
        <v>23</v>
      </c>
      <c r="B634" s="28" t="s">
        <v>321</v>
      </c>
      <c r="C634" s="30">
        <v>44428</v>
      </c>
      <c r="D634" s="28">
        <v>1412.5</v>
      </c>
      <c r="E634" s="28">
        <v>1370.65</v>
      </c>
      <c r="F634" s="28">
        <v>1420</v>
      </c>
      <c r="G634" s="28">
        <v>1399.2</v>
      </c>
      <c r="H634" s="28">
        <v>1400.61</v>
      </c>
      <c r="I634" s="28">
        <v>4051399</v>
      </c>
      <c r="J634" s="28">
        <v>2303827</v>
      </c>
      <c r="K634" s="28">
        <v>56.86</v>
      </c>
      <c r="L634" s="29">
        <f>SUM(NSE_BhavCopy[[#This Row],[ CLOSE_PRICE]]-NSE_BhavCopy[[#This Row],[ PREV_CLOSE]])/NSE_BhavCopy[[#This Row],[ PREV_CLOSE]]*100</f>
        <v>-0.94159292035397912</v>
      </c>
    </row>
    <row r="635" spans="1:12" hidden="1" x14ac:dyDescent="0.25">
      <c r="A635" s="28" t="s">
        <v>1768</v>
      </c>
      <c r="B635" s="28" t="s">
        <v>321</v>
      </c>
      <c r="C635" s="30">
        <v>44428</v>
      </c>
      <c r="D635" s="28">
        <v>7.25</v>
      </c>
      <c r="E635" s="28">
        <v>7.25</v>
      </c>
      <c r="F635" s="28">
        <v>7.8</v>
      </c>
      <c r="G635" s="28">
        <v>6.9</v>
      </c>
      <c r="H635" s="28">
        <v>7.01</v>
      </c>
      <c r="I635" s="28">
        <v>57975</v>
      </c>
      <c r="J635" s="28">
        <v>32921</v>
      </c>
      <c r="K635" s="28">
        <v>56.78</v>
      </c>
      <c r="L635" s="29">
        <f>SUM(NSE_BhavCopy[[#This Row],[ CLOSE_PRICE]]-NSE_BhavCopy[[#This Row],[ PREV_CLOSE]])/NSE_BhavCopy[[#This Row],[ PREV_CLOSE]]*100</f>
        <v>-4.8275862068965472</v>
      </c>
    </row>
    <row r="636" spans="1:12" hidden="1" x14ac:dyDescent="0.25">
      <c r="A636" s="28" t="s">
        <v>1584</v>
      </c>
      <c r="B636" s="28" t="s">
        <v>321</v>
      </c>
      <c r="C636" s="30">
        <v>44428</v>
      </c>
      <c r="D636" s="28">
        <v>199.65</v>
      </c>
      <c r="E636" s="28">
        <v>198.1</v>
      </c>
      <c r="F636" s="28">
        <v>198.1</v>
      </c>
      <c r="G636" s="28">
        <v>191.15</v>
      </c>
      <c r="H636" s="28">
        <v>193.72</v>
      </c>
      <c r="I636" s="28">
        <v>114434</v>
      </c>
      <c r="J636" s="28">
        <v>64935</v>
      </c>
      <c r="K636" s="28">
        <v>56.74</v>
      </c>
      <c r="L636" s="29">
        <f>SUM(NSE_BhavCopy[[#This Row],[ CLOSE_PRICE]]-NSE_BhavCopy[[#This Row],[ PREV_CLOSE]])/NSE_BhavCopy[[#This Row],[ PREV_CLOSE]]*100</f>
        <v>-4.2574505384422734</v>
      </c>
    </row>
    <row r="637" spans="1:12" hidden="1" x14ac:dyDescent="0.25">
      <c r="A637" s="28" t="s">
        <v>745</v>
      </c>
      <c r="B637" s="28" t="s">
        <v>321</v>
      </c>
      <c r="C637" s="30">
        <v>44428</v>
      </c>
      <c r="D637" s="28">
        <v>3.1</v>
      </c>
      <c r="E637" s="28">
        <v>3.05</v>
      </c>
      <c r="F637" s="28">
        <v>3.15</v>
      </c>
      <c r="G637" s="28">
        <v>3</v>
      </c>
      <c r="H637" s="28">
        <v>3.02</v>
      </c>
      <c r="I637" s="28">
        <v>4358159</v>
      </c>
      <c r="J637" s="28">
        <v>2472356</v>
      </c>
      <c r="K637" s="28">
        <v>56.73</v>
      </c>
      <c r="L637" s="29">
        <f>SUM(NSE_BhavCopy[[#This Row],[ CLOSE_PRICE]]-NSE_BhavCopy[[#This Row],[ PREV_CLOSE]])/NSE_BhavCopy[[#This Row],[ PREV_CLOSE]]*100</f>
        <v>-3.2258064516129057</v>
      </c>
    </row>
    <row r="638" spans="1:12" hidden="1" x14ac:dyDescent="0.25">
      <c r="A638" s="28" t="s">
        <v>857</v>
      </c>
      <c r="B638" s="28" t="s">
        <v>321</v>
      </c>
      <c r="C638" s="30">
        <v>44428</v>
      </c>
      <c r="D638" s="28">
        <v>7114</v>
      </c>
      <c r="E638" s="28">
        <v>7040</v>
      </c>
      <c r="F638" s="28">
        <v>7151</v>
      </c>
      <c r="G638" s="28">
        <v>7109.95</v>
      </c>
      <c r="H638" s="28">
        <v>7097.34</v>
      </c>
      <c r="I638" s="28">
        <v>49380</v>
      </c>
      <c r="J638" s="28">
        <v>28002</v>
      </c>
      <c r="K638" s="28">
        <v>56.71</v>
      </c>
      <c r="L638" s="29">
        <f>SUM(NSE_BhavCopy[[#This Row],[ CLOSE_PRICE]]-NSE_BhavCopy[[#This Row],[ PREV_CLOSE]])/NSE_BhavCopy[[#This Row],[ PREV_CLOSE]]*100</f>
        <v>-5.6929997188644672E-2</v>
      </c>
    </row>
    <row r="639" spans="1:12" hidden="1" x14ac:dyDescent="0.25">
      <c r="A639" s="28" t="s">
        <v>1791</v>
      </c>
      <c r="B639" s="28" t="s">
        <v>321</v>
      </c>
      <c r="C639" s="30">
        <v>44428</v>
      </c>
      <c r="D639" s="28">
        <v>720.15</v>
      </c>
      <c r="E639" s="28">
        <v>720</v>
      </c>
      <c r="F639" s="28">
        <v>726.7</v>
      </c>
      <c r="G639" s="28">
        <v>710.25</v>
      </c>
      <c r="H639" s="28">
        <v>714.02</v>
      </c>
      <c r="I639" s="28">
        <v>419924</v>
      </c>
      <c r="J639" s="28">
        <v>238034</v>
      </c>
      <c r="K639" s="28">
        <v>56.69</v>
      </c>
      <c r="L639" s="29">
        <f>SUM(NSE_BhavCopy[[#This Row],[ CLOSE_PRICE]]-NSE_BhavCopy[[#This Row],[ PREV_CLOSE]])/NSE_BhavCopy[[#This Row],[ PREV_CLOSE]]*100</f>
        <v>-1.3747136013330525</v>
      </c>
    </row>
    <row r="640" spans="1:12" hidden="1" x14ac:dyDescent="0.25">
      <c r="A640" s="28" t="s">
        <v>505</v>
      </c>
      <c r="B640" s="28" t="s">
        <v>321</v>
      </c>
      <c r="C640" s="30">
        <v>44428</v>
      </c>
      <c r="D640" s="28">
        <v>120.3</v>
      </c>
      <c r="E640" s="28">
        <v>118.1</v>
      </c>
      <c r="F640" s="28">
        <v>122.2</v>
      </c>
      <c r="G640" s="28">
        <v>114.35</v>
      </c>
      <c r="H640" s="28">
        <v>117.48</v>
      </c>
      <c r="I640" s="28">
        <v>102535</v>
      </c>
      <c r="J640" s="28">
        <v>58031</v>
      </c>
      <c r="K640" s="28">
        <v>56.6</v>
      </c>
      <c r="L640" s="29">
        <f>SUM(NSE_BhavCopy[[#This Row],[ CLOSE_PRICE]]-NSE_BhavCopy[[#This Row],[ PREV_CLOSE]])/NSE_BhavCopy[[#This Row],[ PREV_CLOSE]]*100</f>
        <v>-4.9459684123025793</v>
      </c>
    </row>
    <row r="641" spans="1:12" hidden="1" x14ac:dyDescent="0.25">
      <c r="A641" s="28" t="s">
        <v>1328</v>
      </c>
      <c r="B641" s="28" t="s">
        <v>321</v>
      </c>
      <c r="C641" s="30">
        <v>44428</v>
      </c>
      <c r="D641" s="28">
        <v>298.85000000000002</v>
      </c>
      <c r="E641" s="28">
        <v>290.55</v>
      </c>
      <c r="F641" s="28">
        <v>294.10000000000002</v>
      </c>
      <c r="G641" s="28">
        <v>278.05</v>
      </c>
      <c r="H641" s="28">
        <v>283.43</v>
      </c>
      <c r="I641" s="28">
        <v>95142</v>
      </c>
      <c r="J641" s="28">
        <v>53814</v>
      </c>
      <c r="K641" s="28">
        <v>56.56</v>
      </c>
      <c r="L641" s="29">
        <f>SUM(NSE_BhavCopy[[#This Row],[ CLOSE_PRICE]]-NSE_BhavCopy[[#This Row],[ PREV_CLOSE]])/NSE_BhavCopy[[#This Row],[ PREV_CLOSE]]*100</f>
        <v>-6.960013384641127</v>
      </c>
    </row>
    <row r="642" spans="1:12" hidden="1" x14ac:dyDescent="0.25">
      <c r="A642" s="28" t="s">
        <v>1711</v>
      </c>
      <c r="B642" s="28" t="s">
        <v>321</v>
      </c>
      <c r="C642" s="30">
        <v>44428</v>
      </c>
      <c r="D642" s="28">
        <v>17.399999999999999</v>
      </c>
      <c r="E642" s="28">
        <v>17.350000000000001</v>
      </c>
      <c r="F642" s="28">
        <v>17.350000000000001</v>
      </c>
      <c r="G642" s="28">
        <v>16.95</v>
      </c>
      <c r="H642" s="28">
        <v>17.059999999999999</v>
      </c>
      <c r="I642" s="28">
        <v>34297</v>
      </c>
      <c r="J642" s="28">
        <v>19385</v>
      </c>
      <c r="K642" s="28">
        <v>56.52</v>
      </c>
      <c r="L642" s="29">
        <f>SUM(NSE_BhavCopy[[#This Row],[ CLOSE_PRICE]]-NSE_BhavCopy[[#This Row],[ PREV_CLOSE]])/NSE_BhavCopy[[#This Row],[ PREV_CLOSE]]*100</f>
        <v>-2.5862068965517202</v>
      </c>
    </row>
    <row r="643" spans="1:12" hidden="1" x14ac:dyDescent="0.25">
      <c r="A643" s="28" t="s">
        <v>832</v>
      </c>
      <c r="B643" s="28" t="s">
        <v>321</v>
      </c>
      <c r="C643" s="30">
        <v>44428</v>
      </c>
      <c r="D643" s="28">
        <v>605.21</v>
      </c>
      <c r="E643" s="28">
        <v>595.01</v>
      </c>
      <c r="F643" s="28">
        <v>604.99</v>
      </c>
      <c r="G643" s="28">
        <v>601.20000000000005</v>
      </c>
      <c r="H643" s="28">
        <v>599.55999999999995</v>
      </c>
      <c r="I643" s="28">
        <v>3247</v>
      </c>
      <c r="J643" s="28">
        <v>1835</v>
      </c>
      <c r="K643" s="28">
        <v>56.51</v>
      </c>
      <c r="L643" s="29">
        <f>SUM(NSE_BhavCopy[[#This Row],[ CLOSE_PRICE]]-NSE_BhavCopy[[#This Row],[ PREV_CLOSE]])/NSE_BhavCopy[[#This Row],[ PREV_CLOSE]]*100</f>
        <v>-0.662579930933063</v>
      </c>
    </row>
    <row r="644" spans="1:12" hidden="1" x14ac:dyDescent="0.25">
      <c r="A644" s="28" t="s">
        <v>1128</v>
      </c>
      <c r="B644" s="28" t="s">
        <v>321</v>
      </c>
      <c r="C644" s="30">
        <v>44428</v>
      </c>
      <c r="D644" s="28">
        <v>1650.7</v>
      </c>
      <c r="E644" s="28">
        <v>1626</v>
      </c>
      <c r="F644" s="28">
        <v>1679</v>
      </c>
      <c r="G644" s="28">
        <v>1646.35</v>
      </c>
      <c r="H644" s="28">
        <v>1658.2</v>
      </c>
      <c r="I644" s="28">
        <v>99716</v>
      </c>
      <c r="J644" s="28">
        <v>56342</v>
      </c>
      <c r="K644" s="28">
        <v>56.5</v>
      </c>
      <c r="L644" s="29">
        <f>SUM(NSE_BhavCopy[[#This Row],[ CLOSE_PRICE]]-NSE_BhavCopy[[#This Row],[ PREV_CLOSE]])/NSE_BhavCopy[[#This Row],[ PREV_CLOSE]]*100</f>
        <v>-0.26352456533592633</v>
      </c>
    </row>
    <row r="645" spans="1:12" hidden="1" x14ac:dyDescent="0.25">
      <c r="A645" s="28" t="s">
        <v>1325</v>
      </c>
      <c r="B645" s="28" t="s">
        <v>321</v>
      </c>
      <c r="C645" s="30">
        <v>44428</v>
      </c>
      <c r="D645" s="28">
        <v>294.05</v>
      </c>
      <c r="E645" s="28">
        <v>291.2</v>
      </c>
      <c r="F645" s="28">
        <v>309</v>
      </c>
      <c r="G645" s="28">
        <v>294.45</v>
      </c>
      <c r="H645" s="28">
        <v>298.33999999999997</v>
      </c>
      <c r="I645" s="28">
        <v>294537</v>
      </c>
      <c r="J645" s="28">
        <v>166416</v>
      </c>
      <c r="K645" s="28">
        <v>56.5</v>
      </c>
      <c r="L645" s="29">
        <f>SUM(NSE_BhavCopy[[#This Row],[ CLOSE_PRICE]]-NSE_BhavCopy[[#This Row],[ PREV_CLOSE]])/NSE_BhavCopy[[#This Row],[ PREV_CLOSE]]*100</f>
        <v>0.13603128719604735</v>
      </c>
    </row>
    <row r="646" spans="1:12" hidden="1" x14ac:dyDescent="0.25">
      <c r="A646" s="28" t="s">
        <v>598</v>
      </c>
      <c r="B646" s="28" t="s">
        <v>321</v>
      </c>
      <c r="C646" s="30">
        <v>44428</v>
      </c>
      <c r="D646" s="28">
        <v>196.5</v>
      </c>
      <c r="E646" s="28">
        <v>192.9</v>
      </c>
      <c r="F646" s="28">
        <v>197.35</v>
      </c>
      <c r="G646" s="28">
        <v>185.6</v>
      </c>
      <c r="H646" s="28">
        <v>190.85</v>
      </c>
      <c r="I646" s="28">
        <v>736804</v>
      </c>
      <c r="J646" s="28">
        <v>416131</v>
      </c>
      <c r="K646" s="28">
        <v>56.48</v>
      </c>
      <c r="L646" s="29">
        <f>SUM(NSE_BhavCopy[[#This Row],[ CLOSE_PRICE]]-NSE_BhavCopy[[#This Row],[ PREV_CLOSE]])/NSE_BhavCopy[[#This Row],[ PREV_CLOSE]]*100</f>
        <v>-5.5470737913486037</v>
      </c>
    </row>
    <row r="647" spans="1:12" hidden="1" x14ac:dyDescent="0.25">
      <c r="A647" s="28" t="s">
        <v>1395</v>
      </c>
      <c r="B647" s="28" t="s">
        <v>321</v>
      </c>
      <c r="C647" s="30">
        <v>44428</v>
      </c>
      <c r="D647" s="28">
        <v>437.3</v>
      </c>
      <c r="E647" s="28">
        <v>432.9</v>
      </c>
      <c r="F647" s="28">
        <v>435</v>
      </c>
      <c r="G647" s="28">
        <v>430.2</v>
      </c>
      <c r="H647" s="28">
        <v>431.09</v>
      </c>
      <c r="I647" s="28">
        <v>155105</v>
      </c>
      <c r="J647" s="28">
        <v>87519</v>
      </c>
      <c r="K647" s="28">
        <v>56.43</v>
      </c>
      <c r="L647" s="29">
        <f>SUM(NSE_BhavCopy[[#This Row],[ CLOSE_PRICE]]-NSE_BhavCopy[[#This Row],[ PREV_CLOSE]])/NSE_BhavCopy[[#This Row],[ PREV_CLOSE]]*100</f>
        <v>-1.6235993597073</v>
      </c>
    </row>
    <row r="648" spans="1:12" hidden="1" x14ac:dyDescent="0.25">
      <c r="A648" s="28" t="s">
        <v>688</v>
      </c>
      <c r="B648" s="28" t="s">
        <v>321</v>
      </c>
      <c r="C648" s="30">
        <v>44428</v>
      </c>
      <c r="D648" s="28">
        <v>511.9</v>
      </c>
      <c r="E648" s="28">
        <v>513</v>
      </c>
      <c r="F648" s="28">
        <v>528.95000000000005</v>
      </c>
      <c r="G648" s="28">
        <v>506</v>
      </c>
      <c r="H648" s="28">
        <v>513.69000000000005</v>
      </c>
      <c r="I648" s="28">
        <v>27132</v>
      </c>
      <c r="J648" s="28">
        <v>15309</v>
      </c>
      <c r="K648" s="28">
        <v>56.42</v>
      </c>
      <c r="L648" s="29">
        <f>SUM(NSE_BhavCopy[[#This Row],[ CLOSE_PRICE]]-NSE_BhavCopy[[#This Row],[ PREV_CLOSE]])/NSE_BhavCopy[[#This Row],[ PREV_CLOSE]]*100</f>
        <v>-1.1525688611056804</v>
      </c>
    </row>
    <row r="649" spans="1:12" hidden="1" x14ac:dyDescent="0.25">
      <c r="A649" s="28" t="s">
        <v>1722</v>
      </c>
      <c r="B649" s="28" t="s">
        <v>321</v>
      </c>
      <c r="C649" s="30">
        <v>44428</v>
      </c>
      <c r="D649" s="28">
        <v>40.1</v>
      </c>
      <c r="E649" s="28">
        <v>40.950000000000003</v>
      </c>
      <c r="F649" s="28">
        <v>41.7</v>
      </c>
      <c r="G649" s="28">
        <v>39.950000000000003</v>
      </c>
      <c r="H649" s="28">
        <v>40.15</v>
      </c>
      <c r="I649" s="28">
        <v>24405</v>
      </c>
      <c r="J649" s="28">
        <v>13770</v>
      </c>
      <c r="K649" s="28">
        <v>56.42</v>
      </c>
      <c r="L649" s="29">
        <f>SUM(NSE_BhavCopy[[#This Row],[ CLOSE_PRICE]]-NSE_BhavCopy[[#This Row],[ PREV_CLOSE]])/NSE_BhavCopy[[#This Row],[ PREV_CLOSE]]*100</f>
        <v>-0.37406483790523332</v>
      </c>
    </row>
    <row r="650" spans="1:12" hidden="1" x14ac:dyDescent="0.25">
      <c r="A650" s="28" t="s">
        <v>1743</v>
      </c>
      <c r="B650" s="28" t="s">
        <v>321</v>
      </c>
      <c r="C650" s="30">
        <v>44428</v>
      </c>
      <c r="D650" s="28">
        <v>345.35</v>
      </c>
      <c r="E650" s="28">
        <v>340</v>
      </c>
      <c r="F650" s="28">
        <v>346.65</v>
      </c>
      <c r="G650" s="28">
        <v>341.85</v>
      </c>
      <c r="H650" s="28">
        <v>341.6</v>
      </c>
      <c r="I650" s="28">
        <v>82733</v>
      </c>
      <c r="J650" s="28">
        <v>46675</v>
      </c>
      <c r="K650" s="28">
        <v>56.42</v>
      </c>
      <c r="L650" s="29">
        <f>SUM(NSE_BhavCopy[[#This Row],[ CLOSE_PRICE]]-NSE_BhavCopy[[#This Row],[ PREV_CLOSE]])/NSE_BhavCopy[[#This Row],[ PREV_CLOSE]]*100</f>
        <v>-1.0134646011292892</v>
      </c>
    </row>
    <row r="651" spans="1:12" hidden="1" x14ac:dyDescent="0.25">
      <c r="A651" s="28" t="s">
        <v>1235</v>
      </c>
      <c r="B651" s="28" t="s">
        <v>321</v>
      </c>
      <c r="C651" s="30">
        <v>44428</v>
      </c>
      <c r="D651" s="28">
        <v>354.9</v>
      </c>
      <c r="E651" s="28">
        <v>350</v>
      </c>
      <c r="F651" s="28">
        <v>352.2</v>
      </c>
      <c r="G651" s="28">
        <v>346.25</v>
      </c>
      <c r="H651" s="28">
        <v>347.43</v>
      </c>
      <c r="I651" s="28">
        <v>18418</v>
      </c>
      <c r="J651" s="28">
        <v>10389</v>
      </c>
      <c r="K651" s="28">
        <v>56.41</v>
      </c>
      <c r="L651" s="29">
        <f>SUM(NSE_BhavCopy[[#This Row],[ CLOSE_PRICE]]-NSE_BhavCopy[[#This Row],[ PREV_CLOSE]])/NSE_BhavCopy[[#This Row],[ PREV_CLOSE]]*100</f>
        <v>-2.4373062834601233</v>
      </c>
    </row>
    <row r="652" spans="1:12" hidden="1" x14ac:dyDescent="0.25">
      <c r="A652" s="28" t="s">
        <v>679</v>
      </c>
      <c r="B652" s="28" t="s">
        <v>321</v>
      </c>
      <c r="C652" s="30">
        <v>44428</v>
      </c>
      <c r="D652" s="28">
        <v>1488.6</v>
      </c>
      <c r="E652" s="28">
        <v>1480</v>
      </c>
      <c r="F652" s="28">
        <v>1500.05</v>
      </c>
      <c r="G652" s="28">
        <v>1492.1</v>
      </c>
      <c r="H652" s="28">
        <v>1490.26</v>
      </c>
      <c r="I652" s="28">
        <v>894</v>
      </c>
      <c r="J652" s="28">
        <v>504</v>
      </c>
      <c r="K652" s="28">
        <v>56.38</v>
      </c>
      <c r="L652" s="29">
        <f>SUM(NSE_BhavCopy[[#This Row],[ CLOSE_PRICE]]-NSE_BhavCopy[[#This Row],[ PREV_CLOSE]])/NSE_BhavCopy[[#This Row],[ PREV_CLOSE]]*100</f>
        <v>0.23512024721214567</v>
      </c>
    </row>
    <row r="653" spans="1:12" hidden="1" x14ac:dyDescent="0.25">
      <c r="A653" s="28" t="s">
        <v>445</v>
      </c>
      <c r="B653" s="28" t="s">
        <v>321</v>
      </c>
      <c r="C653" s="30">
        <v>44428</v>
      </c>
      <c r="D653" s="28">
        <v>1038.7</v>
      </c>
      <c r="E653" s="28">
        <v>1034</v>
      </c>
      <c r="F653" s="28">
        <v>1055.2</v>
      </c>
      <c r="G653" s="28">
        <v>1036.8499999999999</v>
      </c>
      <c r="H653" s="28">
        <v>1039.58</v>
      </c>
      <c r="I653" s="28">
        <v>123697</v>
      </c>
      <c r="J653" s="28">
        <v>69728</v>
      </c>
      <c r="K653" s="28">
        <v>56.37</v>
      </c>
      <c r="L653" s="29">
        <f>SUM(NSE_BhavCopy[[#This Row],[ CLOSE_PRICE]]-NSE_BhavCopy[[#This Row],[ PREV_CLOSE]])/NSE_BhavCopy[[#This Row],[ PREV_CLOSE]]*100</f>
        <v>-0.17810724944643655</v>
      </c>
    </row>
    <row r="654" spans="1:12" hidden="1" x14ac:dyDescent="0.25">
      <c r="A654" s="28" t="s">
        <v>477</v>
      </c>
      <c r="B654" s="28" t="s">
        <v>321</v>
      </c>
      <c r="C654" s="30">
        <v>44428</v>
      </c>
      <c r="D654" s="28">
        <v>52.3</v>
      </c>
      <c r="E654" s="28">
        <v>52.3</v>
      </c>
      <c r="F654" s="28">
        <v>52.95</v>
      </c>
      <c r="G654" s="28">
        <v>51.1</v>
      </c>
      <c r="H654" s="28">
        <v>51.73</v>
      </c>
      <c r="I654" s="28">
        <v>84063</v>
      </c>
      <c r="J654" s="28">
        <v>47383</v>
      </c>
      <c r="K654" s="28">
        <v>56.37</v>
      </c>
      <c r="L654" s="29">
        <f>SUM(NSE_BhavCopy[[#This Row],[ CLOSE_PRICE]]-NSE_BhavCopy[[#This Row],[ PREV_CLOSE]])/NSE_BhavCopy[[#This Row],[ PREV_CLOSE]]*100</f>
        <v>-2.2944550669215982</v>
      </c>
    </row>
    <row r="655" spans="1:12" hidden="1" x14ac:dyDescent="0.25">
      <c r="A655" s="28" t="s">
        <v>1008</v>
      </c>
      <c r="B655" s="28" t="s">
        <v>321</v>
      </c>
      <c r="C655" s="30">
        <v>44428</v>
      </c>
      <c r="D655" s="28">
        <v>177.04</v>
      </c>
      <c r="E655" s="28">
        <v>173.5</v>
      </c>
      <c r="F655" s="28">
        <v>176.9</v>
      </c>
      <c r="G655" s="28">
        <v>173.98</v>
      </c>
      <c r="H655" s="28">
        <v>174.83</v>
      </c>
      <c r="I655" s="28">
        <v>1315</v>
      </c>
      <c r="J655" s="28">
        <v>741</v>
      </c>
      <c r="K655" s="28">
        <v>56.35</v>
      </c>
      <c r="L655" s="29">
        <f>SUM(NSE_BhavCopy[[#This Row],[ CLOSE_PRICE]]-NSE_BhavCopy[[#This Row],[ PREV_CLOSE]])/NSE_BhavCopy[[#This Row],[ PREV_CLOSE]]*100</f>
        <v>-1.7284229552643484</v>
      </c>
    </row>
    <row r="656" spans="1:12" hidden="1" x14ac:dyDescent="0.25">
      <c r="A656" s="28" t="s">
        <v>576</v>
      </c>
      <c r="B656" s="28" t="s">
        <v>321</v>
      </c>
      <c r="C656" s="30">
        <v>44428</v>
      </c>
      <c r="D656" s="28">
        <v>68.5</v>
      </c>
      <c r="E656" s="28">
        <v>68.3</v>
      </c>
      <c r="F656" s="28">
        <v>68.45</v>
      </c>
      <c r="G656" s="28">
        <v>65.8</v>
      </c>
      <c r="H656" s="28">
        <v>66.680000000000007</v>
      </c>
      <c r="I656" s="28">
        <v>671308</v>
      </c>
      <c r="J656" s="28">
        <v>378224</v>
      </c>
      <c r="K656" s="28">
        <v>56.34</v>
      </c>
      <c r="L656" s="29">
        <f>SUM(NSE_BhavCopy[[#This Row],[ CLOSE_PRICE]]-NSE_BhavCopy[[#This Row],[ PREV_CLOSE]])/NSE_BhavCopy[[#This Row],[ PREV_CLOSE]]*100</f>
        <v>-3.9416058394160625</v>
      </c>
    </row>
    <row r="657" spans="1:12" hidden="1" x14ac:dyDescent="0.25">
      <c r="A657" s="28" t="s">
        <v>750</v>
      </c>
      <c r="B657" s="28" t="s">
        <v>321</v>
      </c>
      <c r="C657" s="30">
        <v>44428</v>
      </c>
      <c r="D657" s="28">
        <v>51.7</v>
      </c>
      <c r="E657" s="28">
        <v>51.35</v>
      </c>
      <c r="F657" s="28">
        <v>51.7</v>
      </c>
      <c r="G657" s="28">
        <v>50.1</v>
      </c>
      <c r="H657" s="28">
        <v>50.65</v>
      </c>
      <c r="I657" s="28">
        <v>287165</v>
      </c>
      <c r="J657" s="28">
        <v>161713</v>
      </c>
      <c r="K657" s="28">
        <v>56.31</v>
      </c>
      <c r="L657" s="29">
        <f>SUM(NSE_BhavCopy[[#This Row],[ CLOSE_PRICE]]-NSE_BhavCopy[[#This Row],[ PREV_CLOSE]])/NSE_BhavCopy[[#This Row],[ PREV_CLOSE]]*100</f>
        <v>-3.0947775628626717</v>
      </c>
    </row>
    <row r="658" spans="1:12" hidden="1" x14ac:dyDescent="0.25">
      <c r="A658" s="28" t="s">
        <v>1153</v>
      </c>
      <c r="B658" s="28" t="s">
        <v>321</v>
      </c>
      <c r="C658" s="30">
        <v>44428</v>
      </c>
      <c r="D658" s="28">
        <v>5</v>
      </c>
      <c r="E658" s="28">
        <v>5</v>
      </c>
      <c r="F658" s="28">
        <v>5.35</v>
      </c>
      <c r="G658" s="28">
        <v>4.9000000000000004</v>
      </c>
      <c r="H658" s="28">
        <v>4.9000000000000004</v>
      </c>
      <c r="I658" s="28">
        <v>8275</v>
      </c>
      <c r="J658" s="28">
        <v>4658</v>
      </c>
      <c r="K658" s="28">
        <v>56.29</v>
      </c>
      <c r="L658" s="29">
        <f>SUM(NSE_BhavCopy[[#This Row],[ CLOSE_PRICE]]-NSE_BhavCopy[[#This Row],[ PREV_CLOSE]])/NSE_BhavCopy[[#This Row],[ PREV_CLOSE]]*100</f>
        <v>-1.9999999999999927</v>
      </c>
    </row>
    <row r="659" spans="1:12" hidden="1" x14ac:dyDescent="0.25">
      <c r="A659" s="28" t="s">
        <v>757</v>
      </c>
      <c r="B659" s="28" t="s">
        <v>321</v>
      </c>
      <c r="C659" s="30">
        <v>44428</v>
      </c>
      <c r="D659" s="28">
        <v>218.7</v>
      </c>
      <c r="E659" s="28">
        <v>215</v>
      </c>
      <c r="F659" s="28">
        <v>218</v>
      </c>
      <c r="G659" s="28">
        <v>209.2</v>
      </c>
      <c r="H659" s="28">
        <v>211.06</v>
      </c>
      <c r="I659" s="28">
        <v>20074</v>
      </c>
      <c r="J659" s="28">
        <v>11297</v>
      </c>
      <c r="K659" s="28">
        <v>56.28</v>
      </c>
      <c r="L659" s="29">
        <f>SUM(NSE_BhavCopy[[#This Row],[ CLOSE_PRICE]]-NSE_BhavCopy[[#This Row],[ PREV_CLOSE]])/NSE_BhavCopy[[#This Row],[ PREV_CLOSE]]*100</f>
        <v>-4.3438500228623687</v>
      </c>
    </row>
    <row r="660" spans="1:12" hidden="1" x14ac:dyDescent="0.25">
      <c r="A660" s="28" t="s">
        <v>1324</v>
      </c>
      <c r="B660" s="28" t="s">
        <v>321</v>
      </c>
      <c r="C660" s="30">
        <v>44428</v>
      </c>
      <c r="D660" s="28">
        <v>770.55</v>
      </c>
      <c r="E660" s="28">
        <v>750</v>
      </c>
      <c r="F660" s="28">
        <v>782</v>
      </c>
      <c r="G660" s="28">
        <v>755.85</v>
      </c>
      <c r="H660" s="28">
        <v>761.34</v>
      </c>
      <c r="I660" s="28">
        <v>30470</v>
      </c>
      <c r="J660" s="28">
        <v>17143</v>
      </c>
      <c r="K660" s="28">
        <v>56.26</v>
      </c>
      <c r="L660" s="29">
        <f>SUM(NSE_BhavCopy[[#This Row],[ CLOSE_PRICE]]-NSE_BhavCopy[[#This Row],[ PREV_CLOSE]])/NSE_BhavCopy[[#This Row],[ PREV_CLOSE]]*100</f>
        <v>-1.9077282460580016</v>
      </c>
    </row>
    <row r="661" spans="1:12" hidden="1" x14ac:dyDescent="0.25">
      <c r="A661" s="28" t="s">
        <v>1205</v>
      </c>
      <c r="B661" s="28" t="s">
        <v>321</v>
      </c>
      <c r="C661" s="30">
        <v>44428</v>
      </c>
      <c r="D661" s="28">
        <v>16.2</v>
      </c>
      <c r="E661" s="28">
        <v>16.350000000000001</v>
      </c>
      <c r="F661" s="28">
        <v>16.95</v>
      </c>
      <c r="G661" s="28">
        <v>16.149999999999999</v>
      </c>
      <c r="H661" s="28">
        <v>16.309999999999999</v>
      </c>
      <c r="I661" s="28">
        <v>1991819</v>
      </c>
      <c r="J661" s="28">
        <v>1120137</v>
      </c>
      <c r="K661" s="28">
        <v>56.24</v>
      </c>
      <c r="L661" s="29">
        <f>SUM(NSE_BhavCopy[[#This Row],[ CLOSE_PRICE]]-NSE_BhavCopy[[#This Row],[ PREV_CLOSE]])/NSE_BhavCopy[[#This Row],[ PREV_CLOSE]]*100</f>
        <v>-0.3086419753086464</v>
      </c>
    </row>
    <row r="662" spans="1:12" hidden="1" x14ac:dyDescent="0.25">
      <c r="A662" s="28" t="s">
        <v>700</v>
      </c>
      <c r="B662" s="28" t="s">
        <v>321</v>
      </c>
      <c r="C662" s="30">
        <v>44428</v>
      </c>
      <c r="D662" s="28">
        <v>306.85000000000002</v>
      </c>
      <c r="E662" s="28">
        <v>306.85000000000002</v>
      </c>
      <c r="F662" s="28">
        <v>307</v>
      </c>
      <c r="G662" s="28">
        <v>291.45</v>
      </c>
      <c r="H662" s="28">
        <v>297.81</v>
      </c>
      <c r="I662" s="28">
        <v>121936</v>
      </c>
      <c r="J662" s="28">
        <v>68567</v>
      </c>
      <c r="K662" s="28">
        <v>56.23</v>
      </c>
      <c r="L662" s="29">
        <f>SUM(NSE_BhavCopy[[#This Row],[ CLOSE_PRICE]]-NSE_BhavCopy[[#This Row],[ PREV_CLOSE]])/NSE_BhavCopy[[#This Row],[ PREV_CLOSE]]*100</f>
        <v>-5.0187387974580524</v>
      </c>
    </row>
    <row r="663" spans="1:12" hidden="1" x14ac:dyDescent="0.25">
      <c r="A663" s="28" t="s">
        <v>1112</v>
      </c>
      <c r="B663" s="28" t="s">
        <v>321</v>
      </c>
      <c r="C663" s="30">
        <v>44428</v>
      </c>
      <c r="D663" s="28">
        <v>59.8</v>
      </c>
      <c r="E663" s="28">
        <v>58.4</v>
      </c>
      <c r="F663" s="28">
        <v>59</v>
      </c>
      <c r="G663" s="28">
        <v>57.6</v>
      </c>
      <c r="H663" s="28">
        <v>58.13</v>
      </c>
      <c r="I663" s="28">
        <v>131548</v>
      </c>
      <c r="J663" s="28">
        <v>73861</v>
      </c>
      <c r="K663" s="28">
        <v>56.15</v>
      </c>
      <c r="L663" s="29">
        <f>SUM(NSE_BhavCopy[[#This Row],[ CLOSE_PRICE]]-NSE_BhavCopy[[#This Row],[ PREV_CLOSE]])/NSE_BhavCopy[[#This Row],[ PREV_CLOSE]]*100</f>
        <v>-3.6789297658862812</v>
      </c>
    </row>
    <row r="664" spans="1:12" hidden="1" x14ac:dyDescent="0.25">
      <c r="A664" s="28" t="s">
        <v>1116</v>
      </c>
      <c r="B664" s="28" t="s">
        <v>321</v>
      </c>
      <c r="C664" s="30">
        <v>44428</v>
      </c>
      <c r="D664" s="28">
        <v>1479.4</v>
      </c>
      <c r="E664" s="28">
        <v>1448</v>
      </c>
      <c r="F664" s="28">
        <v>1473.25</v>
      </c>
      <c r="G664" s="28">
        <v>1457.95</v>
      </c>
      <c r="H664" s="28">
        <v>1457.63</v>
      </c>
      <c r="I664" s="28">
        <v>784220</v>
      </c>
      <c r="J664" s="28">
        <v>440221</v>
      </c>
      <c r="K664" s="28">
        <v>56.13</v>
      </c>
      <c r="L664" s="29">
        <f>SUM(NSE_BhavCopy[[#This Row],[ CLOSE_PRICE]]-NSE_BhavCopy[[#This Row],[ PREV_CLOSE]])/NSE_BhavCopy[[#This Row],[ PREV_CLOSE]]*100</f>
        <v>-1.4499121265377886</v>
      </c>
    </row>
    <row r="665" spans="1:12" hidden="1" x14ac:dyDescent="0.25">
      <c r="A665" s="28" t="s">
        <v>1186</v>
      </c>
      <c r="B665" s="28" t="s">
        <v>321</v>
      </c>
      <c r="C665" s="30">
        <v>44428</v>
      </c>
      <c r="D665" s="28">
        <v>33.1</v>
      </c>
      <c r="E665" s="28">
        <v>33.5</v>
      </c>
      <c r="F665" s="28">
        <v>34.75</v>
      </c>
      <c r="G665" s="28">
        <v>33.049999999999997</v>
      </c>
      <c r="H665" s="28">
        <v>33.68</v>
      </c>
      <c r="I665" s="28">
        <v>323965</v>
      </c>
      <c r="J665" s="28">
        <v>181837</v>
      </c>
      <c r="K665" s="28">
        <v>56.13</v>
      </c>
      <c r="L665" s="29">
        <f>SUM(NSE_BhavCopy[[#This Row],[ CLOSE_PRICE]]-NSE_BhavCopy[[#This Row],[ PREV_CLOSE]])/NSE_BhavCopy[[#This Row],[ PREV_CLOSE]]*100</f>
        <v>-0.15105740181270169</v>
      </c>
    </row>
    <row r="666" spans="1:12" hidden="1" x14ac:dyDescent="0.25">
      <c r="A666" s="28" t="s">
        <v>1803</v>
      </c>
      <c r="B666" s="28" t="s">
        <v>321</v>
      </c>
      <c r="C666" s="30">
        <v>44428</v>
      </c>
      <c r="D666" s="28">
        <v>973.2</v>
      </c>
      <c r="E666" s="28">
        <v>954</v>
      </c>
      <c r="F666" s="28">
        <v>967.75</v>
      </c>
      <c r="G666" s="28">
        <v>926.9</v>
      </c>
      <c r="H666" s="28">
        <v>940.18</v>
      </c>
      <c r="I666" s="28">
        <v>679327</v>
      </c>
      <c r="J666" s="28">
        <v>381252</v>
      </c>
      <c r="K666" s="28">
        <v>56.12</v>
      </c>
      <c r="L666" s="29">
        <f>SUM(NSE_BhavCopy[[#This Row],[ CLOSE_PRICE]]-NSE_BhavCopy[[#This Row],[ PREV_CLOSE]])/NSE_BhavCopy[[#This Row],[ PREV_CLOSE]]*100</f>
        <v>-4.7575010275380256</v>
      </c>
    </row>
    <row r="667" spans="1:12" hidden="1" x14ac:dyDescent="0.25">
      <c r="A667" s="28" t="s">
        <v>1164</v>
      </c>
      <c r="B667" s="28" t="s">
        <v>321</v>
      </c>
      <c r="C667" s="30">
        <v>44428</v>
      </c>
      <c r="D667" s="28">
        <v>45.2</v>
      </c>
      <c r="E667" s="28">
        <v>46.55</v>
      </c>
      <c r="F667" s="28">
        <v>46.55</v>
      </c>
      <c r="G667" s="28">
        <v>45.9</v>
      </c>
      <c r="H667" s="28">
        <v>45.02</v>
      </c>
      <c r="I667" s="28">
        <v>1082</v>
      </c>
      <c r="J667" s="28">
        <v>607</v>
      </c>
      <c r="K667" s="28">
        <v>56.1</v>
      </c>
      <c r="L667" s="29">
        <f>SUM(NSE_BhavCopy[[#This Row],[ CLOSE_PRICE]]-NSE_BhavCopy[[#This Row],[ PREV_CLOSE]])/NSE_BhavCopy[[#This Row],[ PREV_CLOSE]]*100</f>
        <v>1.5486725663716718</v>
      </c>
    </row>
    <row r="668" spans="1:12" hidden="1" x14ac:dyDescent="0.25">
      <c r="A668" s="28" t="s">
        <v>346</v>
      </c>
      <c r="B668" s="28" t="s">
        <v>321</v>
      </c>
      <c r="C668" s="30">
        <v>44428</v>
      </c>
      <c r="D668" s="28">
        <v>70.75</v>
      </c>
      <c r="E668" s="28">
        <v>71</v>
      </c>
      <c r="F668" s="28">
        <v>73.7</v>
      </c>
      <c r="G668" s="28">
        <v>72.5</v>
      </c>
      <c r="H668" s="28">
        <v>70.05</v>
      </c>
      <c r="I668" s="28">
        <v>75708</v>
      </c>
      <c r="J668" s="28">
        <v>42464</v>
      </c>
      <c r="K668" s="28">
        <v>56.09</v>
      </c>
      <c r="L668" s="29">
        <f>SUM(NSE_BhavCopy[[#This Row],[ CLOSE_PRICE]]-NSE_BhavCopy[[#This Row],[ PREV_CLOSE]])/NSE_BhavCopy[[#This Row],[ PREV_CLOSE]]*100</f>
        <v>2.4734982332155475</v>
      </c>
    </row>
    <row r="669" spans="1:12" hidden="1" x14ac:dyDescent="0.25">
      <c r="A669" s="28" t="s">
        <v>1092</v>
      </c>
      <c r="B669" s="28" t="s">
        <v>321</v>
      </c>
      <c r="C669" s="30">
        <v>44428</v>
      </c>
      <c r="D669" s="28">
        <v>75.25</v>
      </c>
      <c r="E669" s="28">
        <v>75</v>
      </c>
      <c r="F669" s="28">
        <v>75</v>
      </c>
      <c r="G669" s="28">
        <v>71.900000000000006</v>
      </c>
      <c r="H669" s="28">
        <v>72.78</v>
      </c>
      <c r="I669" s="28">
        <v>75205</v>
      </c>
      <c r="J669" s="28">
        <v>42164</v>
      </c>
      <c r="K669" s="28">
        <v>56.07</v>
      </c>
      <c r="L669" s="29">
        <f>SUM(NSE_BhavCopy[[#This Row],[ CLOSE_PRICE]]-NSE_BhavCopy[[#This Row],[ PREV_CLOSE]])/NSE_BhavCopy[[#This Row],[ PREV_CLOSE]]*100</f>
        <v>-4.4518272425249092</v>
      </c>
    </row>
    <row r="670" spans="1:12" hidden="1" x14ac:dyDescent="0.25">
      <c r="A670" s="28" t="s">
        <v>1321</v>
      </c>
      <c r="B670" s="28" t="s">
        <v>321</v>
      </c>
      <c r="C670" s="30">
        <v>44428</v>
      </c>
      <c r="D670" s="28">
        <v>28.7</v>
      </c>
      <c r="E670" s="28">
        <v>28.6</v>
      </c>
      <c r="F670" s="28">
        <v>28.6</v>
      </c>
      <c r="G670" s="28">
        <v>28.1</v>
      </c>
      <c r="H670" s="28">
        <v>28.3</v>
      </c>
      <c r="I670" s="28">
        <v>1561800</v>
      </c>
      <c r="J670" s="28">
        <v>875096</v>
      </c>
      <c r="K670" s="28">
        <v>56.03</v>
      </c>
      <c r="L670" s="29">
        <f>SUM(NSE_BhavCopy[[#This Row],[ CLOSE_PRICE]]-NSE_BhavCopy[[#This Row],[ PREV_CLOSE]])/NSE_BhavCopy[[#This Row],[ PREV_CLOSE]]*100</f>
        <v>-2.0905923344947661</v>
      </c>
    </row>
    <row r="671" spans="1:12" hidden="1" x14ac:dyDescent="0.25">
      <c r="A671" s="28" t="s">
        <v>689</v>
      </c>
      <c r="B671" s="28" t="s">
        <v>321</v>
      </c>
      <c r="C671" s="30">
        <v>44428</v>
      </c>
      <c r="D671" s="28">
        <v>129.65</v>
      </c>
      <c r="E671" s="28">
        <v>135</v>
      </c>
      <c r="F671" s="28">
        <v>135</v>
      </c>
      <c r="G671" s="28">
        <v>128.9</v>
      </c>
      <c r="H671" s="28">
        <v>128.44</v>
      </c>
      <c r="I671" s="28">
        <v>59877</v>
      </c>
      <c r="J671" s="28">
        <v>33546</v>
      </c>
      <c r="K671" s="28">
        <v>56.02</v>
      </c>
      <c r="L671" s="29">
        <f>SUM(NSE_BhavCopy[[#This Row],[ CLOSE_PRICE]]-NSE_BhavCopy[[#This Row],[ PREV_CLOSE]])/NSE_BhavCopy[[#This Row],[ PREV_CLOSE]]*100</f>
        <v>-0.57848052448900888</v>
      </c>
    </row>
    <row r="672" spans="1:12" hidden="1" x14ac:dyDescent="0.25">
      <c r="A672" s="28" t="s">
        <v>582</v>
      </c>
      <c r="B672" s="28" t="s">
        <v>321</v>
      </c>
      <c r="C672" s="30">
        <v>44428</v>
      </c>
      <c r="D672" s="28">
        <v>522.1</v>
      </c>
      <c r="E672" s="28">
        <v>516</v>
      </c>
      <c r="F672" s="28">
        <v>516.35</v>
      </c>
      <c r="G672" s="28">
        <v>504.95</v>
      </c>
      <c r="H672" s="28">
        <v>510.57</v>
      </c>
      <c r="I672" s="28">
        <v>137584</v>
      </c>
      <c r="J672" s="28">
        <v>76970</v>
      </c>
      <c r="K672" s="28">
        <v>55.94</v>
      </c>
      <c r="L672" s="29">
        <f>SUM(NSE_BhavCopy[[#This Row],[ CLOSE_PRICE]]-NSE_BhavCopy[[#This Row],[ PREV_CLOSE]])/NSE_BhavCopy[[#This Row],[ PREV_CLOSE]]*100</f>
        <v>-3.2848113388239861</v>
      </c>
    </row>
    <row r="673" spans="1:12" hidden="1" x14ac:dyDescent="0.25">
      <c r="A673" s="28" t="s">
        <v>778</v>
      </c>
      <c r="B673" s="28" t="s">
        <v>321</v>
      </c>
      <c r="C673" s="30">
        <v>44428</v>
      </c>
      <c r="D673" s="28">
        <v>261.60000000000002</v>
      </c>
      <c r="E673" s="28">
        <v>260.60000000000002</v>
      </c>
      <c r="F673" s="28">
        <v>260.60000000000002</v>
      </c>
      <c r="G673" s="28">
        <v>253.85</v>
      </c>
      <c r="H673" s="28">
        <v>255.03</v>
      </c>
      <c r="I673" s="28">
        <v>189504</v>
      </c>
      <c r="J673" s="28">
        <v>105954</v>
      </c>
      <c r="K673" s="28">
        <v>55.91</v>
      </c>
      <c r="L673" s="29">
        <f>SUM(NSE_BhavCopy[[#This Row],[ CLOSE_PRICE]]-NSE_BhavCopy[[#This Row],[ PREV_CLOSE]])/NSE_BhavCopy[[#This Row],[ PREV_CLOSE]]*100</f>
        <v>-2.9625382262997046</v>
      </c>
    </row>
    <row r="674" spans="1:12" hidden="1" x14ac:dyDescent="0.25">
      <c r="A674" s="28" t="s">
        <v>1549</v>
      </c>
      <c r="B674" s="28" t="s">
        <v>321</v>
      </c>
      <c r="C674" s="30">
        <v>44428</v>
      </c>
      <c r="D674" s="28">
        <v>290</v>
      </c>
      <c r="E674" s="28">
        <v>280.10000000000002</v>
      </c>
      <c r="F674" s="28">
        <v>314</v>
      </c>
      <c r="G674" s="28">
        <v>302.39999999999998</v>
      </c>
      <c r="H674" s="28">
        <v>301.73</v>
      </c>
      <c r="I674" s="28">
        <v>10237</v>
      </c>
      <c r="J674" s="28">
        <v>5716</v>
      </c>
      <c r="K674" s="28">
        <v>55.84</v>
      </c>
      <c r="L674" s="29">
        <f>SUM(NSE_BhavCopy[[#This Row],[ CLOSE_PRICE]]-NSE_BhavCopy[[#This Row],[ PREV_CLOSE]])/NSE_BhavCopy[[#This Row],[ PREV_CLOSE]]*100</f>
        <v>4.2758620689655098</v>
      </c>
    </row>
    <row r="675" spans="1:12" hidden="1" x14ac:dyDescent="0.25">
      <c r="A675" s="28" t="s">
        <v>961</v>
      </c>
      <c r="B675" s="28" t="s">
        <v>321</v>
      </c>
      <c r="C675" s="30">
        <v>44428</v>
      </c>
      <c r="D675" s="28">
        <v>59.65</v>
      </c>
      <c r="E675" s="28">
        <v>59.95</v>
      </c>
      <c r="F675" s="28">
        <v>59.95</v>
      </c>
      <c r="G675" s="28">
        <v>57</v>
      </c>
      <c r="H675" s="28">
        <v>57.98</v>
      </c>
      <c r="I675" s="28">
        <v>149414</v>
      </c>
      <c r="J675" s="28">
        <v>83382</v>
      </c>
      <c r="K675" s="28">
        <v>55.81</v>
      </c>
      <c r="L675" s="29">
        <f>SUM(NSE_BhavCopy[[#This Row],[ CLOSE_PRICE]]-NSE_BhavCopy[[#This Row],[ PREV_CLOSE]])/NSE_BhavCopy[[#This Row],[ PREV_CLOSE]]*100</f>
        <v>-4.4425817267393111</v>
      </c>
    </row>
    <row r="676" spans="1:12" hidden="1" x14ac:dyDescent="0.25">
      <c r="A676" s="28" t="s">
        <v>1720</v>
      </c>
      <c r="B676" s="28" t="s">
        <v>321</v>
      </c>
      <c r="C676" s="30">
        <v>44428</v>
      </c>
      <c r="D676" s="28">
        <v>1.75</v>
      </c>
      <c r="E676" s="28">
        <v>1.8</v>
      </c>
      <c r="F676" s="28">
        <v>1.8</v>
      </c>
      <c r="G676" s="28">
        <v>1.7</v>
      </c>
      <c r="H676" s="28">
        <v>1.72</v>
      </c>
      <c r="I676" s="28">
        <v>245262</v>
      </c>
      <c r="J676" s="28">
        <v>136882</v>
      </c>
      <c r="K676" s="28">
        <v>55.81</v>
      </c>
      <c r="L676" s="29">
        <f>SUM(NSE_BhavCopy[[#This Row],[ CLOSE_PRICE]]-NSE_BhavCopy[[#This Row],[ PREV_CLOSE]])/NSE_BhavCopy[[#This Row],[ PREV_CLOSE]]*100</f>
        <v>-2.8571428571428599</v>
      </c>
    </row>
    <row r="677" spans="1:12" hidden="1" x14ac:dyDescent="0.25">
      <c r="A677" s="28" t="s">
        <v>329</v>
      </c>
      <c r="B677" s="28" t="s">
        <v>321</v>
      </c>
      <c r="C677" s="30">
        <v>44428</v>
      </c>
      <c r="D677" s="28">
        <v>1425.8</v>
      </c>
      <c r="E677" s="28">
        <v>1425.8</v>
      </c>
      <c r="F677" s="28">
        <v>1425.8</v>
      </c>
      <c r="G677" s="28">
        <v>1395.15</v>
      </c>
      <c r="H677" s="28">
        <v>1403.28</v>
      </c>
      <c r="I677" s="28">
        <v>19434</v>
      </c>
      <c r="J677" s="28">
        <v>10843</v>
      </c>
      <c r="K677" s="28">
        <v>55.79</v>
      </c>
      <c r="L677" s="29">
        <f>SUM(NSE_BhavCopy[[#This Row],[ CLOSE_PRICE]]-NSE_BhavCopy[[#This Row],[ PREV_CLOSE]])/NSE_BhavCopy[[#This Row],[ PREV_CLOSE]]*100</f>
        <v>-2.1496703604993592</v>
      </c>
    </row>
    <row r="678" spans="1:12" hidden="1" x14ac:dyDescent="0.25">
      <c r="A678" s="28" t="s">
        <v>988</v>
      </c>
      <c r="B678" s="28" t="s">
        <v>321</v>
      </c>
      <c r="C678" s="30">
        <v>44428</v>
      </c>
      <c r="D678" s="28">
        <v>156.65</v>
      </c>
      <c r="E678" s="28">
        <v>152.55000000000001</v>
      </c>
      <c r="F678" s="28">
        <v>156.75</v>
      </c>
      <c r="G678" s="28">
        <v>148.75</v>
      </c>
      <c r="H678" s="28">
        <v>152.15</v>
      </c>
      <c r="I678" s="28">
        <v>91279</v>
      </c>
      <c r="J678" s="28">
        <v>50911</v>
      </c>
      <c r="K678" s="28">
        <v>55.78</v>
      </c>
      <c r="L678" s="29">
        <f>SUM(NSE_BhavCopy[[#This Row],[ CLOSE_PRICE]]-NSE_BhavCopy[[#This Row],[ PREV_CLOSE]])/NSE_BhavCopy[[#This Row],[ PREV_CLOSE]]*100</f>
        <v>-5.0430896903925984</v>
      </c>
    </row>
    <row r="679" spans="1:12" hidden="1" x14ac:dyDescent="0.25">
      <c r="A679" s="28" t="s">
        <v>1372</v>
      </c>
      <c r="B679" s="28" t="s">
        <v>321</v>
      </c>
      <c r="C679" s="30">
        <v>44428</v>
      </c>
      <c r="D679" s="28">
        <v>432.26</v>
      </c>
      <c r="E679" s="28">
        <v>438</v>
      </c>
      <c r="F679" s="28">
        <v>443.98</v>
      </c>
      <c r="G679" s="28">
        <v>434.57</v>
      </c>
      <c r="H679" s="28">
        <v>433.56</v>
      </c>
      <c r="I679" s="28">
        <v>882</v>
      </c>
      <c r="J679" s="28">
        <v>492</v>
      </c>
      <c r="K679" s="28">
        <v>55.78</v>
      </c>
      <c r="L679" s="29">
        <f>SUM(NSE_BhavCopy[[#This Row],[ CLOSE_PRICE]]-NSE_BhavCopy[[#This Row],[ PREV_CLOSE]])/NSE_BhavCopy[[#This Row],[ PREV_CLOSE]]*100</f>
        <v>0.53440059223615477</v>
      </c>
    </row>
    <row r="680" spans="1:12" hidden="1" x14ac:dyDescent="0.25">
      <c r="A680" s="28" t="s">
        <v>1157</v>
      </c>
      <c r="B680" s="28" t="s">
        <v>321</v>
      </c>
      <c r="C680" s="30">
        <v>44428</v>
      </c>
      <c r="D680" s="28">
        <v>178.76</v>
      </c>
      <c r="E680" s="28">
        <v>194</v>
      </c>
      <c r="F680" s="28">
        <v>194</v>
      </c>
      <c r="G680" s="28">
        <v>177.32</v>
      </c>
      <c r="H680" s="28">
        <v>177.55</v>
      </c>
      <c r="I680" s="28">
        <v>1825110</v>
      </c>
      <c r="J680" s="28">
        <v>1016664</v>
      </c>
      <c r="K680" s="28">
        <v>55.7</v>
      </c>
      <c r="L680" s="29">
        <f>SUM(NSE_BhavCopy[[#This Row],[ CLOSE_PRICE]]-NSE_BhavCopy[[#This Row],[ PREV_CLOSE]])/NSE_BhavCopy[[#This Row],[ PREV_CLOSE]]*100</f>
        <v>-0.80554933989706745</v>
      </c>
    </row>
    <row r="681" spans="1:12" hidden="1" x14ac:dyDescent="0.25">
      <c r="A681" s="28" t="s">
        <v>1141</v>
      </c>
      <c r="B681" s="28" t="s">
        <v>321</v>
      </c>
      <c r="C681" s="30">
        <v>44428</v>
      </c>
      <c r="D681" s="28">
        <v>592.4</v>
      </c>
      <c r="E681" s="28">
        <v>582</v>
      </c>
      <c r="F681" s="28">
        <v>589.95000000000005</v>
      </c>
      <c r="G681" s="28">
        <v>581.25</v>
      </c>
      <c r="H681" s="28">
        <v>584.75</v>
      </c>
      <c r="I681" s="28">
        <v>42565</v>
      </c>
      <c r="J681" s="28">
        <v>23706</v>
      </c>
      <c r="K681" s="28">
        <v>55.69</v>
      </c>
      <c r="L681" s="29">
        <f>SUM(NSE_BhavCopy[[#This Row],[ CLOSE_PRICE]]-NSE_BhavCopy[[#This Row],[ PREV_CLOSE]])/NSE_BhavCopy[[#This Row],[ PREV_CLOSE]]*100</f>
        <v>-1.8821742066171467</v>
      </c>
    </row>
    <row r="682" spans="1:12" hidden="1" x14ac:dyDescent="0.25">
      <c r="A682" s="28" t="s">
        <v>773</v>
      </c>
      <c r="B682" s="28" t="s">
        <v>321</v>
      </c>
      <c r="C682" s="30">
        <v>44428</v>
      </c>
      <c r="D682" s="28">
        <v>2995.9</v>
      </c>
      <c r="E682" s="28">
        <v>2930</v>
      </c>
      <c r="F682" s="28">
        <v>2960</v>
      </c>
      <c r="G682" s="28">
        <v>2938.2</v>
      </c>
      <c r="H682" s="28">
        <v>2937.46</v>
      </c>
      <c r="I682" s="28">
        <v>246206</v>
      </c>
      <c r="J682" s="28">
        <v>137057</v>
      </c>
      <c r="K682" s="28">
        <v>55.67</v>
      </c>
      <c r="L682" s="29">
        <f>SUM(NSE_BhavCopy[[#This Row],[ CLOSE_PRICE]]-NSE_BhavCopy[[#This Row],[ PREV_CLOSE]])/NSE_BhavCopy[[#This Row],[ PREV_CLOSE]]*100</f>
        <v>-1.9259654861644337</v>
      </c>
    </row>
    <row r="683" spans="1:12" hidden="1" x14ac:dyDescent="0.25">
      <c r="A683" s="28" t="s">
        <v>835</v>
      </c>
      <c r="B683" s="28" t="s">
        <v>321</v>
      </c>
      <c r="C683" s="30">
        <v>44428</v>
      </c>
      <c r="D683" s="28">
        <v>3698.2</v>
      </c>
      <c r="E683" s="28">
        <v>3699.9</v>
      </c>
      <c r="F683" s="28">
        <v>3715</v>
      </c>
      <c r="G683" s="28">
        <v>3570.2</v>
      </c>
      <c r="H683" s="28">
        <v>3629.01</v>
      </c>
      <c r="I683" s="28">
        <v>3124</v>
      </c>
      <c r="J683" s="28">
        <v>1738</v>
      </c>
      <c r="K683" s="28">
        <v>55.63</v>
      </c>
      <c r="L683" s="29">
        <f>SUM(NSE_BhavCopy[[#This Row],[ CLOSE_PRICE]]-NSE_BhavCopy[[#This Row],[ PREV_CLOSE]])/NSE_BhavCopy[[#This Row],[ PREV_CLOSE]]*100</f>
        <v>-3.4611432588827</v>
      </c>
    </row>
    <row r="684" spans="1:12" hidden="1" x14ac:dyDescent="0.25">
      <c r="A684" s="28" t="s">
        <v>49</v>
      </c>
      <c r="B684" s="28" t="s">
        <v>321</v>
      </c>
      <c r="C684" s="30">
        <v>44428</v>
      </c>
      <c r="D684" s="28">
        <v>7601.45</v>
      </c>
      <c r="E684" s="28">
        <v>7596.6</v>
      </c>
      <c r="F684" s="28">
        <v>7624.9</v>
      </c>
      <c r="G684" s="28">
        <v>7493.35</v>
      </c>
      <c r="H684" s="28">
        <v>7540.03</v>
      </c>
      <c r="I684" s="28">
        <v>358744</v>
      </c>
      <c r="J684" s="28">
        <v>199509</v>
      </c>
      <c r="K684" s="28">
        <v>55.61</v>
      </c>
      <c r="L684" s="29">
        <f>SUM(NSE_BhavCopy[[#This Row],[ CLOSE_PRICE]]-NSE_BhavCopy[[#This Row],[ PREV_CLOSE]])/NSE_BhavCopy[[#This Row],[ PREV_CLOSE]]*100</f>
        <v>-1.4220970998954074</v>
      </c>
    </row>
    <row r="685" spans="1:12" hidden="1" x14ac:dyDescent="0.25">
      <c r="A685" s="28" t="s">
        <v>568</v>
      </c>
      <c r="B685" s="28" t="s">
        <v>321</v>
      </c>
      <c r="C685" s="30">
        <v>44428</v>
      </c>
      <c r="D685" s="28">
        <v>451.05</v>
      </c>
      <c r="E685" s="28">
        <v>449.4</v>
      </c>
      <c r="F685" s="28">
        <v>451.85</v>
      </c>
      <c r="G685" s="28">
        <v>446.95</v>
      </c>
      <c r="H685" s="28">
        <v>446.59</v>
      </c>
      <c r="I685" s="28">
        <v>505964</v>
      </c>
      <c r="J685" s="28">
        <v>281156</v>
      </c>
      <c r="K685" s="28">
        <v>55.57</v>
      </c>
      <c r="L685" s="29">
        <f>SUM(NSE_BhavCopy[[#This Row],[ CLOSE_PRICE]]-NSE_BhavCopy[[#This Row],[ PREV_CLOSE]])/NSE_BhavCopy[[#This Row],[ PREV_CLOSE]]*100</f>
        <v>-0.908990134131476</v>
      </c>
    </row>
    <row r="686" spans="1:12" hidden="1" x14ac:dyDescent="0.25">
      <c r="A686" s="28" t="s">
        <v>1268</v>
      </c>
      <c r="B686" s="28" t="s">
        <v>321</v>
      </c>
      <c r="C686" s="30">
        <v>44428</v>
      </c>
      <c r="D686" s="28">
        <v>223.65</v>
      </c>
      <c r="E686" s="28">
        <v>221</v>
      </c>
      <c r="F686" s="28">
        <v>225</v>
      </c>
      <c r="G686" s="28">
        <v>217.25</v>
      </c>
      <c r="H686" s="28">
        <v>219.73</v>
      </c>
      <c r="I686" s="28">
        <v>126205</v>
      </c>
      <c r="J686" s="28">
        <v>70091</v>
      </c>
      <c r="K686" s="28">
        <v>55.54</v>
      </c>
      <c r="L686" s="29">
        <f>SUM(NSE_BhavCopy[[#This Row],[ CLOSE_PRICE]]-NSE_BhavCopy[[#This Row],[ PREV_CLOSE]])/NSE_BhavCopy[[#This Row],[ PREV_CLOSE]]*100</f>
        <v>-2.8616141292197654</v>
      </c>
    </row>
    <row r="687" spans="1:12" hidden="1" x14ac:dyDescent="0.25">
      <c r="A687" s="28" t="s">
        <v>1035</v>
      </c>
      <c r="B687" s="28" t="s">
        <v>321</v>
      </c>
      <c r="C687" s="30">
        <v>44428</v>
      </c>
      <c r="D687" s="28">
        <v>133.19999999999999</v>
      </c>
      <c r="E687" s="28">
        <v>131</v>
      </c>
      <c r="F687" s="28">
        <v>131.85</v>
      </c>
      <c r="G687" s="28">
        <v>129.15</v>
      </c>
      <c r="H687" s="28">
        <v>130.13999999999999</v>
      </c>
      <c r="I687" s="28">
        <v>65310</v>
      </c>
      <c r="J687" s="28">
        <v>36253</v>
      </c>
      <c r="K687" s="28">
        <v>55.51</v>
      </c>
      <c r="L687" s="29">
        <f>SUM(NSE_BhavCopy[[#This Row],[ CLOSE_PRICE]]-NSE_BhavCopy[[#This Row],[ PREV_CLOSE]])/NSE_BhavCopy[[#This Row],[ PREV_CLOSE]]*100</f>
        <v>-3.0405405405405279</v>
      </c>
    </row>
    <row r="688" spans="1:12" hidden="1" x14ac:dyDescent="0.25">
      <c r="A688" s="28" t="s">
        <v>1350</v>
      </c>
      <c r="B688" s="28" t="s">
        <v>321</v>
      </c>
      <c r="C688" s="30">
        <v>44428</v>
      </c>
      <c r="D688" s="28">
        <v>101.05</v>
      </c>
      <c r="E688" s="28">
        <v>100</v>
      </c>
      <c r="F688" s="28">
        <v>100.6</v>
      </c>
      <c r="G688" s="28">
        <v>96.1</v>
      </c>
      <c r="H688" s="28">
        <v>97.84</v>
      </c>
      <c r="I688" s="28">
        <v>1601974</v>
      </c>
      <c r="J688" s="28">
        <v>888925</v>
      </c>
      <c r="K688" s="28">
        <v>55.49</v>
      </c>
      <c r="L688" s="29">
        <f>SUM(NSE_BhavCopy[[#This Row],[ CLOSE_PRICE]]-NSE_BhavCopy[[#This Row],[ PREV_CLOSE]])/NSE_BhavCopy[[#This Row],[ PREV_CLOSE]]*100</f>
        <v>-4.8985650667986169</v>
      </c>
    </row>
    <row r="689" spans="1:12" hidden="1" x14ac:dyDescent="0.25">
      <c r="A689" s="28" t="s">
        <v>1330</v>
      </c>
      <c r="B689" s="28" t="s">
        <v>321</v>
      </c>
      <c r="C689" s="30">
        <v>44428</v>
      </c>
      <c r="D689" s="28">
        <v>152.44999999999999</v>
      </c>
      <c r="E689" s="28">
        <v>151</v>
      </c>
      <c r="F689" s="28">
        <v>152.69999999999999</v>
      </c>
      <c r="G689" s="28">
        <v>150.25</v>
      </c>
      <c r="H689" s="28">
        <v>150.38</v>
      </c>
      <c r="I689" s="28">
        <v>52571</v>
      </c>
      <c r="J689" s="28">
        <v>29158</v>
      </c>
      <c r="K689" s="28">
        <v>55.46</v>
      </c>
      <c r="L689" s="29">
        <f>SUM(NSE_BhavCopy[[#This Row],[ CLOSE_PRICE]]-NSE_BhavCopy[[#This Row],[ PREV_CLOSE]])/NSE_BhavCopy[[#This Row],[ PREV_CLOSE]]*100</f>
        <v>-1.4430960970810027</v>
      </c>
    </row>
    <row r="690" spans="1:12" hidden="1" x14ac:dyDescent="0.25">
      <c r="A690" s="28" t="s">
        <v>1476</v>
      </c>
      <c r="B690" s="28" t="s">
        <v>321</v>
      </c>
      <c r="C690" s="30">
        <v>44428</v>
      </c>
      <c r="D690" s="28">
        <v>70</v>
      </c>
      <c r="E690" s="28">
        <v>69.2</v>
      </c>
      <c r="F690" s="28">
        <v>70.900000000000006</v>
      </c>
      <c r="G690" s="28">
        <v>68.349999999999994</v>
      </c>
      <c r="H690" s="28">
        <v>68.84</v>
      </c>
      <c r="I690" s="28">
        <v>48422</v>
      </c>
      <c r="J690" s="28">
        <v>26836</v>
      </c>
      <c r="K690" s="28">
        <v>55.42</v>
      </c>
      <c r="L690" s="29">
        <f>SUM(NSE_BhavCopy[[#This Row],[ CLOSE_PRICE]]-NSE_BhavCopy[[#This Row],[ PREV_CLOSE]])/NSE_BhavCopy[[#This Row],[ PREV_CLOSE]]*100</f>
        <v>-2.3571428571428652</v>
      </c>
    </row>
    <row r="691" spans="1:12" hidden="1" x14ac:dyDescent="0.25">
      <c r="A691" s="28" t="s">
        <v>672</v>
      </c>
      <c r="B691" s="28" t="s">
        <v>321</v>
      </c>
      <c r="C691" s="30">
        <v>44428</v>
      </c>
      <c r="D691" s="28">
        <v>166.95</v>
      </c>
      <c r="E691" s="28">
        <v>163.19999999999999</v>
      </c>
      <c r="F691" s="28">
        <v>166.9</v>
      </c>
      <c r="G691" s="28">
        <v>165.35</v>
      </c>
      <c r="H691" s="28">
        <v>164.78</v>
      </c>
      <c r="I691" s="28">
        <v>366658</v>
      </c>
      <c r="J691" s="28">
        <v>203026</v>
      </c>
      <c r="K691" s="28">
        <v>55.37</v>
      </c>
      <c r="L691" s="29">
        <f>SUM(NSE_BhavCopy[[#This Row],[ CLOSE_PRICE]]-NSE_BhavCopy[[#This Row],[ PREV_CLOSE]])/NSE_BhavCopy[[#This Row],[ PREV_CLOSE]]*100</f>
        <v>-0.95837076969152102</v>
      </c>
    </row>
    <row r="692" spans="1:12" hidden="1" x14ac:dyDescent="0.25">
      <c r="A692" s="28" t="s">
        <v>1764</v>
      </c>
      <c r="B692" s="28" t="s">
        <v>321</v>
      </c>
      <c r="C692" s="30">
        <v>44428</v>
      </c>
      <c r="D692" s="28">
        <v>2202.5</v>
      </c>
      <c r="E692" s="28">
        <v>2180</v>
      </c>
      <c r="F692" s="28">
        <v>2258</v>
      </c>
      <c r="G692" s="28">
        <v>2200</v>
      </c>
      <c r="H692" s="28">
        <v>2209.69</v>
      </c>
      <c r="I692" s="28">
        <v>188841</v>
      </c>
      <c r="J692" s="28">
        <v>104511</v>
      </c>
      <c r="K692" s="28">
        <v>55.34</v>
      </c>
      <c r="L692" s="29">
        <f>SUM(NSE_BhavCopy[[#This Row],[ CLOSE_PRICE]]-NSE_BhavCopy[[#This Row],[ PREV_CLOSE]])/NSE_BhavCopy[[#This Row],[ PREV_CLOSE]]*100</f>
        <v>-0.11350737797956867</v>
      </c>
    </row>
    <row r="693" spans="1:12" hidden="1" x14ac:dyDescent="0.25">
      <c r="A693" s="28" t="s">
        <v>1221</v>
      </c>
      <c r="B693" s="28" t="s">
        <v>321</v>
      </c>
      <c r="C693" s="30">
        <v>44428</v>
      </c>
      <c r="D693" s="28">
        <v>341.8</v>
      </c>
      <c r="E693" s="28">
        <v>339</v>
      </c>
      <c r="F693" s="28">
        <v>339</v>
      </c>
      <c r="G693" s="28">
        <v>319.10000000000002</v>
      </c>
      <c r="H693" s="28">
        <v>324.39999999999998</v>
      </c>
      <c r="I693" s="28">
        <v>28617</v>
      </c>
      <c r="J693" s="28">
        <v>15822</v>
      </c>
      <c r="K693" s="28">
        <v>55.29</v>
      </c>
      <c r="L693" s="29">
        <f>SUM(NSE_BhavCopy[[#This Row],[ CLOSE_PRICE]]-NSE_BhavCopy[[#This Row],[ PREV_CLOSE]])/NSE_BhavCopy[[#This Row],[ PREV_CLOSE]]*100</f>
        <v>-6.6413107080163805</v>
      </c>
    </row>
    <row r="694" spans="1:12" hidden="1" x14ac:dyDescent="0.25">
      <c r="A694" s="28" t="s">
        <v>479</v>
      </c>
      <c r="B694" s="28" t="s">
        <v>321</v>
      </c>
      <c r="C694" s="30">
        <v>44428</v>
      </c>
      <c r="D694" s="28">
        <v>50.1</v>
      </c>
      <c r="E694" s="28">
        <v>48</v>
      </c>
      <c r="F694" s="28">
        <v>49.85</v>
      </c>
      <c r="G694" s="28">
        <v>48.4</v>
      </c>
      <c r="H694" s="28">
        <v>48.98</v>
      </c>
      <c r="I694" s="28">
        <v>81449</v>
      </c>
      <c r="J694" s="28">
        <v>45022</v>
      </c>
      <c r="K694" s="28">
        <v>55.28</v>
      </c>
      <c r="L694" s="29">
        <f>SUM(NSE_BhavCopy[[#This Row],[ CLOSE_PRICE]]-NSE_BhavCopy[[#This Row],[ PREV_CLOSE]])/NSE_BhavCopy[[#This Row],[ PREV_CLOSE]]*100</f>
        <v>-3.3932135728542971</v>
      </c>
    </row>
    <row r="695" spans="1:12" hidden="1" x14ac:dyDescent="0.25">
      <c r="A695" s="28" t="s">
        <v>602</v>
      </c>
      <c r="B695" s="28" t="s">
        <v>321</v>
      </c>
      <c r="C695" s="30">
        <v>44428</v>
      </c>
      <c r="D695" s="28">
        <v>439.75</v>
      </c>
      <c r="E695" s="28">
        <v>435.05</v>
      </c>
      <c r="F695" s="28">
        <v>463.75</v>
      </c>
      <c r="G695" s="28">
        <v>443.95</v>
      </c>
      <c r="H695" s="28">
        <v>447.32</v>
      </c>
      <c r="I695" s="28">
        <v>6482</v>
      </c>
      <c r="J695" s="28">
        <v>3579</v>
      </c>
      <c r="K695" s="28">
        <v>55.21</v>
      </c>
      <c r="L695" s="29">
        <f>SUM(NSE_BhavCopy[[#This Row],[ CLOSE_PRICE]]-NSE_BhavCopy[[#This Row],[ PREV_CLOSE]])/NSE_BhavCopy[[#This Row],[ PREV_CLOSE]]*100</f>
        <v>0.95508811824900253</v>
      </c>
    </row>
    <row r="696" spans="1:12" hidden="1" x14ac:dyDescent="0.25">
      <c r="A696" s="28" t="s">
        <v>362</v>
      </c>
      <c r="B696" s="28" t="s">
        <v>321</v>
      </c>
      <c r="C696" s="30">
        <v>44428</v>
      </c>
      <c r="D696" s="28">
        <v>15.05</v>
      </c>
      <c r="E696" s="28">
        <v>15.05</v>
      </c>
      <c r="F696" s="28">
        <v>15.95</v>
      </c>
      <c r="G696" s="28">
        <v>15.05</v>
      </c>
      <c r="H696" s="28">
        <v>15.13</v>
      </c>
      <c r="I696" s="28">
        <v>636736</v>
      </c>
      <c r="J696" s="28">
        <v>351453</v>
      </c>
      <c r="K696" s="28">
        <v>55.2</v>
      </c>
      <c r="L696" s="29">
        <f>SUM(NSE_BhavCopy[[#This Row],[ CLOSE_PRICE]]-NSE_BhavCopy[[#This Row],[ PREV_CLOSE]])/NSE_BhavCopy[[#This Row],[ PREV_CLOSE]]*100</f>
        <v>0</v>
      </c>
    </row>
    <row r="697" spans="1:12" hidden="1" x14ac:dyDescent="0.25">
      <c r="A697" s="28" t="s">
        <v>1370</v>
      </c>
      <c r="B697" s="28" t="s">
        <v>321</v>
      </c>
      <c r="C697" s="30">
        <v>44428</v>
      </c>
      <c r="D697" s="28">
        <v>313.55</v>
      </c>
      <c r="E697" s="28">
        <v>314.89999999999998</v>
      </c>
      <c r="F697" s="28">
        <v>314.89999999999998</v>
      </c>
      <c r="G697" s="28">
        <v>303.60000000000002</v>
      </c>
      <c r="H697" s="28">
        <v>308.70999999999998</v>
      </c>
      <c r="I697" s="28">
        <v>83851</v>
      </c>
      <c r="J697" s="28">
        <v>46282</v>
      </c>
      <c r="K697" s="28">
        <v>55.2</v>
      </c>
      <c r="L697" s="29">
        <f>SUM(NSE_BhavCopy[[#This Row],[ CLOSE_PRICE]]-NSE_BhavCopy[[#This Row],[ PREV_CLOSE]])/NSE_BhavCopy[[#This Row],[ PREV_CLOSE]]*100</f>
        <v>-3.1733375857120034</v>
      </c>
    </row>
    <row r="698" spans="1:12" hidden="1" x14ac:dyDescent="0.25">
      <c r="A698" s="28" t="s">
        <v>1732</v>
      </c>
      <c r="B698" s="28" t="s">
        <v>321</v>
      </c>
      <c r="C698" s="30">
        <v>44428</v>
      </c>
      <c r="D698" s="28">
        <v>19.55</v>
      </c>
      <c r="E698" s="28">
        <v>19.5</v>
      </c>
      <c r="F698" s="28">
        <v>19.8</v>
      </c>
      <c r="G698" s="28">
        <v>18.05</v>
      </c>
      <c r="H698" s="28">
        <v>18.850000000000001</v>
      </c>
      <c r="I698" s="28">
        <v>23119</v>
      </c>
      <c r="J698" s="28">
        <v>12754</v>
      </c>
      <c r="K698" s="28">
        <v>55.17</v>
      </c>
      <c r="L698" s="29">
        <f>SUM(NSE_BhavCopy[[#This Row],[ CLOSE_PRICE]]-NSE_BhavCopy[[#This Row],[ PREV_CLOSE]])/NSE_BhavCopy[[#This Row],[ PREV_CLOSE]]*100</f>
        <v>-7.6726342710997448</v>
      </c>
    </row>
    <row r="699" spans="1:12" hidden="1" x14ac:dyDescent="0.25">
      <c r="A699" s="28" t="s">
        <v>1275</v>
      </c>
      <c r="B699" s="28" t="s">
        <v>321</v>
      </c>
      <c r="C699" s="30">
        <v>44428</v>
      </c>
      <c r="D699" s="28">
        <v>19.649999999999999</v>
      </c>
      <c r="E699" s="28">
        <v>19</v>
      </c>
      <c r="F699" s="28">
        <v>19.649999999999999</v>
      </c>
      <c r="G699" s="28">
        <v>18.7</v>
      </c>
      <c r="H699" s="28">
        <v>18.489999999999998</v>
      </c>
      <c r="I699" s="28">
        <v>299624</v>
      </c>
      <c r="J699" s="28">
        <v>165197</v>
      </c>
      <c r="K699" s="28">
        <v>55.13</v>
      </c>
      <c r="L699" s="29">
        <f>SUM(NSE_BhavCopy[[#This Row],[ CLOSE_PRICE]]-NSE_BhavCopy[[#This Row],[ PREV_CLOSE]])/NSE_BhavCopy[[#This Row],[ PREV_CLOSE]]*100</f>
        <v>-4.8346055979643729</v>
      </c>
    </row>
    <row r="700" spans="1:12" hidden="1" x14ac:dyDescent="0.25">
      <c r="A700" s="28" t="s">
        <v>734</v>
      </c>
      <c r="B700" s="28" t="s">
        <v>321</v>
      </c>
      <c r="C700" s="30">
        <v>44428</v>
      </c>
      <c r="D700" s="28">
        <v>13.75</v>
      </c>
      <c r="E700" s="28">
        <v>14.3</v>
      </c>
      <c r="F700" s="28">
        <v>14.3</v>
      </c>
      <c r="G700" s="28">
        <v>13.4</v>
      </c>
      <c r="H700" s="28">
        <v>13.47</v>
      </c>
      <c r="I700" s="28">
        <v>31824</v>
      </c>
      <c r="J700" s="28">
        <v>17531</v>
      </c>
      <c r="K700" s="28">
        <v>55.09</v>
      </c>
      <c r="L700" s="29">
        <f>SUM(NSE_BhavCopy[[#This Row],[ CLOSE_PRICE]]-NSE_BhavCopy[[#This Row],[ PREV_CLOSE]])/NSE_BhavCopy[[#This Row],[ PREV_CLOSE]]*100</f>
        <v>-2.5454545454545427</v>
      </c>
    </row>
    <row r="701" spans="1:12" hidden="1" x14ac:dyDescent="0.25">
      <c r="A701" s="28" t="s">
        <v>1145</v>
      </c>
      <c r="B701" s="28" t="s">
        <v>321</v>
      </c>
      <c r="C701" s="30">
        <v>44428</v>
      </c>
      <c r="D701" s="28">
        <v>34.049999999999997</v>
      </c>
      <c r="E701" s="28">
        <v>32.799999999999997</v>
      </c>
      <c r="F701" s="28">
        <v>34.380000000000003</v>
      </c>
      <c r="G701" s="28">
        <v>33.94</v>
      </c>
      <c r="H701" s="28">
        <v>33.96</v>
      </c>
      <c r="I701" s="28">
        <v>828344</v>
      </c>
      <c r="J701" s="28">
        <v>456113</v>
      </c>
      <c r="K701" s="28">
        <v>55.06</v>
      </c>
      <c r="L701" s="29">
        <f>SUM(NSE_BhavCopy[[#This Row],[ CLOSE_PRICE]]-NSE_BhavCopy[[#This Row],[ PREV_CLOSE]])/NSE_BhavCopy[[#This Row],[ PREV_CLOSE]]*100</f>
        <v>-0.3230543318649029</v>
      </c>
    </row>
    <row r="702" spans="1:12" hidden="1" x14ac:dyDescent="0.25">
      <c r="A702" s="28" t="s">
        <v>587</v>
      </c>
      <c r="B702" s="28" t="s">
        <v>321</v>
      </c>
      <c r="C702" s="30">
        <v>44428</v>
      </c>
      <c r="D702" s="28">
        <v>989.8</v>
      </c>
      <c r="E702" s="28">
        <v>980</v>
      </c>
      <c r="F702" s="28">
        <v>992.5</v>
      </c>
      <c r="G702" s="28">
        <v>942.8</v>
      </c>
      <c r="H702" s="28">
        <v>961.41</v>
      </c>
      <c r="I702" s="28">
        <v>97485</v>
      </c>
      <c r="J702" s="28">
        <v>53658</v>
      </c>
      <c r="K702" s="28">
        <v>55.04</v>
      </c>
      <c r="L702" s="29">
        <f>SUM(NSE_BhavCopy[[#This Row],[ CLOSE_PRICE]]-NSE_BhavCopy[[#This Row],[ PREV_CLOSE]])/NSE_BhavCopy[[#This Row],[ PREV_CLOSE]]*100</f>
        <v>-4.7484340270761773</v>
      </c>
    </row>
    <row r="703" spans="1:12" hidden="1" x14ac:dyDescent="0.25">
      <c r="A703" s="28" t="s">
        <v>448</v>
      </c>
      <c r="B703" s="28" t="s">
        <v>321</v>
      </c>
      <c r="C703" s="30">
        <v>44428</v>
      </c>
      <c r="D703" s="28">
        <v>3402.15</v>
      </c>
      <c r="E703" s="28">
        <v>3345</v>
      </c>
      <c r="F703" s="28">
        <v>3426</v>
      </c>
      <c r="G703" s="28">
        <v>3319</v>
      </c>
      <c r="H703" s="28">
        <v>3354.53</v>
      </c>
      <c r="I703" s="28">
        <v>42020</v>
      </c>
      <c r="J703" s="28">
        <v>23109</v>
      </c>
      <c r="K703" s="28">
        <v>55</v>
      </c>
      <c r="L703" s="29">
        <f>SUM(NSE_BhavCopy[[#This Row],[ CLOSE_PRICE]]-NSE_BhavCopy[[#This Row],[ PREV_CLOSE]])/NSE_BhavCopy[[#This Row],[ PREV_CLOSE]]*100</f>
        <v>-2.4440427376805869</v>
      </c>
    </row>
    <row r="704" spans="1:12" hidden="1" x14ac:dyDescent="0.25">
      <c r="A704" s="28" t="s">
        <v>1036</v>
      </c>
      <c r="B704" s="28" t="s">
        <v>321</v>
      </c>
      <c r="C704" s="30">
        <v>44428</v>
      </c>
      <c r="D704" s="28">
        <v>105.1</v>
      </c>
      <c r="E704" s="28">
        <v>105</v>
      </c>
      <c r="F704" s="28">
        <v>111.9</v>
      </c>
      <c r="G704" s="28">
        <v>105.35</v>
      </c>
      <c r="H704" s="28">
        <v>106.53</v>
      </c>
      <c r="I704" s="28">
        <v>150306</v>
      </c>
      <c r="J704" s="28">
        <v>82670</v>
      </c>
      <c r="K704" s="28">
        <v>55</v>
      </c>
      <c r="L704" s="29">
        <f>SUM(NSE_BhavCopy[[#This Row],[ CLOSE_PRICE]]-NSE_BhavCopy[[#This Row],[ PREV_CLOSE]])/NSE_BhavCopy[[#This Row],[ PREV_CLOSE]]*100</f>
        <v>0.23786869647954328</v>
      </c>
    </row>
    <row r="705" spans="1:12" hidden="1" x14ac:dyDescent="0.25">
      <c r="A705" s="28" t="s">
        <v>1209</v>
      </c>
      <c r="B705" s="28" t="s">
        <v>321</v>
      </c>
      <c r="C705" s="30">
        <v>44428</v>
      </c>
      <c r="D705" s="28">
        <v>1257</v>
      </c>
      <c r="E705" s="28">
        <v>1276.25</v>
      </c>
      <c r="F705" s="28">
        <v>1276.25</v>
      </c>
      <c r="G705" s="28">
        <v>1207.0999999999999</v>
      </c>
      <c r="H705" s="28">
        <v>1201.54</v>
      </c>
      <c r="I705" s="28">
        <v>9024</v>
      </c>
      <c r="J705" s="28">
        <v>4961</v>
      </c>
      <c r="K705" s="28">
        <v>54.98</v>
      </c>
      <c r="L705" s="29">
        <f>SUM(NSE_BhavCopy[[#This Row],[ CLOSE_PRICE]]-NSE_BhavCopy[[#This Row],[ PREV_CLOSE]])/NSE_BhavCopy[[#This Row],[ PREV_CLOSE]]*100</f>
        <v>-3.9697692919650027</v>
      </c>
    </row>
    <row r="706" spans="1:12" hidden="1" x14ac:dyDescent="0.25">
      <c r="A706" s="28" t="s">
        <v>960</v>
      </c>
      <c r="B706" s="28" t="s">
        <v>321</v>
      </c>
      <c r="C706" s="30">
        <v>44428</v>
      </c>
      <c r="D706" s="28">
        <v>243</v>
      </c>
      <c r="E706" s="28">
        <v>243</v>
      </c>
      <c r="F706" s="28">
        <v>244.75</v>
      </c>
      <c r="G706" s="28">
        <v>229</v>
      </c>
      <c r="H706" s="28">
        <v>234.75</v>
      </c>
      <c r="I706" s="28">
        <v>44378</v>
      </c>
      <c r="J706" s="28">
        <v>24381</v>
      </c>
      <c r="K706" s="28">
        <v>54.94</v>
      </c>
      <c r="L706" s="29">
        <f>SUM(NSE_BhavCopy[[#This Row],[ CLOSE_PRICE]]-NSE_BhavCopy[[#This Row],[ PREV_CLOSE]])/NSE_BhavCopy[[#This Row],[ PREV_CLOSE]]*100</f>
        <v>-5.761316872427984</v>
      </c>
    </row>
    <row r="707" spans="1:12" hidden="1" x14ac:dyDescent="0.25">
      <c r="A707" s="28" t="s">
        <v>759</v>
      </c>
      <c r="B707" s="28" t="s">
        <v>321</v>
      </c>
      <c r="C707" s="30">
        <v>44428</v>
      </c>
      <c r="D707" s="28">
        <v>590.29999999999995</v>
      </c>
      <c r="E707" s="28">
        <v>580.5</v>
      </c>
      <c r="F707" s="28">
        <v>589.9</v>
      </c>
      <c r="G707" s="28">
        <v>572</v>
      </c>
      <c r="H707" s="28">
        <v>578.98</v>
      </c>
      <c r="I707" s="28">
        <v>63368</v>
      </c>
      <c r="J707" s="28">
        <v>34801</v>
      </c>
      <c r="K707" s="28">
        <v>54.92</v>
      </c>
      <c r="L707" s="29">
        <f>SUM(NSE_BhavCopy[[#This Row],[ CLOSE_PRICE]]-NSE_BhavCopy[[#This Row],[ PREV_CLOSE]])/NSE_BhavCopy[[#This Row],[ PREV_CLOSE]]*100</f>
        <v>-3.1001185837709566</v>
      </c>
    </row>
    <row r="708" spans="1:12" hidden="1" x14ac:dyDescent="0.25">
      <c r="A708" s="28" t="s">
        <v>1071</v>
      </c>
      <c r="B708" s="28" t="s">
        <v>321</v>
      </c>
      <c r="C708" s="30">
        <v>44428</v>
      </c>
      <c r="D708" s="28">
        <v>19.350000000000001</v>
      </c>
      <c r="E708" s="28">
        <v>19.3</v>
      </c>
      <c r="F708" s="28">
        <v>19.649999999999999</v>
      </c>
      <c r="G708" s="28">
        <v>18.45</v>
      </c>
      <c r="H708" s="28">
        <v>18.739999999999998</v>
      </c>
      <c r="I708" s="28">
        <v>99568</v>
      </c>
      <c r="J708" s="28">
        <v>54687</v>
      </c>
      <c r="K708" s="28">
        <v>54.92</v>
      </c>
      <c r="L708" s="29">
        <f>SUM(NSE_BhavCopy[[#This Row],[ CLOSE_PRICE]]-NSE_BhavCopy[[#This Row],[ PREV_CLOSE]])/NSE_BhavCopy[[#This Row],[ PREV_CLOSE]]*100</f>
        <v>-4.6511627906976845</v>
      </c>
    </row>
    <row r="709" spans="1:12" hidden="1" x14ac:dyDescent="0.25">
      <c r="A709" s="28" t="s">
        <v>403</v>
      </c>
      <c r="B709" s="28" t="s">
        <v>321</v>
      </c>
      <c r="C709" s="30">
        <v>44428</v>
      </c>
      <c r="D709" s="28">
        <v>151.35</v>
      </c>
      <c r="E709" s="28">
        <v>142</v>
      </c>
      <c r="F709" s="28">
        <v>150.05000000000001</v>
      </c>
      <c r="G709" s="28">
        <v>143.44999999999999</v>
      </c>
      <c r="H709" s="28">
        <v>145.57</v>
      </c>
      <c r="I709" s="28">
        <v>61037</v>
      </c>
      <c r="J709" s="28">
        <v>33513</v>
      </c>
      <c r="K709" s="28">
        <v>54.91</v>
      </c>
      <c r="L709" s="29">
        <f>SUM(NSE_BhavCopy[[#This Row],[ CLOSE_PRICE]]-NSE_BhavCopy[[#This Row],[ PREV_CLOSE]])/NSE_BhavCopy[[#This Row],[ PREV_CLOSE]]*100</f>
        <v>-5.2196894615130534</v>
      </c>
    </row>
    <row r="710" spans="1:12" hidden="1" x14ac:dyDescent="0.25">
      <c r="A710" s="28" t="s">
        <v>1181</v>
      </c>
      <c r="B710" s="28" t="s">
        <v>321</v>
      </c>
      <c r="C710" s="30">
        <v>44428</v>
      </c>
      <c r="D710" s="28">
        <v>77.8</v>
      </c>
      <c r="E710" s="28">
        <v>77.5</v>
      </c>
      <c r="F710" s="28">
        <v>79.55</v>
      </c>
      <c r="G710" s="28">
        <v>74.55</v>
      </c>
      <c r="H710" s="28">
        <v>76.36</v>
      </c>
      <c r="I710" s="28">
        <v>41732</v>
      </c>
      <c r="J710" s="28">
        <v>22891</v>
      </c>
      <c r="K710" s="28">
        <v>54.85</v>
      </c>
      <c r="L710" s="29">
        <f>SUM(NSE_BhavCopy[[#This Row],[ CLOSE_PRICE]]-NSE_BhavCopy[[#This Row],[ PREV_CLOSE]])/NSE_BhavCopy[[#This Row],[ PREV_CLOSE]]*100</f>
        <v>-4.1773778920308491</v>
      </c>
    </row>
    <row r="711" spans="1:12" hidden="1" x14ac:dyDescent="0.25">
      <c r="A711" s="28" t="s">
        <v>1196</v>
      </c>
      <c r="B711" s="28" t="s">
        <v>321</v>
      </c>
      <c r="C711" s="30">
        <v>44428</v>
      </c>
      <c r="D711" s="28">
        <v>28.85</v>
      </c>
      <c r="E711" s="28">
        <v>30.1</v>
      </c>
      <c r="F711" s="28">
        <v>30.1</v>
      </c>
      <c r="G711" s="28">
        <v>28.1</v>
      </c>
      <c r="H711" s="28">
        <v>28.64</v>
      </c>
      <c r="I711" s="28">
        <v>39156</v>
      </c>
      <c r="J711" s="28">
        <v>21439</v>
      </c>
      <c r="K711" s="28">
        <v>54.75</v>
      </c>
      <c r="L711" s="29">
        <f>SUM(NSE_BhavCopy[[#This Row],[ CLOSE_PRICE]]-NSE_BhavCopy[[#This Row],[ PREV_CLOSE]])/NSE_BhavCopy[[#This Row],[ PREV_CLOSE]]*100</f>
        <v>-2.5996533795493932</v>
      </c>
    </row>
    <row r="712" spans="1:12" hidden="1" x14ac:dyDescent="0.25">
      <c r="A712" s="28" t="s">
        <v>684</v>
      </c>
      <c r="B712" s="28" t="s">
        <v>321</v>
      </c>
      <c r="C712" s="30">
        <v>44428</v>
      </c>
      <c r="D712" s="28">
        <v>2997.35</v>
      </c>
      <c r="E712" s="28">
        <v>3000</v>
      </c>
      <c r="F712" s="28">
        <v>3030.3</v>
      </c>
      <c r="G712" s="28">
        <v>2987.1</v>
      </c>
      <c r="H712" s="28">
        <v>3008.53</v>
      </c>
      <c r="I712" s="28">
        <v>24198</v>
      </c>
      <c r="J712" s="28">
        <v>13246</v>
      </c>
      <c r="K712" s="28">
        <v>54.74</v>
      </c>
      <c r="L712" s="29">
        <f>SUM(NSE_BhavCopy[[#This Row],[ CLOSE_PRICE]]-NSE_BhavCopy[[#This Row],[ PREV_CLOSE]])/NSE_BhavCopy[[#This Row],[ PREV_CLOSE]]*100</f>
        <v>-0.34196873905282998</v>
      </c>
    </row>
    <row r="713" spans="1:12" hidden="1" x14ac:dyDescent="0.25">
      <c r="A713" s="28" t="s">
        <v>897</v>
      </c>
      <c r="B713" s="28" t="s">
        <v>321</v>
      </c>
      <c r="C713" s="30">
        <v>44428</v>
      </c>
      <c r="D713" s="28">
        <v>35.299999999999997</v>
      </c>
      <c r="E713" s="28">
        <v>34.5</v>
      </c>
      <c r="F713" s="28">
        <v>35.4</v>
      </c>
      <c r="G713" s="28">
        <v>34.1</v>
      </c>
      <c r="H713" s="28">
        <v>34.43</v>
      </c>
      <c r="I713" s="28">
        <v>1819060</v>
      </c>
      <c r="J713" s="28">
        <v>995508</v>
      </c>
      <c r="K713" s="28">
        <v>54.73</v>
      </c>
      <c r="L713" s="29">
        <f>SUM(NSE_BhavCopy[[#This Row],[ CLOSE_PRICE]]-NSE_BhavCopy[[#This Row],[ PREV_CLOSE]])/NSE_BhavCopy[[#This Row],[ PREV_CLOSE]]*100</f>
        <v>-3.3994334277620282</v>
      </c>
    </row>
    <row r="714" spans="1:12" hidden="1" x14ac:dyDescent="0.25">
      <c r="A714" s="28" t="s">
        <v>1337</v>
      </c>
      <c r="B714" s="28" t="s">
        <v>321</v>
      </c>
      <c r="C714" s="30">
        <v>44428</v>
      </c>
      <c r="D714" s="28">
        <v>8916.4500000000007</v>
      </c>
      <c r="E714" s="28">
        <v>8853</v>
      </c>
      <c r="F714" s="28">
        <v>8931.4</v>
      </c>
      <c r="G714" s="28">
        <v>8637.1</v>
      </c>
      <c r="H714" s="28">
        <v>8742.1200000000008</v>
      </c>
      <c r="I714" s="28">
        <v>14065</v>
      </c>
      <c r="J714" s="28">
        <v>7692</v>
      </c>
      <c r="K714" s="28">
        <v>54.69</v>
      </c>
      <c r="L714" s="29">
        <f>SUM(NSE_BhavCopy[[#This Row],[ CLOSE_PRICE]]-NSE_BhavCopy[[#This Row],[ PREV_CLOSE]])/NSE_BhavCopy[[#This Row],[ PREV_CLOSE]]*100</f>
        <v>-3.1329733245854614</v>
      </c>
    </row>
    <row r="715" spans="1:12" hidden="1" x14ac:dyDescent="0.25">
      <c r="A715" s="28" t="s">
        <v>603</v>
      </c>
      <c r="B715" s="28" t="s">
        <v>321</v>
      </c>
      <c r="C715" s="30">
        <v>44428</v>
      </c>
      <c r="D715" s="28">
        <v>13.25</v>
      </c>
      <c r="E715" s="28">
        <v>13.15</v>
      </c>
      <c r="F715" s="28">
        <v>13.35</v>
      </c>
      <c r="G715" s="28">
        <v>12.85</v>
      </c>
      <c r="H715" s="28">
        <v>12.94</v>
      </c>
      <c r="I715" s="28">
        <v>6395391</v>
      </c>
      <c r="J715" s="28">
        <v>3491719</v>
      </c>
      <c r="K715" s="28">
        <v>54.6</v>
      </c>
      <c r="L715" s="29">
        <f>SUM(NSE_BhavCopy[[#This Row],[ CLOSE_PRICE]]-NSE_BhavCopy[[#This Row],[ PREV_CLOSE]])/NSE_BhavCopy[[#This Row],[ PREV_CLOSE]]*100</f>
        <v>-3.0188679245283048</v>
      </c>
    </row>
    <row r="716" spans="1:12" hidden="1" x14ac:dyDescent="0.25">
      <c r="A716" s="28" t="s">
        <v>384</v>
      </c>
      <c r="B716" s="28" t="s">
        <v>321</v>
      </c>
      <c r="C716" s="30">
        <v>44428</v>
      </c>
      <c r="D716" s="28">
        <v>1196.0999999999999</v>
      </c>
      <c r="E716" s="28">
        <v>1157</v>
      </c>
      <c r="F716" s="28">
        <v>1200</v>
      </c>
      <c r="G716" s="28">
        <v>1183.8499999999999</v>
      </c>
      <c r="H716" s="28">
        <v>1183.93</v>
      </c>
      <c r="I716" s="28">
        <v>180308</v>
      </c>
      <c r="J716" s="28">
        <v>98433</v>
      </c>
      <c r="K716" s="28">
        <v>54.59</v>
      </c>
      <c r="L716" s="29">
        <f>SUM(NSE_BhavCopy[[#This Row],[ CLOSE_PRICE]]-NSE_BhavCopy[[#This Row],[ PREV_CLOSE]])/NSE_BhavCopy[[#This Row],[ PREV_CLOSE]]*100</f>
        <v>-1.0241618593763064</v>
      </c>
    </row>
    <row r="717" spans="1:12" hidden="1" x14ac:dyDescent="0.25">
      <c r="A717" s="28" t="s">
        <v>1098</v>
      </c>
      <c r="B717" s="28" t="s">
        <v>321</v>
      </c>
      <c r="C717" s="30">
        <v>44428</v>
      </c>
      <c r="D717" s="28">
        <v>164</v>
      </c>
      <c r="E717" s="28">
        <v>165.64</v>
      </c>
      <c r="F717" s="28">
        <v>165.64</v>
      </c>
      <c r="G717" s="28">
        <v>163.36000000000001</v>
      </c>
      <c r="H717" s="28">
        <v>163</v>
      </c>
      <c r="I717" s="28">
        <v>1430</v>
      </c>
      <c r="J717" s="28">
        <v>780</v>
      </c>
      <c r="K717" s="28">
        <v>54.55</v>
      </c>
      <c r="L717" s="29">
        <f>SUM(NSE_BhavCopy[[#This Row],[ CLOSE_PRICE]]-NSE_BhavCopy[[#This Row],[ PREV_CLOSE]])/NSE_BhavCopy[[#This Row],[ PREV_CLOSE]]*100</f>
        <v>-0.39024390243901608</v>
      </c>
    </row>
    <row r="718" spans="1:12" hidden="1" x14ac:dyDescent="0.25">
      <c r="A718" s="28" t="s">
        <v>916</v>
      </c>
      <c r="B718" s="28" t="s">
        <v>321</v>
      </c>
      <c r="C718" s="30">
        <v>44428</v>
      </c>
      <c r="D718" s="28">
        <v>27.85</v>
      </c>
      <c r="E718" s="28">
        <v>27.4</v>
      </c>
      <c r="F718" s="28">
        <v>28.2</v>
      </c>
      <c r="G718" s="28">
        <v>27.25</v>
      </c>
      <c r="H718" s="28">
        <v>27.25</v>
      </c>
      <c r="I718" s="28">
        <v>2616252</v>
      </c>
      <c r="J718" s="28">
        <v>1426802</v>
      </c>
      <c r="K718" s="28">
        <v>54.54</v>
      </c>
      <c r="L718" s="29">
        <f>SUM(NSE_BhavCopy[[#This Row],[ CLOSE_PRICE]]-NSE_BhavCopy[[#This Row],[ PREV_CLOSE]])/NSE_BhavCopy[[#This Row],[ PREV_CLOSE]]*100</f>
        <v>-2.1543985637342957</v>
      </c>
    </row>
    <row r="719" spans="1:12" hidden="1" x14ac:dyDescent="0.25">
      <c r="A719" s="28" t="s">
        <v>1161</v>
      </c>
      <c r="B719" s="28" t="s">
        <v>321</v>
      </c>
      <c r="C719" s="30">
        <v>44428</v>
      </c>
      <c r="D719" s="28">
        <v>977.7</v>
      </c>
      <c r="E719" s="28">
        <v>978</v>
      </c>
      <c r="F719" s="28">
        <v>991.5</v>
      </c>
      <c r="G719" s="28">
        <v>972.55</v>
      </c>
      <c r="H719" s="28">
        <v>978.51</v>
      </c>
      <c r="I719" s="28">
        <v>8326</v>
      </c>
      <c r="J719" s="28">
        <v>4540</v>
      </c>
      <c r="K719" s="28">
        <v>54.53</v>
      </c>
      <c r="L719" s="29">
        <f>SUM(NSE_BhavCopy[[#This Row],[ CLOSE_PRICE]]-NSE_BhavCopy[[#This Row],[ PREV_CLOSE]])/NSE_BhavCopy[[#This Row],[ PREV_CLOSE]]*100</f>
        <v>-0.52674644574001128</v>
      </c>
    </row>
    <row r="720" spans="1:12" hidden="1" x14ac:dyDescent="0.25">
      <c r="A720" s="28" t="s">
        <v>366</v>
      </c>
      <c r="B720" s="28" t="s">
        <v>321</v>
      </c>
      <c r="C720" s="30">
        <v>44428</v>
      </c>
      <c r="D720" s="28">
        <v>73.099999999999994</v>
      </c>
      <c r="E720" s="28">
        <v>70.349999999999994</v>
      </c>
      <c r="F720" s="28">
        <v>72.650000000000006</v>
      </c>
      <c r="G720" s="28">
        <v>69.3</v>
      </c>
      <c r="H720" s="28">
        <v>70.3</v>
      </c>
      <c r="I720" s="28">
        <v>30676</v>
      </c>
      <c r="J720" s="28">
        <v>16721</v>
      </c>
      <c r="K720" s="28">
        <v>54.51</v>
      </c>
      <c r="L720" s="29">
        <f>SUM(NSE_BhavCopy[[#This Row],[ CLOSE_PRICE]]-NSE_BhavCopy[[#This Row],[ PREV_CLOSE]])/NSE_BhavCopy[[#This Row],[ PREV_CLOSE]]*100</f>
        <v>-5.1983584131326914</v>
      </c>
    </row>
    <row r="721" spans="1:12" hidden="1" x14ac:dyDescent="0.25">
      <c r="A721" s="28" t="s">
        <v>1417</v>
      </c>
      <c r="B721" s="28" t="s">
        <v>321</v>
      </c>
      <c r="C721" s="30">
        <v>44428</v>
      </c>
      <c r="D721" s="28">
        <v>319.95</v>
      </c>
      <c r="E721" s="28">
        <v>321.8</v>
      </c>
      <c r="F721" s="28">
        <v>326.55</v>
      </c>
      <c r="G721" s="28">
        <v>311.60000000000002</v>
      </c>
      <c r="H721" s="28">
        <v>316.35000000000002</v>
      </c>
      <c r="I721" s="28">
        <v>29629</v>
      </c>
      <c r="J721" s="28">
        <v>16150</v>
      </c>
      <c r="K721" s="28">
        <v>54.51</v>
      </c>
      <c r="L721" s="29">
        <f>SUM(NSE_BhavCopy[[#This Row],[ CLOSE_PRICE]]-NSE_BhavCopy[[#This Row],[ PREV_CLOSE]])/NSE_BhavCopy[[#This Row],[ PREV_CLOSE]]*100</f>
        <v>-2.6097827785591394</v>
      </c>
    </row>
    <row r="722" spans="1:12" hidden="1" x14ac:dyDescent="0.25">
      <c r="A722" s="28" t="s">
        <v>1749</v>
      </c>
      <c r="B722" s="28" t="s">
        <v>321</v>
      </c>
      <c r="C722" s="30">
        <v>44428</v>
      </c>
      <c r="D722" s="28">
        <v>41.55</v>
      </c>
      <c r="E722" s="28">
        <v>40.5</v>
      </c>
      <c r="F722" s="28">
        <v>43</v>
      </c>
      <c r="G722" s="28">
        <v>40.85</v>
      </c>
      <c r="H722" s="28">
        <v>41.38</v>
      </c>
      <c r="I722" s="28">
        <v>323277</v>
      </c>
      <c r="J722" s="28">
        <v>176169</v>
      </c>
      <c r="K722" s="28">
        <v>54.49</v>
      </c>
      <c r="L722" s="29">
        <f>SUM(NSE_BhavCopy[[#This Row],[ CLOSE_PRICE]]-NSE_BhavCopy[[#This Row],[ PREV_CLOSE]])/NSE_BhavCopy[[#This Row],[ PREV_CLOSE]]*100</f>
        <v>-1.684717208182902</v>
      </c>
    </row>
    <row r="723" spans="1:12" hidden="1" x14ac:dyDescent="0.25">
      <c r="A723" s="28" t="s">
        <v>1547</v>
      </c>
      <c r="B723" s="28" t="s">
        <v>321</v>
      </c>
      <c r="C723" s="30">
        <v>44428</v>
      </c>
      <c r="D723" s="28">
        <v>44.4</v>
      </c>
      <c r="E723" s="28">
        <v>43.3</v>
      </c>
      <c r="F723" s="28">
        <v>45.05</v>
      </c>
      <c r="G723" s="28">
        <v>43.15</v>
      </c>
      <c r="H723" s="28">
        <v>43.66</v>
      </c>
      <c r="I723" s="28">
        <v>5921</v>
      </c>
      <c r="J723" s="28">
        <v>3223</v>
      </c>
      <c r="K723" s="28">
        <v>54.43</v>
      </c>
      <c r="L723" s="29">
        <f>SUM(NSE_BhavCopy[[#This Row],[ CLOSE_PRICE]]-NSE_BhavCopy[[#This Row],[ PREV_CLOSE]])/NSE_BhavCopy[[#This Row],[ PREV_CLOSE]]*100</f>
        <v>-2.8153153153153152</v>
      </c>
    </row>
    <row r="724" spans="1:12" hidden="1" x14ac:dyDescent="0.25">
      <c r="A724" s="28" t="s">
        <v>1132</v>
      </c>
      <c r="B724" s="28" t="s">
        <v>321</v>
      </c>
      <c r="C724" s="30">
        <v>44428</v>
      </c>
      <c r="D724" s="28">
        <v>79.7</v>
      </c>
      <c r="E724" s="28">
        <v>79</v>
      </c>
      <c r="F724" s="28">
        <v>79</v>
      </c>
      <c r="G724" s="28">
        <v>77.25</v>
      </c>
      <c r="H724" s="28">
        <v>77.930000000000007</v>
      </c>
      <c r="I724" s="28">
        <v>2278518</v>
      </c>
      <c r="J724" s="28">
        <v>1239737</v>
      </c>
      <c r="K724" s="28">
        <v>54.41</v>
      </c>
      <c r="L724" s="29">
        <f>SUM(NSE_BhavCopy[[#This Row],[ CLOSE_PRICE]]-NSE_BhavCopy[[#This Row],[ PREV_CLOSE]])/NSE_BhavCopy[[#This Row],[ PREV_CLOSE]]*100</f>
        <v>-3.0740276035131782</v>
      </c>
    </row>
    <row r="725" spans="1:12" hidden="1" x14ac:dyDescent="0.25">
      <c r="A725" s="28" t="s">
        <v>933</v>
      </c>
      <c r="B725" s="28" t="s">
        <v>321</v>
      </c>
      <c r="C725" s="30">
        <v>44428</v>
      </c>
      <c r="D725" s="28">
        <v>530.65</v>
      </c>
      <c r="E725" s="28">
        <v>515</v>
      </c>
      <c r="F725" s="28">
        <v>542</v>
      </c>
      <c r="G725" s="28">
        <v>514.75</v>
      </c>
      <c r="H725" s="28">
        <v>522.92999999999995</v>
      </c>
      <c r="I725" s="28">
        <v>66468</v>
      </c>
      <c r="J725" s="28">
        <v>36146</v>
      </c>
      <c r="K725" s="28">
        <v>54.38</v>
      </c>
      <c r="L725" s="29">
        <f>SUM(NSE_BhavCopy[[#This Row],[ CLOSE_PRICE]]-NSE_BhavCopy[[#This Row],[ PREV_CLOSE]])/NSE_BhavCopy[[#This Row],[ PREV_CLOSE]]*100</f>
        <v>-2.9963252614717759</v>
      </c>
    </row>
    <row r="726" spans="1:12" hidden="1" x14ac:dyDescent="0.25">
      <c r="A726" s="28" t="s">
        <v>1306</v>
      </c>
      <c r="B726" s="28" t="s">
        <v>321</v>
      </c>
      <c r="C726" s="30">
        <v>44428</v>
      </c>
      <c r="D726" s="28">
        <v>2.4500000000000002</v>
      </c>
      <c r="E726" s="28">
        <v>2.5</v>
      </c>
      <c r="F726" s="28">
        <v>2.6</v>
      </c>
      <c r="G726" s="28">
        <v>2.5499999999999998</v>
      </c>
      <c r="H726" s="28">
        <v>2.4500000000000002</v>
      </c>
      <c r="I726" s="28">
        <v>234092</v>
      </c>
      <c r="J726" s="28">
        <v>127201</v>
      </c>
      <c r="K726" s="28">
        <v>54.34</v>
      </c>
      <c r="L726" s="29">
        <f>SUM(NSE_BhavCopy[[#This Row],[ CLOSE_PRICE]]-NSE_BhavCopy[[#This Row],[ PREV_CLOSE]])/NSE_BhavCopy[[#This Row],[ PREV_CLOSE]]*100</f>
        <v>4.0816326530612095</v>
      </c>
    </row>
    <row r="727" spans="1:12" hidden="1" x14ac:dyDescent="0.25">
      <c r="A727" s="28" t="s">
        <v>1700</v>
      </c>
      <c r="B727" s="28" t="s">
        <v>321</v>
      </c>
      <c r="C727" s="30">
        <v>44428</v>
      </c>
      <c r="D727" s="28">
        <v>64</v>
      </c>
      <c r="E727" s="28">
        <v>64</v>
      </c>
      <c r="F727" s="28">
        <v>64.849999999999994</v>
      </c>
      <c r="G727" s="28">
        <v>62.35</v>
      </c>
      <c r="H727" s="28">
        <v>63.14</v>
      </c>
      <c r="I727" s="28">
        <v>37486</v>
      </c>
      <c r="J727" s="28">
        <v>20337</v>
      </c>
      <c r="K727" s="28">
        <v>54.25</v>
      </c>
      <c r="L727" s="29">
        <f>SUM(NSE_BhavCopy[[#This Row],[ CLOSE_PRICE]]-NSE_BhavCopy[[#This Row],[ PREV_CLOSE]])/NSE_BhavCopy[[#This Row],[ PREV_CLOSE]]*100</f>
        <v>-2.5781249999999978</v>
      </c>
    </row>
    <row r="728" spans="1:12" hidden="1" x14ac:dyDescent="0.25">
      <c r="A728" s="28" t="s">
        <v>1387</v>
      </c>
      <c r="B728" s="28" t="s">
        <v>321</v>
      </c>
      <c r="C728" s="30">
        <v>44428</v>
      </c>
      <c r="D728" s="28">
        <v>411.9</v>
      </c>
      <c r="E728" s="28">
        <v>406.9</v>
      </c>
      <c r="F728" s="28">
        <v>409.5</v>
      </c>
      <c r="G728" s="28">
        <v>391.7</v>
      </c>
      <c r="H728" s="28">
        <v>398.22</v>
      </c>
      <c r="I728" s="28">
        <v>1034752</v>
      </c>
      <c r="J728" s="28">
        <v>561095</v>
      </c>
      <c r="K728" s="28">
        <v>54.23</v>
      </c>
      <c r="L728" s="29">
        <f>SUM(NSE_BhavCopy[[#This Row],[ CLOSE_PRICE]]-NSE_BhavCopy[[#This Row],[ PREV_CLOSE]])/NSE_BhavCopy[[#This Row],[ PREV_CLOSE]]*100</f>
        <v>-4.9041029376062122</v>
      </c>
    </row>
    <row r="729" spans="1:12" hidden="1" x14ac:dyDescent="0.25">
      <c r="A729" s="28" t="s">
        <v>934</v>
      </c>
      <c r="B729" s="28" t="s">
        <v>321</v>
      </c>
      <c r="C729" s="30">
        <v>44428</v>
      </c>
      <c r="D729" s="28">
        <v>720.2</v>
      </c>
      <c r="E729" s="28">
        <v>703.65</v>
      </c>
      <c r="F729" s="28">
        <v>719.75</v>
      </c>
      <c r="G729" s="28">
        <v>699.95</v>
      </c>
      <c r="H729" s="28">
        <v>706.04</v>
      </c>
      <c r="I729" s="28">
        <v>1133108</v>
      </c>
      <c r="J729" s="28">
        <v>614511</v>
      </c>
      <c r="K729" s="28">
        <v>54.23</v>
      </c>
      <c r="L729" s="29">
        <f>SUM(NSE_BhavCopy[[#This Row],[ CLOSE_PRICE]]-NSE_BhavCopy[[#This Row],[ PREV_CLOSE]])/NSE_BhavCopy[[#This Row],[ PREV_CLOSE]]*100</f>
        <v>-2.8117189669536238</v>
      </c>
    </row>
    <row r="730" spans="1:12" hidden="1" x14ac:dyDescent="0.25">
      <c r="A730" s="28" t="s">
        <v>345</v>
      </c>
      <c r="B730" s="28" t="s">
        <v>321</v>
      </c>
      <c r="C730" s="30">
        <v>44428</v>
      </c>
      <c r="D730" s="28">
        <v>57.95</v>
      </c>
      <c r="E730" s="28">
        <v>57.95</v>
      </c>
      <c r="F730" s="28">
        <v>59.5</v>
      </c>
      <c r="G730" s="28">
        <v>58.1</v>
      </c>
      <c r="H730" s="28">
        <v>58.5</v>
      </c>
      <c r="I730" s="28">
        <v>128742</v>
      </c>
      <c r="J730" s="28">
        <v>69809</v>
      </c>
      <c r="K730" s="28">
        <v>54.22</v>
      </c>
      <c r="L730" s="29">
        <f>SUM(NSE_BhavCopy[[#This Row],[ CLOSE_PRICE]]-NSE_BhavCopy[[#This Row],[ PREV_CLOSE]])/NSE_BhavCopy[[#This Row],[ PREV_CLOSE]]*100</f>
        <v>0.25884383088869473</v>
      </c>
    </row>
    <row r="731" spans="1:12" hidden="1" x14ac:dyDescent="0.25">
      <c r="A731" s="28" t="s">
        <v>667</v>
      </c>
      <c r="B731" s="28" t="s">
        <v>321</v>
      </c>
      <c r="C731" s="30">
        <v>44428</v>
      </c>
      <c r="D731" s="28">
        <v>11.65</v>
      </c>
      <c r="E731" s="28">
        <v>11.8</v>
      </c>
      <c r="F731" s="28">
        <v>11.8</v>
      </c>
      <c r="G731" s="28">
        <v>11.15</v>
      </c>
      <c r="H731" s="28">
        <v>11.3</v>
      </c>
      <c r="I731" s="28">
        <v>44556</v>
      </c>
      <c r="J731" s="28">
        <v>24129</v>
      </c>
      <c r="K731" s="28">
        <v>54.15</v>
      </c>
      <c r="L731" s="29">
        <f>SUM(NSE_BhavCopy[[#This Row],[ CLOSE_PRICE]]-NSE_BhavCopy[[#This Row],[ PREV_CLOSE]])/NSE_BhavCopy[[#This Row],[ PREV_CLOSE]]*100</f>
        <v>-4.2918454935622314</v>
      </c>
    </row>
    <row r="732" spans="1:12" hidden="1" x14ac:dyDescent="0.25">
      <c r="A732" s="28" t="s">
        <v>1095</v>
      </c>
      <c r="B732" s="28" t="s">
        <v>321</v>
      </c>
      <c r="C732" s="30">
        <v>44428</v>
      </c>
      <c r="D732" s="28">
        <v>31.55</v>
      </c>
      <c r="E732" s="28">
        <v>31.55</v>
      </c>
      <c r="F732" s="28">
        <v>32</v>
      </c>
      <c r="G732" s="28">
        <v>31.75</v>
      </c>
      <c r="H732" s="28">
        <v>31.46</v>
      </c>
      <c r="I732" s="28">
        <v>633365</v>
      </c>
      <c r="J732" s="28">
        <v>342980</v>
      </c>
      <c r="K732" s="28">
        <v>54.15</v>
      </c>
      <c r="L732" s="29">
        <f>SUM(NSE_BhavCopy[[#This Row],[ CLOSE_PRICE]]-NSE_BhavCopy[[#This Row],[ PREV_CLOSE]])/NSE_BhavCopy[[#This Row],[ PREV_CLOSE]]*100</f>
        <v>0.63391442155308808</v>
      </c>
    </row>
    <row r="733" spans="1:12" hidden="1" x14ac:dyDescent="0.25">
      <c r="A733" s="28" t="s">
        <v>1531</v>
      </c>
      <c r="B733" s="28" t="s">
        <v>321</v>
      </c>
      <c r="C733" s="30">
        <v>44428</v>
      </c>
      <c r="D733" s="28">
        <v>292.14999999999998</v>
      </c>
      <c r="E733" s="28">
        <v>290.10000000000002</v>
      </c>
      <c r="F733" s="28">
        <v>294.45</v>
      </c>
      <c r="G733" s="28">
        <v>289.2</v>
      </c>
      <c r="H733" s="28">
        <v>289.57</v>
      </c>
      <c r="I733" s="28">
        <v>57896</v>
      </c>
      <c r="J733" s="28">
        <v>31342</v>
      </c>
      <c r="K733" s="28">
        <v>54.14</v>
      </c>
      <c r="L733" s="29">
        <f>SUM(NSE_BhavCopy[[#This Row],[ CLOSE_PRICE]]-NSE_BhavCopy[[#This Row],[ PREV_CLOSE]])/NSE_BhavCopy[[#This Row],[ PREV_CLOSE]]*100</f>
        <v>-1.0097552627075095</v>
      </c>
    </row>
    <row r="734" spans="1:12" hidden="1" x14ac:dyDescent="0.25">
      <c r="A734" s="28" t="s">
        <v>1192</v>
      </c>
      <c r="B734" s="28" t="s">
        <v>321</v>
      </c>
      <c r="C734" s="30">
        <v>44428</v>
      </c>
      <c r="D734" s="28">
        <v>36.299999999999997</v>
      </c>
      <c r="E734" s="28">
        <v>35.549999999999997</v>
      </c>
      <c r="F734" s="28">
        <v>36</v>
      </c>
      <c r="G734" s="28">
        <v>35.4</v>
      </c>
      <c r="H734" s="28">
        <v>35.44</v>
      </c>
      <c r="I734" s="28">
        <v>68665</v>
      </c>
      <c r="J734" s="28">
        <v>37147</v>
      </c>
      <c r="K734" s="28">
        <v>54.1</v>
      </c>
      <c r="L734" s="29">
        <f>SUM(NSE_BhavCopy[[#This Row],[ CLOSE_PRICE]]-NSE_BhavCopy[[#This Row],[ PREV_CLOSE]])/NSE_BhavCopy[[#This Row],[ PREV_CLOSE]]*100</f>
        <v>-2.4793388429752028</v>
      </c>
    </row>
    <row r="735" spans="1:12" hidden="1" x14ac:dyDescent="0.25">
      <c r="A735" s="28" t="s">
        <v>595</v>
      </c>
      <c r="B735" s="28" t="s">
        <v>321</v>
      </c>
      <c r="C735" s="30">
        <v>44428</v>
      </c>
      <c r="D735" s="28">
        <v>334.35</v>
      </c>
      <c r="E735" s="28">
        <v>333.9</v>
      </c>
      <c r="F735" s="28">
        <v>339.8</v>
      </c>
      <c r="G735" s="28">
        <v>336.35</v>
      </c>
      <c r="H735" s="28">
        <v>333.91</v>
      </c>
      <c r="I735" s="28">
        <v>77501</v>
      </c>
      <c r="J735" s="28">
        <v>41923</v>
      </c>
      <c r="K735" s="28">
        <v>54.09</v>
      </c>
      <c r="L735" s="29">
        <f>SUM(NSE_BhavCopy[[#This Row],[ CLOSE_PRICE]]-NSE_BhavCopy[[#This Row],[ PREV_CLOSE]])/NSE_BhavCopy[[#This Row],[ PREV_CLOSE]]*100</f>
        <v>0.59817556452818899</v>
      </c>
    </row>
    <row r="736" spans="1:12" hidden="1" x14ac:dyDescent="0.25">
      <c r="A736" s="28" t="s">
        <v>1786</v>
      </c>
      <c r="B736" s="28" t="s">
        <v>321</v>
      </c>
      <c r="C736" s="30">
        <v>44428</v>
      </c>
      <c r="D736" s="28">
        <v>1755.8</v>
      </c>
      <c r="E736" s="28">
        <v>1735.8</v>
      </c>
      <c r="F736" s="28">
        <v>1748</v>
      </c>
      <c r="G736" s="28">
        <v>1687.1</v>
      </c>
      <c r="H736" s="28">
        <v>1708.82</v>
      </c>
      <c r="I736" s="28">
        <v>8495</v>
      </c>
      <c r="J736" s="28">
        <v>4594</v>
      </c>
      <c r="K736" s="28">
        <v>54.08</v>
      </c>
      <c r="L736" s="29">
        <f>SUM(NSE_BhavCopy[[#This Row],[ CLOSE_PRICE]]-NSE_BhavCopy[[#This Row],[ PREV_CLOSE]])/NSE_BhavCopy[[#This Row],[ PREV_CLOSE]]*100</f>
        <v>-3.9127463264608755</v>
      </c>
    </row>
    <row r="737" spans="1:12" hidden="1" x14ac:dyDescent="0.25">
      <c r="A737" s="28" t="s">
        <v>1152</v>
      </c>
      <c r="B737" s="28" t="s">
        <v>321</v>
      </c>
      <c r="C737" s="30">
        <v>44428</v>
      </c>
      <c r="D737" s="28">
        <v>50.75</v>
      </c>
      <c r="E737" s="28">
        <v>49.3</v>
      </c>
      <c r="F737" s="28">
        <v>50.65</v>
      </c>
      <c r="G737" s="28">
        <v>48.9</v>
      </c>
      <c r="H737" s="28">
        <v>49.23</v>
      </c>
      <c r="I737" s="28">
        <v>1508104</v>
      </c>
      <c r="J737" s="28">
        <v>815351</v>
      </c>
      <c r="K737" s="28">
        <v>54.06</v>
      </c>
      <c r="L737" s="29">
        <f>SUM(NSE_BhavCopy[[#This Row],[ CLOSE_PRICE]]-NSE_BhavCopy[[#This Row],[ PREV_CLOSE]])/NSE_BhavCopy[[#This Row],[ PREV_CLOSE]]*100</f>
        <v>-3.6453201970443376</v>
      </c>
    </row>
    <row r="738" spans="1:12" hidden="1" x14ac:dyDescent="0.25">
      <c r="A738" s="28" t="s">
        <v>614</v>
      </c>
      <c r="B738" s="28" t="s">
        <v>321</v>
      </c>
      <c r="C738" s="30">
        <v>44428</v>
      </c>
      <c r="D738" s="28">
        <v>219.3</v>
      </c>
      <c r="E738" s="28">
        <v>211.1</v>
      </c>
      <c r="F738" s="28">
        <v>229.95</v>
      </c>
      <c r="G738" s="28">
        <v>212.2</v>
      </c>
      <c r="H738" s="28">
        <v>217.38</v>
      </c>
      <c r="I738" s="28">
        <v>43250</v>
      </c>
      <c r="J738" s="28">
        <v>23374</v>
      </c>
      <c r="K738" s="28">
        <v>54.04</v>
      </c>
      <c r="L738" s="29">
        <f>SUM(NSE_BhavCopy[[#This Row],[ CLOSE_PRICE]]-NSE_BhavCopy[[#This Row],[ PREV_CLOSE]])/NSE_BhavCopy[[#This Row],[ PREV_CLOSE]]*100</f>
        <v>-3.2375740994072153</v>
      </c>
    </row>
    <row r="739" spans="1:12" hidden="1" x14ac:dyDescent="0.25">
      <c r="A739" s="28" t="s">
        <v>535</v>
      </c>
      <c r="B739" s="28" t="s">
        <v>321</v>
      </c>
      <c r="C739" s="30">
        <v>44428</v>
      </c>
      <c r="D739" s="28">
        <v>4780.6000000000004</v>
      </c>
      <c r="E739" s="28">
        <v>4720</v>
      </c>
      <c r="F739" s="28">
        <v>4786.6000000000004</v>
      </c>
      <c r="G739" s="28">
        <v>4725.6000000000004</v>
      </c>
      <c r="H739" s="28">
        <v>4713.0200000000004</v>
      </c>
      <c r="I739" s="28">
        <v>18539</v>
      </c>
      <c r="J739" s="28">
        <v>10016</v>
      </c>
      <c r="K739" s="28">
        <v>54.03</v>
      </c>
      <c r="L739" s="29">
        <f>SUM(NSE_BhavCopy[[#This Row],[ CLOSE_PRICE]]-NSE_BhavCopy[[#This Row],[ PREV_CLOSE]])/NSE_BhavCopy[[#This Row],[ PREV_CLOSE]]*100</f>
        <v>-1.150483202945237</v>
      </c>
    </row>
    <row r="740" spans="1:12" hidden="1" x14ac:dyDescent="0.25">
      <c r="A740" s="28" t="s">
        <v>1606</v>
      </c>
      <c r="B740" s="28" t="s">
        <v>321</v>
      </c>
      <c r="C740" s="30">
        <v>44428</v>
      </c>
      <c r="D740" s="28">
        <v>92.15</v>
      </c>
      <c r="E740" s="28">
        <v>91.35</v>
      </c>
      <c r="F740" s="28">
        <v>92.65</v>
      </c>
      <c r="G740" s="28">
        <v>89.7</v>
      </c>
      <c r="H740" s="28">
        <v>90.41</v>
      </c>
      <c r="I740" s="28">
        <v>129042</v>
      </c>
      <c r="J740" s="28">
        <v>69721</v>
      </c>
      <c r="K740" s="28">
        <v>54.03</v>
      </c>
      <c r="L740" s="29">
        <f>SUM(NSE_BhavCopy[[#This Row],[ CLOSE_PRICE]]-NSE_BhavCopy[[#This Row],[ PREV_CLOSE]])/NSE_BhavCopy[[#This Row],[ PREV_CLOSE]]*100</f>
        <v>-2.6587086272382017</v>
      </c>
    </row>
    <row r="741" spans="1:12" hidden="1" x14ac:dyDescent="0.25">
      <c r="A741" s="28" t="s">
        <v>1131</v>
      </c>
      <c r="B741" s="28" t="s">
        <v>321</v>
      </c>
      <c r="C741" s="30">
        <v>44428</v>
      </c>
      <c r="D741" s="28">
        <v>107</v>
      </c>
      <c r="E741" s="28">
        <v>105.6</v>
      </c>
      <c r="F741" s="28">
        <v>106.5</v>
      </c>
      <c r="G741" s="28">
        <v>104.25</v>
      </c>
      <c r="H741" s="28">
        <v>104.3</v>
      </c>
      <c r="I741" s="28">
        <v>550015</v>
      </c>
      <c r="J741" s="28">
        <v>297114</v>
      </c>
      <c r="K741" s="28">
        <v>54.02</v>
      </c>
      <c r="L741" s="29">
        <f>SUM(NSE_BhavCopy[[#This Row],[ CLOSE_PRICE]]-NSE_BhavCopy[[#This Row],[ PREV_CLOSE]])/NSE_BhavCopy[[#This Row],[ PREV_CLOSE]]*100</f>
        <v>-2.570093457943925</v>
      </c>
    </row>
    <row r="742" spans="1:12" hidden="1" x14ac:dyDescent="0.25">
      <c r="A742" s="28" t="s">
        <v>631</v>
      </c>
      <c r="B742" s="28" t="s">
        <v>321</v>
      </c>
      <c r="C742" s="30">
        <v>44428</v>
      </c>
      <c r="D742" s="28">
        <v>103.65</v>
      </c>
      <c r="E742" s="28">
        <v>102.95</v>
      </c>
      <c r="F742" s="28">
        <v>103.55</v>
      </c>
      <c r="G742" s="28">
        <v>102.6</v>
      </c>
      <c r="H742" s="28">
        <v>102.49</v>
      </c>
      <c r="I742" s="28">
        <v>241628</v>
      </c>
      <c r="J742" s="28">
        <v>130458</v>
      </c>
      <c r="K742" s="28">
        <v>53.99</v>
      </c>
      <c r="L742" s="29">
        <f>SUM(NSE_BhavCopy[[#This Row],[ CLOSE_PRICE]]-NSE_BhavCopy[[#This Row],[ PREV_CLOSE]])/NSE_BhavCopy[[#This Row],[ PREV_CLOSE]]*100</f>
        <v>-1.01302460202606</v>
      </c>
    </row>
    <row r="743" spans="1:12" hidden="1" x14ac:dyDescent="0.25">
      <c r="A743" s="28" t="s">
        <v>497</v>
      </c>
      <c r="B743" s="28" t="s">
        <v>321</v>
      </c>
      <c r="C743" s="30">
        <v>44428</v>
      </c>
      <c r="D743" s="28">
        <v>816.75</v>
      </c>
      <c r="E743" s="28">
        <v>805.2</v>
      </c>
      <c r="F743" s="28">
        <v>821.35</v>
      </c>
      <c r="G743" s="28">
        <v>811.75</v>
      </c>
      <c r="H743" s="28">
        <v>809.73</v>
      </c>
      <c r="I743" s="28">
        <v>40439</v>
      </c>
      <c r="J743" s="28">
        <v>21815</v>
      </c>
      <c r="K743" s="28">
        <v>53.95</v>
      </c>
      <c r="L743" s="29">
        <f>SUM(NSE_BhavCopy[[#This Row],[ CLOSE_PRICE]]-NSE_BhavCopy[[#This Row],[ PREV_CLOSE]])/NSE_BhavCopy[[#This Row],[ PREV_CLOSE]]*100</f>
        <v>-0.61218243036424858</v>
      </c>
    </row>
    <row r="744" spans="1:12" hidden="1" x14ac:dyDescent="0.25">
      <c r="A744" s="28" t="s">
        <v>1465</v>
      </c>
      <c r="B744" s="28" t="s">
        <v>321</v>
      </c>
      <c r="C744" s="30">
        <v>44428</v>
      </c>
      <c r="D744" s="28">
        <v>6.05</v>
      </c>
      <c r="E744" s="28">
        <v>5.75</v>
      </c>
      <c r="F744" s="28">
        <v>6.05</v>
      </c>
      <c r="G744" s="28">
        <v>5.8</v>
      </c>
      <c r="H744" s="28">
        <v>5.84</v>
      </c>
      <c r="I744" s="28">
        <v>36573010</v>
      </c>
      <c r="J744" s="28">
        <v>19703132</v>
      </c>
      <c r="K744" s="28">
        <v>53.87</v>
      </c>
      <c r="L744" s="29">
        <f>SUM(NSE_BhavCopy[[#This Row],[ CLOSE_PRICE]]-NSE_BhavCopy[[#This Row],[ PREV_CLOSE]])/NSE_BhavCopy[[#This Row],[ PREV_CLOSE]]*100</f>
        <v>-4.1322314049586781</v>
      </c>
    </row>
    <row r="745" spans="1:12" hidden="1" x14ac:dyDescent="0.25">
      <c r="A745" s="28" t="s">
        <v>793</v>
      </c>
      <c r="B745" s="28" t="s">
        <v>321</v>
      </c>
      <c r="C745" s="30">
        <v>44428</v>
      </c>
      <c r="D745" s="28">
        <v>321.25</v>
      </c>
      <c r="E745" s="28">
        <v>315.95</v>
      </c>
      <c r="F745" s="28">
        <v>316.8</v>
      </c>
      <c r="G745" s="28">
        <v>308.10000000000002</v>
      </c>
      <c r="H745" s="28">
        <v>311.82</v>
      </c>
      <c r="I745" s="28">
        <v>1087129</v>
      </c>
      <c r="J745" s="28">
        <v>585476</v>
      </c>
      <c r="K745" s="28">
        <v>53.86</v>
      </c>
      <c r="L745" s="29">
        <f>SUM(NSE_BhavCopy[[#This Row],[ CLOSE_PRICE]]-NSE_BhavCopy[[#This Row],[ PREV_CLOSE]])/NSE_BhavCopy[[#This Row],[ PREV_CLOSE]]*100</f>
        <v>-4.0933852140077747</v>
      </c>
    </row>
    <row r="746" spans="1:12" hidden="1" x14ac:dyDescent="0.25">
      <c r="A746" s="28" t="s">
        <v>1385</v>
      </c>
      <c r="B746" s="28" t="s">
        <v>321</v>
      </c>
      <c r="C746" s="30">
        <v>44428</v>
      </c>
      <c r="D746" s="28">
        <v>4.5</v>
      </c>
      <c r="E746" s="28">
        <v>4.4000000000000004</v>
      </c>
      <c r="F746" s="28">
        <v>4.4000000000000004</v>
      </c>
      <c r="G746" s="28">
        <v>4.3</v>
      </c>
      <c r="H746" s="28">
        <v>4.3099999999999996</v>
      </c>
      <c r="I746" s="28">
        <v>967942</v>
      </c>
      <c r="J746" s="28">
        <v>521295</v>
      </c>
      <c r="K746" s="28">
        <v>53.86</v>
      </c>
      <c r="L746" s="29">
        <f>SUM(NSE_BhavCopy[[#This Row],[ CLOSE_PRICE]]-NSE_BhavCopy[[#This Row],[ PREV_CLOSE]])/NSE_BhavCopy[[#This Row],[ PREV_CLOSE]]*100</f>
        <v>-4.4444444444444482</v>
      </c>
    </row>
    <row r="747" spans="1:12" hidden="1" x14ac:dyDescent="0.25">
      <c r="A747" s="28" t="s">
        <v>25</v>
      </c>
      <c r="B747" s="28" t="s">
        <v>321</v>
      </c>
      <c r="C747" s="30">
        <v>44428</v>
      </c>
      <c r="D747" s="28">
        <v>1513</v>
      </c>
      <c r="E747" s="28">
        <v>1486.05</v>
      </c>
      <c r="F747" s="28">
        <v>1519.8</v>
      </c>
      <c r="G747" s="28">
        <v>1514.75</v>
      </c>
      <c r="H747" s="28">
        <v>1505.48</v>
      </c>
      <c r="I747" s="28">
        <v>6575203</v>
      </c>
      <c r="J747" s="28">
        <v>3540286</v>
      </c>
      <c r="K747" s="28">
        <v>53.84</v>
      </c>
      <c r="L747" s="29">
        <f>SUM(NSE_BhavCopy[[#This Row],[ CLOSE_PRICE]]-NSE_BhavCopy[[#This Row],[ PREV_CLOSE]])/NSE_BhavCopy[[#This Row],[ PREV_CLOSE]]*100</f>
        <v>0.11566424322538005</v>
      </c>
    </row>
    <row r="748" spans="1:12" hidden="1" x14ac:dyDescent="0.25">
      <c r="A748" s="28" t="s">
        <v>1076</v>
      </c>
      <c r="B748" s="28" t="s">
        <v>321</v>
      </c>
      <c r="C748" s="30">
        <v>44428</v>
      </c>
      <c r="D748" s="28">
        <v>21.05</v>
      </c>
      <c r="E748" s="28">
        <v>20.350000000000001</v>
      </c>
      <c r="F748" s="28">
        <v>20.8</v>
      </c>
      <c r="G748" s="28">
        <v>20</v>
      </c>
      <c r="H748" s="28">
        <v>19.850000000000001</v>
      </c>
      <c r="I748" s="28">
        <v>963483</v>
      </c>
      <c r="J748" s="28">
        <v>518576</v>
      </c>
      <c r="K748" s="28">
        <v>53.82</v>
      </c>
      <c r="L748" s="29">
        <f>SUM(NSE_BhavCopy[[#This Row],[ CLOSE_PRICE]]-NSE_BhavCopy[[#This Row],[ PREV_CLOSE]])/NSE_BhavCopy[[#This Row],[ PREV_CLOSE]]*100</f>
        <v>-4.9881235154394332</v>
      </c>
    </row>
    <row r="749" spans="1:12" hidden="1" x14ac:dyDescent="0.25">
      <c r="A749" s="28" t="s">
        <v>305</v>
      </c>
      <c r="B749" s="28" t="s">
        <v>321</v>
      </c>
      <c r="C749" s="30">
        <v>44428</v>
      </c>
      <c r="D749" s="28">
        <v>26.2</v>
      </c>
      <c r="E749" s="28">
        <v>26.2</v>
      </c>
      <c r="F749" s="28">
        <v>26.4</v>
      </c>
      <c r="G749" s="28">
        <v>26.25</v>
      </c>
      <c r="H749" s="28">
        <v>26.24</v>
      </c>
      <c r="I749" s="28">
        <v>3558159</v>
      </c>
      <c r="J749" s="28">
        <v>1914743</v>
      </c>
      <c r="K749" s="28">
        <v>53.81</v>
      </c>
      <c r="L749" s="29">
        <f>SUM(NSE_BhavCopy[[#This Row],[ CLOSE_PRICE]]-NSE_BhavCopy[[#This Row],[ PREV_CLOSE]])/NSE_BhavCopy[[#This Row],[ PREV_CLOSE]]*100</f>
        <v>0.19083969465649128</v>
      </c>
    </row>
    <row r="750" spans="1:12" hidden="1" x14ac:dyDescent="0.25">
      <c r="A750" s="28" t="s">
        <v>36</v>
      </c>
      <c r="B750" s="28" t="s">
        <v>321</v>
      </c>
      <c r="C750" s="30">
        <v>44428</v>
      </c>
      <c r="D750" s="28">
        <v>2763.6</v>
      </c>
      <c r="E750" s="28">
        <v>2681.2</v>
      </c>
      <c r="F750" s="28">
        <v>2741</v>
      </c>
      <c r="G750" s="28">
        <v>2697.5</v>
      </c>
      <c r="H750" s="28">
        <v>2713.61</v>
      </c>
      <c r="I750" s="28">
        <v>809463</v>
      </c>
      <c r="J750" s="28">
        <v>435013</v>
      </c>
      <c r="K750" s="28">
        <v>53.74</v>
      </c>
      <c r="L750" s="29">
        <f>SUM(NSE_BhavCopy[[#This Row],[ CLOSE_PRICE]]-NSE_BhavCopy[[#This Row],[ PREV_CLOSE]])/NSE_BhavCopy[[#This Row],[ PREV_CLOSE]]*100</f>
        <v>-2.391807786944562</v>
      </c>
    </row>
    <row r="751" spans="1:12" hidden="1" x14ac:dyDescent="0.25">
      <c r="A751" s="28" t="s">
        <v>999</v>
      </c>
      <c r="B751" s="28" t="s">
        <v>321</v>
      </c>
      <c r="C751" s="30">
        <v>44428</v>
      </c>
      <c r="D751" s="28">
        <v>693.45</v>
      </c>
      <c r="E751" s="28">
        <v>690</v>
      </c>
      <c r="F751" s="28">
        <v>695.95</v>
      </c>
      <c r="G751" s="28">
        <v>679.8</v>
      </c>
      <c r="H751" s="28">
        <v>685.87</v>
      </c>
      <c r="I751" s="28">
        <v>1995541</v>
      </c>
      <c r="J751" s="28">
        <v>1071738</v>
      </c>
      <c r="K751" s="28">
        <v>53.71</v>
      </c>
      <c r="L751" s="29">
        <f>SUM(NSE_BhavCopy[[#This Row],[ CLOSE_PRICE]]-NSE_BhavCopy[[#This Row],[ PREV_CLOSE]])/NSE_BhavCopy[[#This Row],[ PREV_CLOSE]]*100</f>
        <v>-1.9684187756867964</v>
      </c>
    </row>
    <row r="752" spans="1:12" hidden="1" x14ac:dyDescent="0.25">
      <c r="A752" s="28" t="s">
        <v>693</v>
      </c>
      <c r="B752" s="28" t="s">
        <v>321</v>
      </c>
      <c r="C752" s="30">
        <v>44428</v>
      </c>
      <c r="D752" s="28">
        <v>41.15</v>
      </c>
      <c r="E752" s="28">
        <v>39.9</v>
      </c>
      <c r="F752" s="28">
        <v>42.1</v>
      </c>
      <c r="G752" s="28">
        <v>39.700000000000003</v>
      </c>
      <c r="H752" s="28">
        <v>40.450000000000003</v>
      </c>
      <c r="I752" s="28">
        <v>1774482</v>
      </c>
      <c r="J752" s="28">
        <v>952824</v>
      </c>
      <c r="K752" s="28">
        <v>53.7</v>
      </c>
      <c r="L752" s="29">
        <f>SUM(NSE_BhavCopy[[#This Row],[ CLOSE_PRICE]]-NSE_BhavCopy[[#This Row],[ PREV_CLOSE]])/NSE_BhavCopy[[#This Row],[ PREV_CLOSE]]*100</f>
        <v>-3.5236938031591634</v>
      </c>
    </row>
    <row r="753" spans="1:12" hidden="1" x14ac:dyDescent="0.25">
      <c r="A753" s="28" t="s">
        <v>1431</v>
      </c>
      <c r="B753" s="28" t="s">
        <v>321</v>
      </c>
      <c r="C753" s="30">
        <v>44428</v>
      </c>
      <c r="D753" s="28">
        <v>115.8</v>
      </c>
      <c r="E753" s="28">
        <v>115.7</v>
      </c>
      <c r="F753" s="28">
        <v>117.2</v>
      </c>
      <c r="G753" s="28">
        <v>115.65</v>
      </c>
      <c r="H753" s="28">
        <v>115.97</v>
      </c>
      <c r="I753" s="28">
        <v>1116860</v>
      </c>
      <c r="J753" s="28">
        <v>599407</v>
      </c>
      <c r="K753" s="28">
        <v>53.67</v>
      </c>
      <c r="L753" s="29">
        <f>SUM(NSE_BhavCopy[[#This Row],[ CLOSE_PRICE]]-NSE_BhavCopy[[#This Row],[ PREV_CLOSE]])/NSE_BhavCopy[[#This Row],[ PREV_CLOSE]]*100</f>
        <v>-0.12953367875646932</v>
      </c>
    </row>
    <row r="754" spans="1:12" hidden="1" x14ac:dyDescent="0.25">
      <c r="A754" s="28" t="s">
        <v>254</v>
      </c>
      <c r="B754" s="28" t="s">
        <v>321</v>
      </c>
      <c r="C754" s="30">
        <v>44428</v>
      </c>
      <c r="D754" s="28">
        <v>41.85</v>
      </c>
      <c r="E754" s="28">
        <v>41.5</v>
      </c>
      <c r="F754" s="28">
        <v>41.9</v>
      </c>
      <c r="G754" s="28">
        <v>41.25</v>
      </c>
      <c r="H754" s="28">
        <v>41.48</v>
      </c>
      <c r="I754" s="28">
        <v>1358621</v>
      </c>
      <c r="J754" s="28">
        <v>728839</v>
      </c>
      <c r="K754" s="28">
        <v>53.65</v>
      </c>
      <c r="L754" s="29">
        <f>SUM(NSE_BhavCopy[[#This Row],[ CLOSE_PRICE]]-NSE_BhavCopy[[#This Row],[ PREV_CLOSE]])/NSE_BhavCopy[[#This Row],[ PREV_CLOSE]]*100</f>
        <v>-1.4336917562724047</v>
      </c>
    </row>
    <row r="755" spans="1:12" hidden="1" x14ac:dyDescent="0.25">
      <c r="A755" s="28" t="s">
        <v>1322</v>
      </c>
      <c r="B755" s="28" t="s">
        <v>321</v>
      </c>
      <c r="C755" s="30">
        <v>44428</v>
      </c>
      <c r="D755" s="28">
        <v>58.7</v>
      </c>
      <c r="E755" s="28">
        <v>58</v>
      </c>
      <c r="F755" s="28">
        <v>58.7</v>
      </c>
      <c r="G755" s="28">
        <v>55.65</v>
      </c>
      <c r="H755" s="28">
        <v>56.56</v>
      </c>
      <c r="I755" s="28">
        <v>939131</v>
      </c>
      <c r="J755" s="28">
        <v>503704</v>
      </c>
      <c r="K755" s="28">
        <v>53.64</v>
      </c>
      <c r="L755" s="29">
        <f>SUM(NSE_BhavCopy[[#This Row],[ CLOSE_PRICE]]-NSE_BhavCopy[[#This Row],[ PREV_CLOSE]])/NSE_BhavCopy[[#This Row],[ PREV_CLOSE]]*100</f>
        <v>-5.1959114139693421</v>
      </c>
    </row>
    <row r="756" spans="1:12" hidden="1" x14ac:dyDescent="0.25">
      <c r="A756" s="28" t="s">
        <v>891</v>
      </c>
      <c r="B756" s="28" t="s">
        <v>321</v>
      </c>
      <c r="C756" s="30">
        <v>44428</v>
      </c>
      <c r="D756" s="28">
        <v>81</v>
      </c>
      <c r="E756" s="28">
        <v>80</v>
      </c>
      <c r="F756" s="28">
        <v>80.45</v>
      </c>
      <c r="G756" s="28">
        <v>78.2</v>
      </c>
      <c r="H756" s="28">
        <v>78.34</v>
      </c>
      <c r="I756" s="28">
        <v>367990</v>
      </c>
      <c r="J756" s="28">
        <v>197298</v>
      </c>
      <c r="K756" s="28">
        <v>53.62</v>
      </c>
      <c r="L756" s="29">
        <f>SUM(NSE_BhavCopy[[#This Row],[ CLOSE_PRICE]]-NSE_BhavCopy[[#This Row],[ PREV_CLOSE]])/NSE_BhavCopy[[#This Row],[ PREV_CLOSE]]*100</f>
        <v>-3.4567901234567864</v>
      </c>
    </row>
    <row r="757" spans="1:12" hidden="1" x14ac:dyDescent="0.25">
      <c r="A757" s="28" t="s">
        <v>1195</v>
      </c>
      <c r="B757" s="28" t="s">
        <v>321</v>
      </c>
      <c r="C757" s="30">
        <v>44428</v>
      </c>
      <c r="D757" s="28">
        <v>2879.95</v>
      </c>
      <c r="E757" s="28">
        <v>2815</v>
      </c>
      <c r="F757" s="28">
        <v>2870.05</v>
      </c>
      <c r="G757" s="28">
        <v>2760.55</v>
      </c>
      <c r="H757" s="28">
        <v>2792.63</v>
      </c>
      <c r="I757" s="28">
        <v>13751</v>
      </c>
      <c r="J757" s="28">
        <v>7372</v>
      </c>
      <c r="K757" s="28">
        <v>53.61</v>
      </c>
      <c r="L757" s="29">
        <f>SUM(NSE_BhavCopy[[#This Row],[ CLOSE_PRICE]]-NSE_BhavCopy[[#This Row],[ PREV_CLOSE]])/NSE_BhavCopy[[#This Row],[ PREV_CLOSE]]*100</f>
        <v>-4.1459053108560786</v>
      </c>
    </row>
    <row r="758" spans="1:12" hidden="1" x14ac:dyDescent="0.25">
      <c r="A758" s="28" t="s">
        <v>27</v>
      </c>
      <c r="B758" s="28" t="s">
        <v>321</v>
      </c>
      <c r="C758" s="30">
        <v>44428</v>
      </c>
      <c r="D758" s="28">
        <v>6840.1</v>
      </c>
      <c r="E758" s="28">
        <v>6815</v>
      </c>
      <c r="F758" s="28">
        <v>6914.65</v>
      </c>
      <c r="G758" s="28">
        <v>6850.9</v>
      </c>
      <c r="H758" s="28">
        <v>6857.99</v>
      </c>
      <c r="I758" s="28">
        <v>657982</v>
      </c>
      <c r="J758" s="28">
        <v>352694</v>
      </c>
      <c r="K758" s="28">
        <v>53.6</v>
      </c>
      <c r="L758" s="29">
        <f>SUM(NSE_BhavCopy[[#This Row],[ CLOSE_PRICE]]-NSE_BhavCopy[[#This Row],[ PREV_CLOSE]])/NSE_BhavCopy[[#This Row],[ PREV_CLOSE]]*100</f>
        <v>0.15789242847325727</v>
      </c>
    </row>
    <row r="759" spans="1:12" hidden="1" x14ac:dyDescent="0.25">
      <c r="A759" s="28" t="s">
        <v>926</v>
      </c>
      <c r="B759" s="28" t="s">
        <v>321</v>
      </c>
      <c r="C759" s="30">
        <v>44428</v>
      </c>
      <c r="D759" s="28">
        <v>256.8</v>
      </c>
      <c r="E759" s="28">
        <v>249</v>
      </c>
      <c r="F759" s="28">
        <v>254.4</v>
      </c>
      <c r="G759" s="28">
        <v>237.85</v>
      </c>
      <c r="H759" s="28">
        <v>244.99</v>
      </c>
      <c r="I759" s="28">
        <v>86919</v>
      </c>
      <c r="J759" s="28">
        <v>46582</v>
      </c>
      <c r="K759" s="28">
        <v>53.59</v>
      </c>
      <c r="L759" s="29">
        <f>SUM(NSE_BhavCopy[[#This Row],[ CLOSE_PRICE]]-NSE_BhavCopy[[#This Row],[ PREV_CLOSE]])/NSE_BhavCopy[[#This Row],[ PREV_CLOSE]]*100</f>
        <v>-7.3792834890965793</v>
      </c>
    </row>
    <row r="760" spans="1:12" hidden="1" x14ac:dyDescent="0.25">
      <c r="A760" s="28" t="s">
        <v>551</v>
      </c>
      <c r="B760" s="28" t="s">
        <v>321</v>
      </c>
      <c r="C760" s="30">
        <v>44428</v>
      </c>
      <c r="D760" s="28">
        <v>362.05</v>
      </c>
      <c r="E760" s="28">
        <v>360</v>
      </c>
      <c r="F760" s="28">
        <v>360.05</v>
      </c>
      <c r="G760" s="28">
        <v>352.85</v>
      </c>
      <c r="H760" s="28">
        <v>355.44</v>
      </c>
      <c r="I760" s="28">
        <v>130190</v>
      </c>
      <c r="J760" s="28">
        <v>69702</v>
      </c>
      <c r="K760" s="28">
        <v>53.54</v>
      </c>
      <c r="L760" s="29">
        <f>SUM(NSE_BhavCopy[[#This Row],[ CLOSE_PRICE]]-NSE_BhavCopy[[#This Row],[ PREV_CLOSE]])/NSE_BhavCopy[[#This Row],[ PREV_CLOSE]]*100</f>
        <v>-2.5410854854301856</v>
      </c>
    </row>
    <row r="761" spans="1:12" hidden="1" x14ac:dyDescent="0.25">
      <c r="A761" s="28" t="s">
        <v>1027</v>
      </c>
      <c r="B761" s="28" t="s">
        <v>321</v>
      </c>
      <c r="C761" s="30">
        <v>44428</v>
      </c>
      <c r="D761" s="28">
        <v>59.3</v>
      </c>
      <c r="E761" s="28">
        <v>58.9</v>
      </c>
      <c r="F761" s="28">
        <v>58.9</v>
      </c>
      <c r="G761" s="28">
        <v>56.95</v>
      </c>
      <c r="H761" s="28">
        <v>56.91</v>
      </c>
      <c r="I761" s="28">
        <v>18432</v>
      </c>
      <c r="J761" s="28">
        <v>9865</v>
      </c>
      <c r="K761" s="28">
        <v>53.52</v>
      </c>
      <c r="L761" s="29">
        <f>SUM(NSE_BhavCopy[[#This Row],[ CLOSE_PRICE]]-NSE_BhavCopy[[#This Row],[ PREV_CLOSE]])/NSE_BhavCopy[[#This Row],[ PREV_CLOSE]]*100</f>
        <v>-3.9629005059021831</v>
      </c>
    </row>
    <row r="762" spans="1:12" hidden="1" x14ac:dyDescent="0.25">
      <c r="A762" s="28" t="s">
        <v>1122</v>
      </c>
      <c r="B762" s="28" t="s">
        <v>321</v>
      </c>
      <c r="C762" s="30">
        <v>44428</v>
      </c>
      <c r="D762" s="28">
        <v>340.8</v>
      </c>
      <c r="E762" s="28">
        <v>340</v>
      </c>
      <c r="F762" s="28">
        <v>340</v>
      </c>
      <c r="G762" s="28">
        <v>315.64999999999998</v>
      </c>
      <c r="H762" s="28">
        <v>324.25</v>
      </c>
      <c r="I762" s="28">
        <v>63051</v>
      </c>
      <c r="J762" s="28">
        <v>33739</v>
      </c>
      <c r="K762" s="28">
        <v>53.51</v>
      </c>
      <c r="L762" s="29">
        <f>SUM(NSE_BhavCopy[[#This Row],[ CLOSE_PRICE]]-NSE_BhavCopy[[#This Row],[ PREV_CLOSE]])/NSE_BhavCopy[[#This Row],[ PREV_CLOSE]]*100</f>
        <v>-7.3796948356807608</v>
      </c>
    </row>
    <row r="763" spans="1:12" hidden="1" x14ac:dyDescent="0.25">
      <c r="A763" s="28" t="s">
        <v>969</v>
      </c>
      <c r="B763" s="28" t="s">
        <v>321</v>
      </c>
      <c r="C763" s="30">
        <v>44428</v>
      </c>
      <c r="D763" s="28">
        <v>216.5</v>
      </c>
      <c r="E763" s="28">
        <v>216.5</v>
      </c>
      <c r="F763" s="28">
        <v>217</v>
      </c>
      <c r="G763" s="28">
        <v>209.55</v>
      </c>
      <c r="H763" s="28">
        <v>210.97</v>
      </c>
      <c r="I763" s="28">
        <v>177371</v>
      </c>
      <c r="J763" s="28">
        <v>94899</v>
      </c>
      <c r="K763" s="28">
        <v>53.5</v>
      </c>
      <c r="L763" s="29">
        <f>SUM(NSE_BhavCopy[[#This Row],[ CLOSE_PRICE]]-NSE_BhavCopy[[#This Row],[ PREV_CLOSE]])/NSE_BhavCopy[[#This Row],[ PREV_CLOSE]]*100</f>
        <v>-3.2101616628175469</v>
      </c>
    </row>
    <row r="764" spans="1:12" hidden="1" x14ac:dyDescent="0.25">
      <c r="A764" s="28" t="s">
        <v>783</v>
      </c>
      <c r="B764" s="28" t="s">
        <v>321</v>
      </c>
      <c r="C764" s="30">
        <v>44428</v>
      </c>
      <c r="D764" s="28">
        <v>2405.35</v>
      </c>
      <c r="E764" s="28">
        <v>2420</v>
      </c>
      <c r="F764" s="28">
        <v>2420</v>
      </c>
      <c r="G764" s="28">
        <v>2346.5500000000002</v>
      </c>
      <c r="H764" s="28">
        <v>2368.35</v>
      </c>
      <c r="I764" s="28">
        <v>12504</v>
      </c>
      <c r="J764" s="28">
        <v>6668</v>
      </c>
      <c r="K764" s="28">
        <v>53.33</v>
      </c>
      <c r="L764" s="29">
        <f>SUM(NSE_BhavCopy[[#This Row],[ CLOSE_PRICE]]-NSE_BhavCopy[[#This Row],[ PREV_CLOSE]])/NSE_BhavCopy[[#This Row],[ PREV_CLOSE]]*100</f>
        <v>-2.4445506890888948</v>
      </c>
    </row>
    <row r="765" spans="1:12" hidden="1" x14ac:dyDescent="0.25">
      <c r="A765" s="28" t="s">
        <v>628</v>
      </c>
      <c r="B765" s="28" t="s">
        <v>321</v>
      </c>
      <c r="C765" s="30">
        <v>44428</v>
      </c>
      <c r="D765" s="28">
        <v>83.2</v>
      </c>
      <c r="E765" s="28">
        <v>80.099999999999994</v>
      </c>
      <c r="F765" s="28">
        <v>82.6</v>
      </c>
      <c r="G765" s="28">
        <v>80.2</v>
      </c>
      <c r="H765" s="28">
        <v>80.91</v>
      </c>
      <c r="I765" s="28">
        <v>2467667</v>
      </c>
      <c r="J765" s="28">
        <v>1315751</v>
      </c>
      <c r="K765" s="28">
        <v>53.32</v>
      </c>
      <c r="L765" s="29">
        <f>SUM(NSE_BhavCopy[[#This Row],[ CLOSE_PRICE]]-NSE_BhavCopy[[#This Row],[ PREV_CLOSE]])/NSE_BhavCopy[[#This Row],[ PREV_CLOSE]]*100</f>
        <v>-3.6057692307692304</v>
      </c>
    </row>
    <row r="766" spans="1:12" hidden="1" x14ac:dyDescent="0.25">
      <c r="A766" s="28" t="s">
        <v>930</v>
      </c>
      <c r="B766" s="28" t="s">
        <v>321</v>
      </c>
      <c r="C766" s="30">
        <v>44428</v>
      </c>
      <c r="D766" s="28">
        <v>4850.5</v>
      </c>
      <c r="E766" s="28">
        <v>4836.8</v>
      </c>
      <c r="F766" s="28">
        <v>4873.8</v>
      </c>
      <c r="G766" s="28">
        <v>4710.8999999999996</v>
      </c>
      <c r="H766" s="28">
        <v>4736</v>
      </c>
      <c r="I766" s="28">
        <v>889</v>
      </c>
      <c r="J766" s="28">
        <v>474</v>
      </c>
      <c r="K766" s="28">
        <v>53.32</v>
      </c>
      <c r="L766" s="29">
        <f>SUM(NSE_BhavCopy[[#This Row],[ CLOSE_PRICE]]-NSE_BhavCopy[[#This Row],[ PREV_CLOSE]])/NSE_BhavCopy[[#This Row],[ PREV_CLOSE]]*100</f>
        <v>-2.8780538088856895</v>
      </c>
    </row>
    <row r="767" spans="1:12" hidden="1" x14ac:dyDescent="0.25">
      <c r="A767" s="28" t="s">
        <v>1234</v>
      </c>
      <c r="B767" s="28" t="s">
        <v>321</v>
      </c>
      <c r="C767" s="30">
        <v>44428</v>
      </c>
      <c r="D767" s="28">
        <v>182.45</v>
      </c>
      <c r="E767" s="28">
        <v>176.5</v>
      </c>
      <c r="F767" s="28">
        <v>185</v>
      </c>
      <c r="G767" s="28">
        <v>180.3</v>
      </c>
      <c r="H767" s="28">
        <v>179.47</v>
      </c>
      <c r="I767" s="28">
        <v>919</v>
      </c>
      <c r="J767" s="28">
        <v>490</v>
      </c>
      <c r="K767" s="28">
        <v>53.32</v>
      </c>
      <c r="L767" s="29">
        <f>SUM(NSE_BhavCopy[[#This Row],[ CLOSE_PRICE]]-NSE_BhavCopy[[#This Row],[ PREV_CLOSE]])/NSE_BhavCopy[[#This Row],[ PREV_CLOSE]]*100</f>
        <v>-1.1784050424773787</v>
      </c>
    </row>
    <row r="768" spans="1:12" hidden="1" x14ac:dyDescent="0.25">
      <c r="A768" s="28" t="s">
        <v>732</v>
      </c>
      <c r="B768" s="28" t="s">
        <v>321</v>
      </c>
      <c r="C768" s="30">
        <v>44428</v>
      </c>
      <c r="D768" s="28">
        <v>784.05</v>
      </c>
      <c r="E768" s="28">
        <v>784</v>
      </c>
      <c r="F768" s="28">
        <v>784</v>
      </c>
      <c r="G768" s="28">
        <v>749.35</v>
      </c>
      <c r="H768" s="28">
        <v>760.39</v>
      </c>
      <c r="I768" s="28">
        <v>83149</v>
      </c>
      <c r="J768" s="28">
        <v>44292</v>
      </c>
      <c r="K768" s="28">
        <v>53.27</v>
      </c>
      <c r="L768" s="29">
        <f>SUM(NSE_BhavCopy[[#This Row],[ CLOSE_PRICE]]-NSE_BhavCopy[[#This Row],[ PREV_CLOSE]])/NSE_BhavCopy[[#This Row],[ PREV_CLOSE]]*100</f>
        <v>-4.425738154454427</v>
      </c>
    </row>
    <row r="769" spans="1:12" hidden="1" x14ac:dyDescent="0.25">
      <c r="A769" s="28" t="s">
        <v>1202</v>
      </c>
      <c r="B769" s="28" t="s">
        <v>321</v>
      </c>
      <c r="C769" s="30">
        <v>44428</v>
      </c>
      <c r="D769" s="28">
        <v>276.89999999999998</v>
      </c>
      <c r="E769" s="28">
        <v>270</v>
      </c>
      <c r="F769" s="28">
        <v>275.89999999999998</v>
      </c>
      <c r="G769" s="28">
        <v>263.05</v>
      </c>
      <c r="H769" s="28">
        <v>267.25</v>
      </c>
      <c r="I769" s="28">
        <v>285809</v>
      </c>
      <c r="J769" s="28">
        <v>152159</v>
      </c>
      <c r="K769" s="28">
        <v>53.24</v>
      </c>
      <c r="L769" s="29">
        <f>SUM(NSE_BhavCopy[[#This Row],[ CLOSE_PRICE]]-NSE_BhavCopy[[#This Row],[ PREV_CLOSE]])/NSE_BhavCopy[[#This Row],[ PREV_CLOSE]]*100</f>
        <v>-5.0018057060310461</v>
      </c>
    </row>
    <row r="770" spans="1:12" hidden="1" x14ac:dyDescent="0.25">
      <c r="A770" s="28" t="s">
        <v>1199</v>
      </c>
      <c r="B770" s="28" t="s">
        <v>321</v>
      </c>
      <c r="C770" s="30">
        <v>44428</v>
      </c>
      <c r="D770" s="28">
        <v>603.20000000000005</v>
      </c>
      <c r="E770" s="28">
        <v>603</v>
      </c>
      <c r="F770" s="28">
        <v>603</v>
      </c>
      <c r="G770" s="28">
        <v>571.95000000000005</v>
      </c>
      <c r="H770" s="28">
        <v>582.33000000000004</v>
      </c>
      <c r="I770" s="28">
        <v>15370</v>
      </c>
      <c r="J770" s="28">
        <v>8177</v>
      </c>
      <c r="K770" s="28">
        <v>53.2</v>
      </c>
      <c r="L770" s="29">
        <f>SUM(NSE_BhavCopy[[#This Row],[ CLOSE_PRICE]]-NSE_BhavCopy[[#This Row],[ PREV_CLOSE]])/NSE_BhavCopy[[#This Row],[ PREV_CLOSE]]*100</f>
        <v>-5.1807029177718826</v>
      </c>
    </row>
    <row r="771" spans="1:12" hidden="1" x14ac:dyDescent="0.25">
      <c r="A771" s="28" t="s">
        <v>830</v>
      </c>
      <c r="B771" s="28" t="s">
        <v>321</v>
      </c>
      <c r="C771" s="30">
        <v>44428</v>
      </c>
      <c r="D771" s="28">
        <v>89.89</v>
      </c>
      <c r="E771" s="28">
        <v>89.89</v>
      </c>
      <c r="F771" s="28">
        <v>90</v>
      </c>
      <c r="G771" s="28">
        <v>88.22</v>
      </c>
      <c r="H771" s="28">
        <v>88.51</v>
      </c>
      <c r="I771" s="28">
        <v>9930</v>
      </c>
      <c r="J771" s="28">
        <v>5282</v>
      </c>
      <c r="K771" s="28">
        <v>53.19</v>
      </c>
      <c r="L771" s="29">
        <f>SUM(NSE_BhavCopy[[#This Row],[ CLOSE_PRICE]]-NSE_BhavCopy[[#This Row],[ PREV_CLOSE]])/NSE_BhavCopy[[#This Row],[ PREV_CLOSE]]*100</f>
        <v>-1.8578262320614103</v>
      </c>
    </row>
    <row r="772" spans="1:12" hidden="1" x14ac:dyDescent="0.25">
      <c r="A772" s="28" t="s">
        <v>26</v>
      </c>
      <c r="B772" s="28" t="s">
        <v>321</v>
      </c>
      <c r="C772" s="30">
        <v>44428</v>
      </c>
      <c r="D772" s="28">
        <v>791.35</v>
      </c>
      <c r="E772" s="28">
        <v>788.8</v>
      </c>
      <c r="F772" s="28">
        <v>791.35</v>
      </c>
      <c r="G772" s="28">
        <v>785.65</v>
      </c>
      <c r="H772" s="28">
        <v>784.58</v>
      </c>
      <c r="I772" s="28">
        <v>3050982</v>
      </c>
      <c r="J772" s="28">
        <v>1622899</v>
      </c>
      <c r="K772" s="28">
        <v>53.19</v>
      </c>
      <c r="L772" s="29">
        <f>SUM(NSE_BhavCopy[[#This Row],[ CLOSE_PRICE]]-NSE_BhavCopy[[#This Row],[ PREV_CLOSE]])/NSE_BhavCopy[[#This Row],[ PREV_CLOSE]]*100</f>
        <v>-0.72028811524610414</v>
      </c>
    </row>
    <row r="773" spans="1:12" hidden="1" x14ac:dyDescent="0.25">
      <c r="A773" s="28" t="s">
        <v>1596</v>
      </c>
      <c r="B773" s="28" t="s">
        <v>321</v>
      </c>
      <c r="C773" s="30">
        <v>44428</v>
      </c>
      <c r="D773" s="28">
        <v>3364.05</v>
      </c>
      <c r="E773" s="28">
        <v>3365</v>
      </c>
      <c r="F773" s="28">
        <v>3389.5</v>
      </c>
      <c r="G773" s="28">
        <v>3370.95</v>
      </c>
      <c r="H773" s="28">
        <v>3360.32</v>
      </c>
      <c r="I773" s="28">
        <v>6764</v>
      </c>
      <c r="J773" s="28">
        <v>3598</v>
      </c>
      <c r="K773" s="28">
        <v>53.19</v>
      </c>
      <c r="L773" s="29">
        <f>SUM(NSE_BhavCopy[[#This Row],[ CLOSE_PRICE]]-NSE_BhavCopy[[#This Row],[ PREV_CLOSE]])/NSE_BhavCopy[[#This Row],[ PREV_CLOSE]]*100</f>
        <v>0.20510991215943986</v>
      </c>
    </row>
    <row r="774" spans="1:12" hidden="1" x14ac:dyDescent="0.25">
      <c r="A774" s="28" t="s">
        <v>1459</v>
      </c>
      <c r="B774" s="28" t="s">
        <v>321</v>
      </c>
      <c r="C774" s="30">
        <v>44428</v>
      </c>
      <c r="D774" s="28">
        <v>160.65</v>
      </c>
      <c r="E774" s="28">
        <v>159.94999999999999</v>
      </c>
      <c r="F774" s="28">
        <v>164.7</v>
      </c>
      <c r="G774" s="28">
        <v>146.69999999999999</v>
      </c>
      <c r="H774" s="28">
        <v>153.26</v>
      </c>
      <c r="I774" s="28">
        <v>879489</v>
      </c>
      <c r="J774" s="28">
        <v>467520</v>
      </c>
      <c r="K774" s="28">
        <v>53.16</v>
      </c>
      <c r="L774" s="29">
        <f>SUM(NSE_BhavCopy[[#This Row],[ CLOSE_PRICE]]-NSE_BhavCopy[[#This Row],[ PREV_CLOSE]])/NSE_BhavCopy[[#This Row],[ PREV_CLOSE]]*100</f>
        <v>-8.6834733893557523</v>
      </c>
    </row>
    <row r="775" spans="1:12" hidden="1" x14ac:dyDescent="0.25">
      <c r="A775" s="28" t="s">
        <v>513</v>
      </c>
      <c r="B775" s="28" t="s">
        <v>321</v>
      </c>
      <c r="C775" s="30">
        <v>44428</v>
      </c>
      <c r="D775" s="28">
        <v>167.2</v>
      </c>
      <c r="E775" s="28">
        <v>165</v>
      </c>
      <c r="F775" s="28">
        <v>168</v>
      </c>
      <c r="G775" s="28">
        <v>163.4</v>
      </c>
      <c r="H775" s="28">
        <v>163.81</v>
      </c>
      <c r="I775" s="28">
        <v>783059</v>
      </c>
      <c r="J775" s="28">
        <v>415921</v>
      </c>
      <c r="K775" s="28">
        <v>53.11</v>
      </c>
      <c r="L775" s="29">
        <f>SUM(NSE_BhavCopy[[#This Row],[ CLOSE_PRICE]]-NSE_BhavCopy[[#This Row],[ PREV_CLOSE]])/NSE_BhavCopy[[#This Row],[ PREV_CLOSE]]*100</f>
        <v>-2.2727272727272627</v>
      </c>
    </row>
    <row r="776" spans="1:12" hidden="1" x14ac:dyDescent="0.25">
      <c r="A776" s="28" t="s">
        <v>1558</v>
      </c>
      <c r="B776" s="28" t="s">
        <v>321</v>
      </c>
      <c r="C776" s="30">
        <v>44428</v>
      </c>
      <c r="D776" s="28">
        <v>110.35</v>
      </c>
      <c r="E776" s="28">
        <v>109.95</v>
      </c>
      <c r="F776" s="28">
        <v>113.05</v>
      </c>
      <c r="G776" s="28">
        <v>110.1</v>
      </c>
      <c r="H776" s="28">
        <v>110.46</v>
      </c>
      <c r="I776" s="28">
        <v>24322</v>
      </c>
      <c r="J776" s="28">
        <v>12914</v>
      </c>
      <c r="K776" s="28">
        <v>53.1</v>
      </c>
      <c r="L776" s="29">
        <f>SUM(NSE_BhavCopy[[#This Row],[ CLOSE_PRICE]]-NSE_BhavCopy[[#This Row],[ PREV_CLOSE]])/NSE_BhavCopy[[#This Row],[ PREV_CLOSE]]*100</f>
        <v>-0.2265518803806072</v>
      </c>
    </row>
    <row r="777" spans="1:12" hidden="1" x14ac:dyDescent="0.25">
      <c r="A777" s="28" t="s">
        <v>1319</v>
      </c>
      <c r="B777" s="28" t="s">
        <v>321</v>
      </c>
      <c r="C777" s="30">
        <v>44428</v>
      </c>
      <c r="D777" s="28">
        <v>433.9</v>
      </c>
      <c r="E777" s="28">
        <v>427.7</v>
      </c>
      <c r="F777" s="28">
        <v>442.5</v>
      </c>
      <c r="G777" s="28">
        <v>416.35</v>
      </c>
      <c r="H777" s="28">
        <v>426.35</v>
      </c>
      <c r="I777" s="28">
        <v>319168</v>
      </c>
      <c r="J777" s="28">
        <v>169345</v>
      </c>
      <c r="K777" s="28">
        <v>53.06</v>
      </c>
      <c r="L777" s="29">
        <f>SUM(NSE_BhavCopy[[#This Row],[ CLOSE_PRICE]]-NSE_BhavCopy[[#This Row],[ PREV_CLOSE]])/NSE_BhavCopy[[#This Row],[ PREV_CLOSE]]*100</f>
        <v>-4.0447107628485721</v>
      </c>
    </row>
    <row r="778" spans="1:12" hidden="1" x14ac:dyDescent="0.25">
      <c r="A778" s="28" t="s">
        <v>883</v>
      </c>
      <c r="B778" s="28" t="s">
        <v>321</v>
      </c>
      <c r="C778" s="30">
        <v>44428</v>
      </c>
      <c r="D778" s="28">
        <v>318.35000000000002</v>
      </c>
      <c r="E778" s="28">
        <v>318.3</v>
      </c>
      <c r="F778" s="28">
        <v>321.95</v>
      </c>
      <c r="G778" s="28">
        <v>314.75</v>
      </c>
      <c r="H778" s="28">
        <v>317.08</v>
      </c>
      <c r="I778" s="28">
        <v>339988</v>
      </c>
      <c r="J778" s="28">
        <v>180411</v>
      </c>
      <c r="K778" s="28">
        <v>53.06</v>
      </c>
      <c r="L778" s="29">
        <f>SUM(NSE_BhavCopy[[#This Row],[ CLOSE_PRICE]]-NSE_BhavCopy[[#This Row],[ PREV_CLOSE]])/NSE_BhavCopy[[#This Row],[ PREV_CLOSE]]*100</f>
        <v>-1.1308308465525436</v>
      </c>
    </row>
    <row r="779" spans="1:12" hidden="1" x14ac:dyDescent="0.25">
      <c r="A779" s="28" t="s">
        <v>848</v>
      </c>
      <c r="B779" s="28" t="s">
        <v>321</v>
      </c>
      <c r="C779" s="30">
        <v>44428</v>
      </c>
      <c r="D779" s="28">
        <v>580.95000000000005</v>
      </c>
      <c r="E779" s="28">
        <v>560.15</v>
      </c>
      <c r="F779" s="28">
        <v>574.4</v>
      </c>
      <c r="G779" s="28">
        <v>542.65</v>
      </c>
      <c r="H779" s="28">
        <v>555.1</v>
      </c>
      <c r="I779" s="28">
        <v>114272</v>
      </c>
      <c r="J779" s="28">
        <v>60548</v>
      </c>
      <c r="K779" s="28">
        <v>52.99</v>
      </c>
      <c r="L779" s="29">
        <f>SUM(NSE_BhavCopy[[#This Row],[ CLOSE_PRICE]]-NSE_BhavCopy[[#This Row],[ PREV_CLOSE]])/NSE_BhavCopy[[#This Row],[ PREV_CLOSE]]*100</f>
        <v>-6.5926499698769376</v>
      </c>
    </row>
    <row r="780" spans="1:12" hidden="1" x14ac:dyDescent="0.25">
      <c r="A780" s="28" t="s">
        <v>379</v>
      </c>
      <c r="B780" s="28" t="s">
        <v>321</v>
      </c>
      <c r="C780" s="30">
        <v>44428</v>
      </c>
      <c r="D780" s="28">
        <v>28.45</v>
      </c>
      <c r="E780" s="28">
        <v>29.05</v>
      </c>
      <c r="F780" s="28">
        <v>29.05</v>
      </c>
      <c r="G780" s="28">
        <v>27.45</v>
      </c>
      <c r="H780" s="28">
        <v>27.4</v>
      </c>
      <c r="I780" s="28">
        <v>44042</v>
      </c>
      <c r="J780" s="28">
        <v>23331</v>
      </c>
      <c r="K780" s="28">
        <v>52.97</v>
      </c>
      <c r="L780" s="29">
        <f>SUM(NSE_BhavCopy[[#This Row],[ CLOSE_PRICE]]-NSE_BhavCopy[[#This Row],[ PREV_CLOSE]])/NSE_BhavCopy[[#This Row],[ PREV_CLOSE]]*100</f>
        <v>-3.5149384885764503</v>
      </c>
    </row>
    <row r="781" spans="1:12" hidden="1" x14ac:dyDescent="0.25">
      <c r="A781" s="28" t="s">
        <v>375</v>
      </c>
      <c r="B781" s="28" t="s">
        <v>321</v>
      </c>
      <c r="C781" s="30">
        <v>44428</v>
      </c>
      <c r="D781" s="28">
        <v>2849.35</v>
      </c>
      <c r="E781" s="28">
        <v>2845</v>
      </c>
      <c r="F781" s="28">
        <v>2846.95</v>
      </c>
      <c r="G781" s="28">
        <v>2795.4</v>
      </c>
      <c r="H781" s="28">
        <v>2805.32</v>
      </c>
      <c r="I781" s="28">
        <v>25125</v>
      </c>
      <c r="J781" s="28">
        <v>13286</v>
      </c>
      <c r="K781" s="28">
        <v>52.88</v>
      </c>
      <c r="L781" s="29">
        <f>SUM(NSE_BhavCopy[[#This Row],[ CLOSE_PRICE]]-NSE_BhavCopy[[#This Row],[ PREV_CLOSE]])/NSE_BhavCopy[[#This Row],[ PREV_CLOSE]]*100</f>
        <v>-1.8934142874690654</v>
      </c>
    </row>
    <row r="782" spans="1:12" hidden="1" x14ac:dyDescent="0.25">
      <c r="A782" s="28" t="s">
        <v>1301</v>
      </c>
      <c r="B782" s="28" t="s">
        <v>321</v>
      </c>
      <c r="C782" s="30">
        <v>44428</v>
      </c>
      <c r="D782" s="28">
        <v>265.55</v>
      </c>
      <c r="E782" s="28">
        <v>263.8</v>
      </c>
      <c r="F782" s="28">
        <v>263.8</v>
      </c>
      <c r="G782" s="28">
        <v>258.45</v>
      </c>
      <c r="H782" s="28">
        <v>259.54000000000002</v>
      </c>
      <c r="I782" s="28">
        <v>161886</v>
      </c>
      <c r="J782" s="28">
        <v>85609</v>
      </c>
      <c r="K782" s="28">
        <v>52.88</v>
      </c>
      <c r="L782" s="29">
        <f>SUM(NSE_BhavCopy[[#This Row],[ CLOSE_PRICE]]-NSE_BhavCopy[[#This Row],[ PREV_CLOSE]])/NSE_BhavCopy[[#This Row],[ PREV_CLOSE]]*100</f>
        <v>-2.6736961024289299</v>
      </c>
    </row>
    <row r="783" spans="1:12" hidden="1" x14ac:dyDescent="0.25">
      <c r="A783" s="28" t="s">
        <v>729</v>
      </c>
      <c r="B783" s="28" t="s">
        <v>321</v>
      </c>
      <c r="C783" s="30">
        <v>44428</v>
      </c>
      <c r="D783" s="28">
        <v>29.1</v>
      </c>
      <c r="E783" s="28">
        <v>30.5</v>
      </c>
      <c r="F783" s="28">
        <v>30.5</v>
      </c>
      <c r="G783" s="28">
        <v>28.2</v>
      </c>
      <c r="H783" s="28">
        <v>28.69</v>
      </c>
      <c r="I783" s="28">
        <v>100063</v>
      </c>
      <c r="J783" s="28">
        <v>52907</v>
      </c>
      <c r="K783" s="28">
        <v>52.87</v>
      </c>
      <c r="L783" s="29">
        <f>SUM(NSE_BhavCopy[[#This Row],[ CLOSE_PRICE]]-NSE_BhavCopy[[#This Row],[ PREV_CLOSE]])/NSE_BhavCopy[[#This Row],[ PREV_CLOSE]]*100</f>
        <v>-3.0927835051546464</v>
      </c>
    </row>
    <row r="784" spans="1:12" hidden="1" x14ac:dyDescent="0.25">
      <c r="A784" s="28" t="s">
        <v>1491</v>
      </c>
      <c r="B784" s="28" t="s">
        <v>321</v>
      </c>
      <c r="C784" s="30">
        <v>44428</v>
      </c>
      <c r="D784" s="28">
        <v>579.70000000000005</v>
      </c>
      <c r="E784" s="28">
        <v>565.1</v>
      </c>
      <c r="F784" s="28">
        <v>593</v>
      </c>
      <c r="G784" s="28">
        <v>578.5</v>
      </c>
      <c r="H784" s="28">
        <v>577.96</v>
      </c>
      <c r="I784" s="28">
        <v>61711</v>
      </c>
      <c r="J784" s="28">
        <v>32616</v>
      </c>
      <c r="K784" s="28">
        <v>52.85</v>
      </c>
      <c r="L784" s="29">
        <f>SUM(NSE_BhavCopy[[#This Row],[ CLOSE_PRICE]]-NSE_BhavCopy[[#This Row],[ PREV_CLOSE]])/NSE_BhavCopy[[#This Row],[ PREV_CLOSE]]*100</f>
        <v>-0.20700362256340271</v>
      </c>
    </row>
    <row r="785" spans="1:12" hidden="1" x14ac:dyDescent="0.25">
      <c r="A785" s="28" t="s">
        <v>573</v>
      </c>
      <c r="B785" s="28" t="s">
        <v>321</v>
      </c>
      <c r="C785" s="30">
        <v>44428</v>
      </c>
      <c r="D785" s="28">
        <v>229.6</v>
      </c>
      <c r="E785" s="28">
        <v>228</v>
      </c>
      <c r="F785" s="28">
        <v>232.85</v>
      </c>
      <c r="G785" s="28">
        <v>230.45</v>
      </c>
      <c r="H785" s="28">
        <v>228.82</v>
      </c>
      <c r="I785" s="28">
        <v>55351</v>
      </c>
      <c r="J785" s="28">
        <v>29221</v>
      </c>
      <c r="K785" s="28">
        <v>52.79</v>
      </c>
      <c r="L785" s="29">
        <f>SUM(NSE_BhavCopy[[#This Row],[ CLOSE_PRICE]]-NSE_BhavCopy[[#This Row],[ PREV_CLOSE]])/NSE_BhavCopy[[#This Row],[ PREV_CLOSE]]*100</f>
        <v>0.37020905923344699</v>
      </c>
    </row>
    <row r="786" spans="1:12" x14ac:dyDescent="0.25">
      <c r="A786" s="28" t="s">
        <v>907</v>
      </c>
      <c r="B786" s="28" t="s">
        <v>321</v>
      </c>
      <c r="C786" s="30">
        <v>44428</v>
      </c>
      <c r="D786" s="28">
        <v>1713.25</v>
      </c>
      <c r="E786" s="28">
        <v>1713</v>
      </c>
      <c r="F786" s="28">
        <v>1753</v>
      </c>
      <c r="G786" s="28">
        <v>1740.2</v>
      </c>
      <c r="H786" s="28">
        <v>1714.5</v>
      </c>
      <c r="I786" s="28">
        <v>109162</v>
      </c>
      <c r="J786" s="28">
        <v>57592</v>
      </c>
      <c r="K786" s="28">
        <v>52.76</v>
      </c>
      <c r="L786" s="29">
        <f>SUM(NSE_BhavCopy[[#This Row],[ CLOSE_PRICE]]-NSE_BhavCopy[[#This Row],[ PREV_CLOSE]])/NSE_BhavCopy[[#This Row],[ PREV_CLOSE]]*100</f>
        <v>1.573033707865171</v>
      </c>
    </row>
    <row r="787" spans="1:12" hidden="1" x14ac:dyDescent="0.25">
      <c r="A787" s="28" t="s">
        <v>585</v>
      </c>
      <c r="B787" s="28" t="s">
        <v>321</v>
      </c>
      <c r="C787" s="30">
        <v>44428</v>
      </c>
      <c r="D787" s="28">
        <v>87.95</v>
      </c>
      <c r="E787" s="28">
        <v>87.75</v>
      </c>
      <c r="F787" s="28">
        <v>87.75</v>
      </c>
      <c r="G787" s="28">
        <v>85.75</v>
      </c>
      <c r="H787" s="28">
        <v>86.2</v>
      </c>
      <c r="I787" s="28">
        <v>931842</v>
      </c>
      <c r="J787" s="28">
        <v>491010</v>
      </c>
      <c r="K787" s="28">
        <v>52.69</v>
      </c>
      <c r="L787" s="29">
        <f>SUM(NSE_BhavCopy[[#This Row],[ CLOSE_PRICE]]-NSE_BhavCopy[[#This Row],[ PREV_CLOSE]])/NSE_BhavCopy[[#This Row],[ PREV_CLOSE]]*100</f>
        <v>-2.501421262080731</v>
      </c>
    </row>
    <row r="788" spans="1:12" hidden="1" x14ac:dyDescent="0.25">
      <c r="A788" s="28" t="s">
        <v>927</v>
      </c>
      <c r="B788" s="28" t="s">
        <v>321</v>
      </c>
      <c r="C788" s="30">
        <v>44428</v>
      </c>
      <c r="D788" s="28">
        <v>3.8</v>
      </c>
      <c r="E788" s="28">
        <v>3.65</v>
      </c>
      <c r="F788" s="28">
        <v>3.7</v>
      </c>
      <c r="G788" s="28">
        <v>3.65</v>
      </c>
      <c r="H788" s="28">
        <v>3.65</v>
      </c>
      <c r="I788" s="28">
        <v>46568027</v>
      </c>
      <c r="J788" s="28">
        <v>24523454</v>
      </c>
      <c r="K788" s="28">
        <v>52.66</v>
      </c>
      <c r="L788" s="29">
        <f>SUM(NSE_BhavCopy[[#This Row],[ CLOSE_PRICE]]-NSE_BhavCopy[[#This Row],[ PREV_CLOSE]])/NSE_BhavCopy[[#This Row],[ PREV_CLOSE]]*100</f>
        <v>-3.9473684210526292</v>
      </c>
    </row>
    <row r="789" spans="1:12" hidden="1" x14ac:dyDescent="0.25">
      <c r="A789" s="28" t="s">
        <v>1041</v>
      </c>
      <c r="B789" s="28" t="s">
        <v>321</v>
      </c>
      <c r="C789" s="30">
        <v>44428</v>
      </c>
      <c r="D789" s="28">
        <v>330.3</v>
      </c>
      <c r="E789" s="28">
        <v>327.3</v>
      </c>
      <c r="F789" s="28">
        <v>329.9</v>
      </c>
      <c r="G789" s="28">
        <v>327.35000000000002</v>
      </c>
      <c r="H789" s="28">
        <v>325.18</v>
      </c>
      <c r="I789" s="28">
        <v>255401</v>
      </c>
      <c r="J789" s="28">
        <v>134352</v>
      </c>
      <c r="K789" s="28">
        <v>52.6</v>
      </c>
      <c r="L789" s="29">
        <f>SUM(NSE_BhavCopy[[#This Row],[ CLOSE_PRICE]]-NSE_BhavCopy[[#This Row],[ PREV_CLOSE]])/NSE_BhavCopy[[#This Row],[ PREV_CLOSE]]*100</f>
        <v>-0.89312745988494957</v>
      </c>
    </row>
    <row r="790" spans="1:12" hidden="1" x14ac:dyDescent="0.25">
      <c r="A790" s="28" t="s">
        <v>1406</v>
      </c>
      <c r="B790" s="28" t="s">
        <v>321</v>
      </c>
      <c r="C790" s="30">
        <v>44428</v>
      </c>
      <c r="D790" s="28">
        <v>44.4</v>
      </c>
      <c r="E790" s="28">
        <v>43.95</v>
      </c>
      <c r="F790" s="28">
        <v>44.45</v>
      </c>
      <c r="G790" s="28">
        <v>42.7</v>
      </c>
      <c r="H790" s="28">
        <v>43.2</v>
      </c>
      <c r="I790" s="28">
        <v>748470</v>
      </c>
      <c r="J790" s="28">
        <v>393521</v>
      </c>
      <c r="K790" s="28">
        <v>52.58</v>
      </c>
      <c r="L790" s="29">
        <f>SUM(NSE_BhavCopy[[#This Row],[ CLOSE_PRICE]]-NSE_BhavCopy[[#This Row],[ PREV_CLOSE]])/NSE_BhavCopy[[#This Row],[ PREV_CLOSE]]*100</f>
        <v>-3.8288288288288195</v>
      </c>
    </row>
    <row r="791" spans="1:12" hidden="1" x14ac:dyDescent="0.25">
      <c r="A791" s="28" t="s">
        <v>1699</v>
      </c>
      <c r="B791" s="28" t="s">
        <v>321</v>
      </c>
      <c r="C791" s="30">
        <v>44428</v>
      </c>
      <c r="D791" s="28">
        <v>15.9</v>
      </c>
      <c r="E791" s="28">
        <v>16.5</v>
      </c>
      <c r="F791" s="28">
        <v>16.5</v>
      </c>
      <c r="G791" s="28">
        <v>16.149999999999999</v>
      </c>
      <c r="H791" s="28">
        <v>16.010000000000002</v>
      </c>
      <c r="I791" s="28">
        <v>12694</v>
      </c>
      <c r="J791" s="28">
        <v>6672</v>
      </c>
      <c r="K791" s="28">
        <v>52.56</v>
      </c>
      <c r="L791" s="29">
        <f>SUM(NSE_BhavCopy[[#This Row],[ CLOSE_PRICE]]-NSE_BhavCopy[[#This Row],[ PREV_CLOSE]])/NSE_BhavCopy[[#This Row],[ PREV_CLOSE]]*100</f>
        <v>1.5723270440251462</v>
      </c>
    </row>
    <row r="792" spans="1:12" hidden="1" x14ac:dyDescent="0.25">
      <c r="A792" s="28" t="s">
        <v>709</v>
      </c>
      <c r="B792" s="28" t="s">
        <v>321</v>
      </c>
      <c r="C792" s="30">
        <v>44428</v>
      </c>
      <c r="D792" s="28">
        <v>85.75</v>
      </c>
      <c r="E792" s="28">
        <v>84.85</v>
      </c>
      <c r="F792" s="28">
        <v>86.65</v>
      </c>
      <c r="G792" s="28">
        <v>84.8</v>
      </c>
      <c r="H792" s="28">
        <v>85.06</v>
      </c>
      <c r="I792" s="28">
        <v>305429</v>
      </c>
      <c r="J792" s="28">
        <v>160486</v>
      </c>
      <c r="K792" s="28">
        <v>52.54</v>
      </c>
      <c r="L792" s="29">
        <f>SUM(NSE_BhavCopy[[#This Row],[ CLOSE_PRICE]]-NSE_BhavCopy[[#This Row],[ PREV_CLOSE]])/NSE_BhavCopy[[#This Row],[ PREV_CLOSE]]*100</f>
        <v>-1.1078717201166215</v>
      </c>
    </row>
    <row r="793" spans="1:12" hidden="1" x14ac:dyDescent="0.25">
      <c r="A793" s="28" t="s">
        <v>501</v>
      </c>
      <c r="B793" s="28" t="s">
        <v>321</v>
      </c>
      <c r="C793" s="30">
        <v>44428</v>
      </c>
      <c r="D793" s="28">
        <v>13978.25</v>
      </c>
      <c r="E793" s="28">
        <v>13950</v>
      </c>
      <c r="F793" s="28">
        <v>13950</v>
      </c>
      <c r="G793" s="28">
        <v>13676.35</v>
      </c>
      <c r="H793" s="28">
        <v>13744.85</v>
      </c>
      <c r="I793" s="28">
        <v>33217</v>
      </c>
      <c r="J793" s="28">
        <v>17443</v>
      </c>
      <c r="K793" s="28">
        <v>52.51</v>
      </c>
      <c r="L793" s="29">
        <f>SUM(NSE_BhavCopy[[#This Row],[ CLOSE_PRICE]]-NSE_BhavCopy[[#This Row],[ PREV_CLOSE]])/NSE_BhavCopy[[#This Row],[ PREV_CLOSE]]*100</f>
        <v>-2.1597839500652771</v>
      </c>
    </row>
    <row r="794" spans="1:12" hidden="1" x14ac:dyDescent="0.25">
      <c r="A794" s="28" t="s">
        <v>1220</v>
      </c>
      <c r="B794" s="28" t="s">
        <v>321</v>
      </c>
      <c r="C794" s="30">
        <v>44428</v>
      </c>
      <c r="D794" s="28">
        <v>5444.25</v>
      </c>
      <c r="E794" s="28">
        <v>5445</v>
      </c>
      <c r="F794" s="28">
        <v>5450</v>
      </c>
      <c r="G794" s="28">
        <v>5383.6</v>
      </c>
      <c r="H794" s="28">
        <v>5410.52</v>
      </c>
      <c r="I794" s="28">
        <v>5289</v>
      </c>
      <c r="J794" s="28">
        <v>2774</v>
      </c>
      <c r="K794" s="28">
        <v>52.45</v>
      </c>
      <c r="L794" s="29">
        <f>SUM(NSE_BhavCopy[[#This Row],[ CLOSE_PRICE]]-NSE_BhavCopy[[#This Row],[ PREV_CLOSE]])/NSE_BhavCopy[[#This Row],[ PREV_CLOSE]]*100</f>
        <v>-1.1140193782430938</v>
      </c>
    </row>
    <row r="795" spans="1:12" hidden="1" x14ac:dyDescent="0.25">
      <c r="A795" s="28" t="s">
        <v>1347</v>
      </c>
      <c r="B795" s="28" t="s">
        <v>321</v>
      </c>
      <c r="C795" s="30">
        <v>44428</v>
      </c>
      <c r="D795" s="28">
        <v>6808.3</v>
      </c>
      <c r="E795" s="28">
        <v>6780.05</v>
      </c>
      <c r="F795" s="28">
        <v>6844.75</v>
      </c>
      <c r="G795" s="28">
        <v>6815.9</v>
      </c>
      <c r="H795" s="28">
        <v>6771.76</v>
      </c>
      <c r="I795" s="28">
        <v>4053</v>
      </c>
      <c r="J795" s="28">
        <v>2125</v>
      </c>
      <c r="K795" s="28">
        <v>52.43</v>
      </c>
      <c r="L795" s="29">
        <f>SUM(NSE_BhavCopy[[#This Row],[ CLOSE_PRICE]]-NSE_BhavCopy[[#This Row],[ PREV_CLOSE]])/NSE_BhavCopy[[#This Row],[ PREV_CLOSE]]*100</f>
        <v>0.1116284535052723</v>
      </c>
    </row>
    <row r="796" spans="1:12" hidden="1" x14ac:dyDescent="0.25">
      <c r="A796" s="28" t="s">
        <v>893</v>
      </c>
      <c r="B796" s="28" t="s">
        <v>321</v>
      </c>
      <c r="C796" s="30">
        <v>44428</v>
      </c>
      <c r="D796" s="28">
        <v>115.35</v>
      </c>
      <c r="E796" s="28">
        <v>115.35</v>
      </c>
      <c r="F796" s="28">
        <v>118.95</v>
      </c>
      <c r="G796" s="28">
        <v>113.95</v>
      </c>
      <c r="H796" s="28">
        <v>112.6</v>
      </c>
      <c r="I796" s="28">
        <v>1675</v>
      </c>
      <c r="J796" s="28">
        <v>878</v>
      </c>
      <c r="K796" s="28">
        <v>52.42</v>
      </c>
      <c r="L796" s="29">
        <f>SUM(NSE_BhavCopy[[#This Row],[ CLOSE_PRICE]]-NSE_BhavCopy[[#This Row],[ PREV_CLOSE]])/NSE_BhavCopy[[#This Row],[ PREV_CLOSE]]*100</f>
        <v>-1.2136974425660958</v>
      </c>
    </row>
    <row r="797" spans="1:12" hidden="1" x14ac:dyDescent="0.25">
      <c r="A797" s="28" t="s">
        <v>899</v>
      </c>
      <c r="B797" s="28" t="s">
        <v>321</v>
      </c>
      <c r="C797" s="30">
        <v>44428</v>
      </c>
      <c r="D797" s="28">
        <v>160.5</v>
      </c>
      <c r="E797" s="28">
        <v>157.30000000000001</v>
      </c>
      <c r="F797" s="28">
        <v>164.9</v>
      </c>
      <c r="G797" s="28">
        <v>150.15</v>
      </c>
      <c r="H797" s="28">
        <v>155.07</v>
      </c>
      <c r="I797" s="28">
        <v>120222</v>
      </c>
      <c r="J797" s="28">
        <v>62957</v>
      </c>
      <c r="K797" s="28">
        <v>52.37</v>
      </c>
      <c r="L797" s="29">
        <f>SUM(NSE_BhavCopy[[#This Row],[ CLOSE_PRICE]]-NSE_BhavCopy[[#This Row],[ PREV_CLOSE]])/NSE_BhavCopy[[#This Row],[ PREV_CLOSE]]*100</f>
        <v>-6.448598130841118</v>
      </c>
    </row>
    <row r="798" spans="1:12" hidden="1" x14ac:dyDescent="0.25">
      <c r="A798" s="28" t="s">
        <v>1448</v>
      </c>
      <c r="B798" s="28" t="s">
        <v>321</v>
      </c>
      <c r="C798" s="30">
        <v>44428</v>
      </c>
      <c r="D798" s="28">
        <v>402.75</v>
      </c>
      <c r="E798" s="28">
        <v>401.15</v>
      </c>
      <c r="F798" s="28">
        <v>405.05</v>
      </c>
      <c r="G798" s="28">
        <v>397.45</v>
      </c>
      <c r="H798" s="28">
        <v>397.94</v>
      </c>
      <c r="I798" s="28">
        <v>4102</v>
      </c>
      <c r="J798" s="28">
        <v>2148</v>
      </c>
      <c r="K798" s="28">
        <v>52.36</v>
      </c>
      <c r="L798" s="29">
        <f>SUM(NSE_BhavCopy[[#This Row],[ CLOSE_PRICE]]-NSE_BhavCopy[[#This Row],[ PREV_CLOSE]])/NSE_BhavCopy[[#This Row],[ PREV_CLOSE]]*100</f>
        <v>-1.3159528243327154</v>
      </c>
    </row>
    <row r="799" spans="1:12" hidden="1" x14ac:dyDescent="0.25">
      <c r="A799" s="28" t="s">
        <v>363</v>
      </c>
      <c r="B799" s="28" t="s">
        <v>321</v>
      </c>
      <c r="C799" s="30">
        <v>44428</v>
      </c>
      <c r="D799" s="28">
        <v>593.65</v>
      </c>
      <c r="E799" s="28">
        <v>577.79999999999995</v>
      </c>
      <c r="F799" s="28">
        <v>593</v>
      </c>
      <c r="G799" s="28">
        <v>569.04999999999995</v>
      </c>
      <c r="H799" s="28">
        <v>578.11</v>
      </c>
      <c r="I799" s="28">
        <v>51680</v>
      </c>
      <c r="J799" s="28">
        <v>27032</v>
      </c>
      <c r="K799" s="28">
        <v>52.31</v>
      </c>
      <c r="L799" s="29">
        <f>SUM(NSE_BhavCopy[[#This Row],[ CLOSE_PRICE]]-NSE_BhavCopy[[#This Row],[ PREV_CLOSE]])/NSE_BhavCopy[[#This Row],[ PREV_CLOSE]]*100</f>
        <v>-4.143855807293864</v>
      </c>
    </row>
    <row r="800" spans="1:12" hidden="1" x14ac:dyDescent="0.25">
      <c r="A800" s="28" t="s">
        <v>642</v>
      </c>
      <c r="B800" s="28" t="s">
        <v>321</v>
      </c>
      <c r="C800" s="30">
        <v>44428</v>
      </c>
      <c r="D800" s="28">
        <v>104.2</v>
      </c>
      <c r="E800" s="28">
        <v>99.5</v>
      </c>
      <c r="F800" s="28">
        <v>104</v>
      </c>
      <c r="G800" s="28">
        <v>100.2</v>
      </c>
      <c r="H800" s="28">
        <v>101.37</v>
      </c>
      <c r="I800" s="28">
        <v>55768</v>
      </c>
      <c r="J800" s="28">
        <v>29131</v>
      </c>
      <c r="K800" s="28">
        <v>52.24</v>
      </c>
      <c r="L800" s="29">
        <f>SUM(NSE_BhavCopy[[#This Row],[ CLOSE_PRICE]]-NSE_BhavCopy[[#This Row],[ PREV_CLOSE]])/NSE_BhavCopy[[#This Row],[ PREV_CLOSE]]*100</f>
        <v>-3.8387715930902107</v>
      </c>
    </row>
    <row r="801" spans="1:12" hidden="1" x14ac:dyDescent="0.25">
      <c r="A801" s="28" t="s">
        <v>968</v>
      </c>
      <c r="B801" s="28" t="s">
        <v>321</v>
      </c>
      <c r="C801" s="30">
        <v>44428</v>
      </c>
      <c r="D801" s="28">
        <v>265.64999999999998</v>
      </c>
      <c r="E801" s="28">
        <v>245</v>
      </c>
      <c r="F801" s="28">
        <v>263.05</v>
      </c>
      <c r="G801" s="28">
        <v>243.1</v>
      </c>
      <c r="H801" s="28">
        <v>246.54</v>
      </c>
      <c r="I801" s="28">
        <v>602550</v>
      </c>
      <c r="J801" s="28">
        <v>314674</v>
      </c>
      <c r="K801" s="28">
        <v>52.22</v>
      </c>
      <c r="L801" s="29">
        <f>SUM(NSE_BhavCopy[[#This Row],[ CLOSE_PRICE]]-NSE_BhavCopy[[#This Row],[ PREV_CLOSE]])/NSE_BhavCopy[[#This Row],[ PREV_CLOSE]]*100</f>
        <v>-8.488612836438918</v>
      </c>
    </row>
    <row r="802" spans="1:12" hidden="1" x14ac:dyDescent="0.25">
      <c r="A802" s="28" t="s">
        <v>867</v>
      </c>
      <c r="B802" s="28" t="s">
        <v>321</v>
      </c>
      <c r="C802" s="30">
        <v>44428</v>
      </c>
      <c r="D802" s="28">
        <v>66.400000000000006</v>
      </c>
      <c r="E802" s="28">
        <v>66.5</v>
      </c>
      <c r="F802" s="28">
        <v>66.55</v>
      </c>
      <c r="G802" s="28">
        <v>61.1</v>
      </c>
      <c r="H802" s="28">
        <v>62.64</v>
      </c>
      <c r="I802" s="28">
        <v>457742</v>
      </c>
      <c r="J802" s="28">
        <v>239052</v>
      </c>
      <c r="K802" s="28">
        <v>52.22</v>
      </c>
      <c r="L802" s="29">
        <f>SUM(NSE_BhavCopy[[#This Row],[ CLOSE_PRICE]]-NSE_BhavCopy[[#This Row],[ PREV_CLOSE]])/NSE_BhavCopy[[#This Row],[ PREV_CLOSE]]*100</f>
        <v>-7.9819277108433795</v>
      </c>
    </row>
    <row r="803" spans="1:12" hidden="1" x14ac:dyDescent="0.25">
      <c r="A803" s="28" t="s">
        <v>1444</v>
      </c>
      <c r="B803" s="28" t="s">
        <v>321</v>
      </c>
      <c r="C803" s="30">
        <v>44428</v>
      </c>
      <c r="D803" s="28">
        <v>713.55</v>
      </c>
      <c r="E803" s="28">
        <v>712</v>
      </c>
      <c r="F803" s="28">
        <v>718.15</v>
      </c>
      <c r="G803" s="28">
        <v>679.7</v>
      </c>
      <c r="H803" s="28">
        <v>695.99</v>
      </c>
      <c r="I803" s="28">
        <v>21057</v>
      </c>
      <c r="J803" s="28">
        <v>10994</v>
      </c>
      <c r="K803" s="28">
        <v>52.21</v>
      </c>
      <c r="L803" s="29">
        <f>SUM(NSE_BhavCopy[[#This Row],[ CLOSE_PRICE]]-NSE_BhavCopy[[#This Row],[ PREV_CLOSE]])/NSE_BhavCopy[[#This Row],[ PREV_CLOSE]]*100</f>
        <v>-4.7438862027888602</v>
      </c>
    </row>
    <row r="804" spans="1:12" hidden="1" x14ac:dyDescent="0.25">
      <c r="A804" s="28" t="s">
        <v>1317</v>
      </c>
      <c r="B804" s="28" t="s">
        <v>321</v>
      </c>
      <c r="C804" s="30">
        <v>44428</v>
      </c>
      <c r="D804" s="28">
        <v>1113.7</v>
      </c>
      <c r="E804" s="28">
        <v>1110</v>
      </c>
      <c r="F804" s="28">
        <v>1136</v>
      </c>
      <c r="G804" s="28">
        <v>1109.05</v>
      </c>
      <c r="H804" s="28">
        <v>1115.43</v>
      </c>
      <c r="I804" s="28">
        <v>40176</v>
      </c>
      <c r="J804" s="28">
        <v>20972</v>
      </c>
      <c r="K804" s="28">
        <v>52.2</v>
      </c>
      <c r="L804" s="29">
        <f>SUM(NSE_BhavCopy[[#This Row],[ CLOSE_PRICE]]-NSE_BhavCopy[[#This Row],[ PREV_CLOSE]])/NSE_BhavCopy[[#This Row],[ PREV_CLOSE]]*100</f>
        <v>-0.41752716171321635</v>
      </c>
    </row>
    <row r="805" spans="1:12" hidden="1" x14ac:dyDescent="0.25">
      <c r="A805" s="28" t="s">
        <v>561</v>
      </c>
      <c r="B805" s="28" t="s">
        <v>321</v>
      </c>
      <c r="C805" s="30">
        <v>44428</v>
      </c>
      <c r="D805" s="28">
        <v>52.4</v>
      </c>
      <c r="E805" s="28">
        <v>52.2</v>
      </c>
      <c r="F805" s="28">
        <v>53.5</v>
      </c>
      <c r="G805" s="28">
        <v>48.85</v>
      </c>
      <c r="H805" s="28">
        <v>49.71</v>
      </c>
      <c r="I805" s="28">
        <v>76823</v>
      </c>
      <c r="J805" s="28">
        <v>40070</v>
      </c>
      <c r="K805" s="28">
        <v>52.16</v>
      </c>
      <c r="L805" s="29">
        <f>SUM(NSE_BhavCopy[[#This Row],[ CLOSE_PRICE]]-NSE_BhavCopy[[#This Row],[ PREV_CLOSE]])/NSE_BhavCopy[[#This Row],[ PREV_CLOSE]]*100</f>
        <v>-6.7748091603053382</v>
      </c>
    </row>
    <row r="806" spans="1:12" hidden="1" x14ac:dyDescent="0.25">
      <c r="A806" s="28" t="s">
        <v>670</v>
      </c>
      <c r="B806" s="28" t="s">
        <v>321</v>
      </c>
      <c r="C806" s="30">
        <v>44428</v>
      </c>
      <c r="D806" s="28">
        <v>475.3</v>
      </c>
      <c r="E806" s="28">
        <v>471.9</v>
      </c>
      <c r="F806" s="28">
        <v>475</v>
      </c>
      <c r="G806" s="28">
        <v>464</v>
      </c>
      <c r="H806" s="28">
        <v>467.71</v>
      </c>
      <c r="I806" s="28">
        <v>93205</v>
      </c>
      <c r="J806" s="28">
        <v>48556</v>
      </c>
      <c r="K806" s="28">
        <v>52.1</v>
      </c>
      <c r="L806" s="29">
        <f>SUM(NSE_BhavCopy[[#This Row],[ CLOSE_PRICE]]-NSE_BhavCopy[[#This Row],[ PREV_CLOSE]])/NSE_BhavCopy[[#This Row],[ PREV_CLOSE]]*100</f>
        <v>-2.3774458236903033</v>
      </c>
    </row>
    <row r="807" spans="1:12" hidden="1" x14ac:dyDescent="0.25">
      <c r="A807" s="28" t="s">
        <v>227</v>
      </c>
      <c r="B807" s="28" t="s">
        <v>321</v>
      </c>
      <c r="C807" s="30">
        <v>44428</v>
      </c>
      <c r="D807" s="28">
        <v>782.05</v>
      </c>
      <c r="E807" s="28">
        <v>770</v>
      </c>
      <c r="F807" s="28">
        <v>770</v>
      </c>
      <c r="G807" s="28">
        <v>747.8</v>
      </c>
      <c r="H807" s="28">
        <v>756.16</v>
      </c>
      <c r="I807" s="28">
        <v>410182</v>
      </c>
      <c r="J807" s="28">
        <v>213608</v>
      </c>
      <c r="K807" s="28">
        <v>52.08</v>
      </c>
      <c r="L807" s="29">
        <f>SUM(NSE_BhavCopy[[#This Row],[ CLOSE_PRICE]]-NSE_BhavCopy[[#This Row],[ PREV_CLOSE]])/NSE_BhavCopy[[#This Row],[ PREV_CLOSE]]*100</f>
        <v>-4.379515376254715</v>
      </c>
    </row>
    <row r="808" spans="1:12" hidden="1" x14ac:dyDescent="0.25">
      <c r="A808" s="28" t="s">
        <v>886</v>
      </c>
      <c r="B808" s="28" t="s">
        <v>321</v>
      </c>
      <c r="C808" s="30">
        <v>44428</v>
      </c>
      <c r="D808" s="28">
        <v>23.45</v>
      </c>
      <c r="E808" s="28">
        <v>23.3</v>
      </c>
      <c r="F808" s="28">
        <v>23.35</v>
      </c>
      <c r="G808" s="28">
        <v>23</v>
      </c>
      <c r="H808" s="28">
        <v>23.09</v>
      </c>
      <c r="I808" s="28">
        <v>9048947</v>
      </c>
      <c r="J808" s="28">
        <v>4712625</v>
      </c>
      <c r="K808" s="28">
        <v>52.08</v>
      </c>
      <c r="L808" s="29">
        <f>SUM(NSE_BhavCopy[[#This Row],[ CLOSE_PRICE]]-NSE_BhavCopy[[#This Row],[ PREV_CLOSE]])/NSE_BhavCopy[[#This Row],[ PREV_CLOSE]]*100</f>
        <v>-1.9189765458422146</v>
      </c>
    </row>
    <row r="809" spans="1:12" hidden="1" x14ac:dyDescent="0.25">
      <c r="A809" s="28" t="s">
        <v>929</v>
      </c>
      <c r="B809" s="28" t="s">
        <v>321</v>
      </c>
      <c r="C809" s="30">
        <v>44428</v>
      </c>
      <c r="D809" s="28">
        <v>278</v>
      </c>
      <c r="E809" s="28">
        <v>268</v>
      </c>
      <c r="F809" s="28">
        <v>273.25</v>
      </c>
      <c r="G809" s="28">
        <v>255.9</v>
      </c>
      <c r="H809" s="28">
        <v>263.52999999999997</v>
      </c>
      <c r="I809" s="28">
        <v>708767</v>
      </c>
      <c r="J809" s="28">
        <v>369053</v>
      </c>
      <c r="K809" s="28">
        <v>52.07</v>
      </c>
      <c r="L809" s="29">
        <f>SUM(NSE_BhavCopy[[#This Row],[ CLOSE_PRICE]]-NSE_BhavCopy[[#This Row],[ PREV_CLOSE]])/NSE_BhavCopy[[#This Row],[ PREV_CLOSE]]*100</f>
        <v>-7.9496402877697827</v>
      </c>
    </row>
    <row r="810" spans="1:12" hidden="1" x14ac:dyDescent="0.25">
      <c r="A810" s="28" t="s">
        <v>885</v>
      </c>
      <c r="B810" s="28" t="s">
        <v>321</v>
      </c>
      <c r="C810" s="30">
        <v>44428</v>
      </c>
      <c r="D810" s="28">
        <v>42.35</v>
      </c>
      <c r="E810" s="28">
        <v>42</v>
      </c>
      <c r="F810" s="28">
        <v>42.25</v>
      </c>
      <c r="G810" s="28">
        <v>41.75</v>
      </c>
      <c r="H810" s="28">
        <v>41.83</v>
      </c>
      <c r="I810" s="28">
        <v>1207566</v>
      </c>
      <c r="J810" s="28">
        <v>628759</v>
      </c>
      <c r="K810" s="28">
        <v>52.07</v>
      </c>
      <c r="L810" s="29">
        <f>SUM(NSE_BhavCopy[[#This Row],[ CLOSE_PRICE]]-NSE_BhavCopy[[#This Row],[ PREV_CLOSE]])/NSE_BhavCopy[[#This Row],[ PREV_CLOSE]]*100</f>
        <v>-1.4167650531286928</v>
      </c>
    </row>
    <row r="811" spans="1:12" hidden="1" x14ac:dyDescent="0.25">
      <c r="A811" s="28" t="s">
        <v>1553</v>
      </c>
      <c r="B811" s="28" t="s">
        <v>321</v>
      </c>
      <c r="C811" s="30">
        <v>44428</v>
      </c>
      <c r="D811" s="28">
        <v>35.74</v>
      </c>
      <c r="E811" s="28">
        <v>35.6</v>
      </c>
      <c r="F811" s="28">
        <v>35.69</v>
      </c>
      <c r="G811" s="28">
        <v>35.299999999999997</v>
      </c>
      <c r="H811" s="28">
        <v>35.200000000000003</v>
      </c>
      <c r="I811" s="28">
        <v>8655</v>
      </c>
      <c r="J811" s="28">
        <v>4507</v>
      </c>
      <c r="K811" s="28">
        <v>52.07</v>
      </c>
      <c r="L811" s="29">
        <f>SUM(NSE_BhavCopy[[#This Row],[ CLOSE_PRICE]]-NSE_BhavCopy[[#This Row],[ PREV_CLOSE]])/NSE_BhavCopy[[#This Row],[ PREV_CLOSE]]*100</f>
        <v>-1.2311135982093027</v>
      </c>
    </row>
    <row r="812" spans="1:12" hidden="1" x14ac:dyDescent="0.25">
      <c r="A812" s="28" t="s">
        <v>1615</v>
      </c>
      <c r="B812" s="28" t="s">
        <v>321</v>
      </c>
      <c r="C812" s="30">
        <v>44428</v>
      </c>
      <c r="D812" s="28">
        <v>479.75</v>
      </c>
      <c r="E812" s="28">
        <v>455</v>
      </c>
      <c r="F812" s="28">
        <v>475</v>
      </c>
      <c r="G812" s="28">
        <v>453.85</v>
      </c>
      <c r="H812" s="28">
        <v>457.94</v>
      </c>
      <c r="I812" s="28">
        <v>619445</v>
      </c>
      <c r="J812" s="28">
        <v>322282</v>
      </c>
      <c r="K812" s="28">
        <v>52.03</v>
      </c>
      <c r="L812" s="29">
        <f>SUM(NSE_BhavCopy[[#This Row],[ CLOSE_PRICE]]-NSE_BhavCopy[[#This Row],[ PREV_CLOSE]])/NSE_BhavCopy[[#This Row],[ PREV_CLOSE]]*100</f>
        <v>-5.3986451276706573</v>
      </c>
    </row>
    <row r="813" spans="1:12" hidden="1" x14ac:dyDescent="0.25">
      <c r="A813" s="28" t="s">
        <v>1212</v>
      </c>
      <c r="B813" s="28" t="s">
        <v>321</v>
      </c>
      <c r="C813" s="30">
        <v>44428</v>
      </c>
      <c r="D813" s="28">
        <v>31.1</v>
      </c>
      <c r="E813" s="28">
        <v>30.8</v>
      </c>
      <c r="F813" s="28">
        <v>32.1</v>
      </c>
      <c r="G813" s="28">
        <v>29.7</v>
      </c>
      <c r="H813" s="28">
        <v>30.61</v>
      </c>
      <c r="I813" s="28">
        <v>1204014</v>
      </c>
      <c r="J813" s="28">
        <v>626198</v>
      </c>
      <c r="K813" s="28">
        <v>52.01</v>
      </c>
      <c r="L813" s="29">
        <f>SUM(NSE_BhavCopy[[#This Row],[ CLOSE_PRICE]]-NSE_BhavCopy[[#This Row],[ PREV_CLOSE]])/NSE_BhavCopy[[#This Row],[ PREV_CLOSE]]*100</f>
        <v>-4.5016077170418072</v>
      </c>
    </row>
    <row r="814" spans="1:12" hidden="1" x14ac:dyDescent="0.25">
      <c r="A814" s="28" t="s">
        <v>1457</v>
      </c>
      <c r="B814" s="28" t="s">
        <v>321</v>
      </c>
      <c r="C814" s="30">
        <v>44428</v>
      </c>
      <c r="D814" s="28">
        <v>6.6</v>
      </c>
      <c r="E814" s="28">
        <v>6.85</v>
      </c>
      <c r="F814" s="28">
        <v>6.85</v>
      </c>
      <c r="G814" s="28">
        <v>6.3</v>
      </c>
      <c r="H814" s="28">
        <v>6.29</v>
      </c>
      <c r="I814" s="28">
        <v>190320</v>
      </c>
      <c r="J814" s="28">
        <v>98977</v>
      </c>
      <c r="K814" s="28">
        <v>52.01</v>
      </c>
      <c r="L814" s="29">
        <f>SUM(NSE_BhavCopy[[#This Row],[ CLOSE_PRICE]]-NSE_BhavCopy[[#This Row],[ PREV_CLOSE]])/NSE_BhavCopy[[#This Row],[ PREV_CLOSE]]*100</f>
        <v>-4.5454545454545432</v>
      </c>
    </row>
    <row r="815" spans="1:12" hidden="1" x14ac:dyDescent="0.25">
      <c r="A815" s="28" t="s">
        <v>695</v>
      </c>
      <c r="B815" s="28" t="s">
        <v>321</v>
      </c>
      <c r="C815" s="30">
        <v>44428</v>
      </c>
      <c r="D815" s="28">
        <v>91.3</v>
      </c>
      <c r="E815" s="28">
        <v>90.05</v>
      </c>
      <c r="F815" s="28">
        <v>91.95</v>
      </c>
      <c r="G815" s="28">
        <v>89.3</v>
      </c>
      <c r="H815" s="28">
        <v>90.45</v>
      </c>
      <c r="I815" s="28">
        <v>11604</v>
      </c>
      <c r="J815" s="28">
        <v>6030</v>
      </c>
      <c r="K815" s="28">
        <v>51.96</v>
      </c>
      <c r="L815" s="29">
        <f>SUM(NSE_BhavCopy[[#This Row],[ CLOSE_PRICE]]-NSE_BhavCopy[[#This Row],[ PREV_CLOSE]])/NSE_BhavCopy[[#This Row],[ PREV_CLOSE]]*100</f>
        <v>-2.190580503833516</v>
      </c>
    </row>
    <row r="816" spans="1:12" hidden="1" x14ac:dyDescent="0.25">
      <c r="A816" s="28" t="s">
        <v>1407</v>
      </c>
      <c r="B816" s="28" t="s">
        <v>321</v>
      </c>
      <c r="C816" s="30">
        <v>44428</v>
      </c>
      <c r="D816" s="28">
        <v>586.45000000000005</v>
      </c>
      <c r="E816" s="28">
        <v>586.45000000000005</v>
      </c>
      <c r="F816" s="28">
        <v>597</v>
      </c>
      <c r="G816" s="28">
        <v>585.25</v>
      </c>
      <c r="H816" s="28">
        <v>587.54</v>
      </c>
      <c r="I816" s="28">
        <v>117297</v>
      </c>
      <c r="J816" s="28">
        <v>60950</v>
      </c>
      <c r="K816" s="28">
        <v>51.96</v>
      </c>
      <c r="L816" s="29">
        <f>SUM(NSE_BhavCopy[[#This Row],[ CLOSE_PRICE]]-NSE_BhavCopy[[#This Row],[ PREV_CLOSE]])/NSE_BhavCopy[[#This Row],[ PREV_CLOSE]]*100</f>
        <v>-0.204621024810307</v>
      </c>
    </row>
    <row r="817" spans="1:12" hidden="1" x14ac:dyDescent="0.25">
      <c r="A817" s="28" t="s">
        <v>594</v>
      </c>
      <c r="B817" s="28" t="s">
        <v>321</v>
      </c>
      <c r="C817" s="30">
        <v>44428</v>
      </c>
      <c r="D817" s="28">
        <v>324.2</v>
      </c>
      <c r="E817" s="28">
        <v>316</v>
      </c>
      <c r="F817" s="28">
        <v>330.45</v>
      </c>
      <c r="G817" s="28">
        <v>311.8</v>
      </c>
      <c r="H817" s="28">
        <v>318.73</v>
      </c>
      <c r="I817" s="28">
        <v>14976</v>
      </c>
      <c r="J817" s="28">
        <v>7778</v>
      </c>
      <c r="K817" s="28">
        <v>51.94</v>
      </c>
      <c r="L817" s="29">
        <f>SUM(NSE_BhavCopy[[#This Row],[ CLOSE_PRICE]]-NSE_BhavCopy[[#This Row],[ PREV_CLOSE]])/NSE_BhavCopy[[#This Row],[ PREV_CLOSE]]*100</f>
        <v>-3.824799506477476</v>
      </c>
    </row>
    <row r="818" spans="1:12" hidden="1" x14ac:dyDescent="0.25">
      <c r="A818" s="28" t="s">
        <v>325</v>
      </c>
      <c r="B818" s="28" t="s">
        <v>321</v>
      </c>
      <c r="C818" s="30">
        <v>44428</v>
      </c>
      <c r="D818" s="28">
        <v>471.85</v>
      </c>
      <c r="E818" s="28">
        <v>470</v>
      </c>
      <c r="F818" s="28">
        <v>470.7</v>
      </c>
      <c r="G818" s="28">
        <v>459.55</v>
      </c>
      <c r="H818" s="28">
        <v>463.3</v>
      </c>
      <c r="I818" s="28">
        <v>21712</v>
      </c>
      <c r="J818" s="28">
        <v>11273</v>
      </c>
      <c r="K818" s="28">
        <v>51.92</v>
      </c>
      <c r="L818" s="29">
        <f>SUM(NSE_BhavCopy[[#This Row],[ CLOSE_PRICE]]-NSE_BhavCopy[[#This Row],[ PREV_CLOSE]])/NSE_BhavCopy[[#This Row],[ PREV_CLOSE]]*100</f>
        <v>-2.6067606230793707</v>
      </c>
    </row>
    <row r="819" spans="1:12" hidden="1" x14ac:dyDescent="0.25">
      <c r="A819" s="28" t="s">
        <v>1718</v>
      </c>
      <c r="B819" s="28" t="s">
        <v>321</v>
      </c>
      <c r="C819" s="30">
        <v>44428</v>
      </c>
      <c r="D819" s="28">
        <v>129</v>
      </c>
      <c r="E819" s="28">
        <v>124.4</v>
      </c>
      <c r="F819" s="28">
        <v>132.5</v>
      </c>
      <c r="G819" s="28">
        <v>128.80000000000001</v>
      </c>
      <c r="H819" s="28">
        <v>129.27000000000001</v>
      </c>
      <c r="I819" s="28">
        <v>43703</v>
      </c>
      <c r="J819" s="28">
        <v>22681</v>
      </c>
      <c r="K819" s="28">
        <v>51.9</v>
      </c>
      <c r="L819" s="29">
        <f>SUM(NSE_BhavCopy[[#This Row],[ CLOSE_PRICE]]-NSE_BhavCopy[[#This Row],[ PREV_CLOSE]])/NSE_BhavCopy[[#This Row],[ PREV_CLOSE]]*100</f>
        <v>-0.15503875968991368</v>
      </c>
    </row>
    <row r="820" spans="1:12" hidden="1" x14ac:dyDescent="0.25">
      <c r="A820" s="28" t="s">
        <v>1592</v>
      </c>
      <c r="B820" s="28" t="s">
        <v>321</v>
      </c>
      <c r="C820" s="30">
        <v>44428</v>
      </c>
      <c r="D820" s="28">
        <v>1428.55</v>
      </c>
      <c r="E820" s="28">
        <v>1410</v>
      </c>
      <c r="F820" s="28">
        <v>1410</v>
      </c>
      <c r="G820" s="28">
        <v>1369.95</v>
      </c>
      <c r="H820" s="28">
        <v>1386.58</v>
      </c>
      <c r="I820" s="28">
        <v>11126</v>
      </c>
      <c r="J820" s="28">
        <v>5772</v>
      </c>
      <c r="K820" s="28">
        <v>51.88</v>
      </c>
      <c r="L820" s="29">
        <f>SUM(NSE_BhavCopy[[#This Row],[ CLOSE_PRICE]]-NSE_BhavCopy[[#This Row],[ PREV_CLOSE]])/NSE_BhavCopy[[#This Row],[ PREV_CLOSE]]*100</f>
        <v>-4.102061530922958</v>
      </c>
    </row>
    <row r="821" spans="1:12" hidden="1" x14ac:dyDescent="0.25">
      <c r="A821" s="28" t="s">
        <v>383</v>
      </c>
      <c r="B821" s="28" t="s">
        <v>321</v>
      </c>
      <c r="C821" s="30">
        <v>44428</v>
      </c>
      <c r="D821" s="28">
        <v>549.6</v>
      </c>
      <c r="E821" s="28">
        <v>545</v>
      </c>
      <c r="F821" s="28">
        <v>549.6</v>
      </c>
      <c r="G821" s="28">
        <v>530.70000000000005</v>
      </c>
      <c r="H821" s="28">
        <v>539.54999999999995</v>
      </c>
      <c r="I821" s="28">
        <v>52807</v>
      </c>
      <c r="J821" s="28">
        <v>27381</v>
      </c>
      <c r="K821" s="28">
        <v>51.85</v>
      </c>
      <c r="L821" s="29">
        <f>SUM(NSE_BhavCopy[[#This Row],[ CLOSE_PRICE]]-NSE_BhavCopy[[#This Row],[ PREV_CLOSE]])/NSE_BhavCopy[[#This Row],[ PREV_CLOSE]]*100</f>
        <v>-3.4388646288209563</v>
      </c>
    </row>
    <row r="822" spans="1:12" hidden="1" x14ac:dyDescent="0.25">
      <c r="A822" s="28" t="s">
        <v>740</v>
      </c>
      <c r="B822" s="28" t="s">
        <v>321</v>
      </c>
      <c r="C822" s="30">
        <v>44428</v>
      </c>
      <c r="D822" s="28">
        <v>650.95000000000005</v>
      </c>
      <c r="E822" s="28">
        <v>644</v>
      </c>
      <c r="F822" s="28">
        <v>646.15</v>
      </c>
      <c r="G822" s="28">
        <v>621.04999999999995</v>
      </c>
      <c r="H822" s="28">
        <v>630.83000000000004</v>
      </c>
      <c r="I822" s="28">
        <v>410541</v>
      </c>
      <c r="J822" s="28">
        <v>212886</v>
      </c>
      <c r="K822" s="28">
        <v>51.85</v>
      </c>
      <c r="L822" s="29">
        <f>SUM(NSE_BhavCopy[[#This Row],[ CLOSE_PRICE]]-NSE_BhavCopy[[#This Row],[ PREV_CLOSE]])/NSE_BhavCopy[[#This Row],[ PREV_CLOSE]]*100</f>
        <v>-4.5932867347722697</v>
      </c>
    </row>
    <row r="823" spans="1:12" hidden="1" x14ac:dyDescent="0.25">
      <c r="A823" s="28" t="s">
        <v>365</v>
      </c>
      <c r="B823" s="28" t="s">
        <v>321</v>
      </c>
      <c r="C823" s="30">
        <v>44428</v>
      </c>
      <c r="D823" s="28">
        <v>790.75</v>
      </c>
      <c r="E823" s="28">
        <v>780.2</v>
      </c>
      <c r="F823" s="28">
        <v>813.65</v>
      </c>
      <c r="G823" s="28">
        <v>763.45</v>
      </c>
      <c r="H823" s="28">
        <v>784.8</v>
      </c>
      <c r="I823" s="28">
        <v>38857</v>
      </c>
      <c r="J823" s="28">
        <v>20132</v>
      </c>
      <c r="K823" s="28">
        <v>51.81</v>
      </c>
      <c r="L823" s="29">
        <f>SUM(NSE_BhavCopy[[#This Row],[ CLOSE_PRICE]]-NSE_BhavCopy[[#This Row],[ PREV_CLOSE]])/NSE_BhavCopy[[#This Row],[ PREV_CLOSE]]*100</f>
        <v>-3.4524185899462476</v>
      </c>
    </row>
    <row r="824" spans="1:12" hidden="1" x14ac:dyDescent="0.25">
      <c r="A824" s="28" t="s">
        <v>1670</v>
      </c>
      <c r="B824" s="28" t="s">
        <v>321</v>
      </c>
      <c r="C824" s="30">
        <v>44428</v>
      </c>
      <c r="D824" s="28">
        <v>55.1</v>
      </c>
      <c r="E824" s="28">
        <v>55.3</v>
      </c>
      <c r="F824" s="28">
        <v>55.3</v>
      </c>
      <c r="G824" s="28">
        <v>53</v>
      </c>
      <c r="H824" s="28">
        <v>52.67</v>
      </c>
      <c r="I824" s="28">
        <v>45340</v>
      </c>
      <c r="J824" s="28">
        <v>23479</v>
      </c>
      <c r="K824" s="28">
        <v>51.78</v>
      </c>
      <c r="L824" s="29">
        <f>SUM(NSE_BhavCopy[[#This Row],[ CLOSE_PRICE]]-NSE_BhavCopy[[#This Row],[ PREV_CLOSE]])/NSE_BhavCopy[[#This Row],[ PREV_CLOSE]]*100</f>
        <v>-3.8112522686025434</v>
      </c>
    </row>
    <row r="825" spans="1:12" hidden="1" x14ac:dyDescent="0.25">
      <c r="A825" s="28" t="s">
        <v>1544</v>
      </c>
      <c r="B825" s="28" t="s">
        <v>321</v>
      </c>
      <c r="C825" s="30">
        <v>44428</v>
      </c>
      <c r="D825" s="28">
        <v>117.7</v>
      </c>
      <c r="E825" s="28">
        <v>117.55</v>
      </c>
      <c r="F825" s="28">
        <v>117.55</v>
      </c>
      <c r="G825" s="28">
        <v>116</v>
      </c>
      <c r="H825" s="28">
        <v>114.88</v>
      </c>
      <c r="I825" s="28">
        <v>21749</v>
      </c>
      <c r="J825" s="28">
        <v>11245</v>
      </c>
      <c r="K825" s="28">
        <v>51.7</v>
      </c>
      <c r="L825" s="29">
        <f>SUM(NSE_BhavCopy[[#This Row],[ CLOSE_PRICE]]-NSE_BhavCopy[[#This Row],[ PREV_CLOSE]])/NSE_BhavCopy[[#This Row],[ PREV_CLOSE]]*100</f>
        <v>-1.4443500424808859</v>
      </c>
    </row>
    <row r="826" spans="1:12" hidden="1" x14ac:dyDescent="0.25">
      <c r="A826" s="28" t="s">
        <v>538</v>
      </c>
      <c r="B826" s="28" t="s">
        <v>321</v>
      </c>
      <c r="C826" s="30">
        <v>44428</v>
      </c>
      <c r="D826" s="28">
        <v>172</v>
      </c>
      <c r="E826" s="28">
        <v>170.1</v>
      </c>
      <c r="F826" s="28">
        <v>170.1</v>
      </c>
      <c r="G826" s="28">
        <v>165.55</v>
      </c>
      <c r="H826" s="28">
        <v>166.98</v>
      </c>
      <c r="I826" s="28">
        <v>85619</v>
      </c>
      <c r="J826" s="28">
        <v>44239</v>
      </c>
      <c r="K826" s="28">
        <v>51.67</v>
      </c>
      <c r="L826" s="29">
        <f>SUM(NSE_BhavCopy[[#This Row],[ CLOSE_PRICE]]-NSE_BhavCopy[[#This Row],[ PREV_CLOSE]])/NSE_BhavCopy[[#This Row],[ PREV_CLOSE]]*100</f>
        <v>-3.7499999999999938</v>
      </c>
    </row>
    <row r="827" spans="1:12" hidden="1" x14ac:dyDescent="0.25">
      <c r="A827" s="28" t="s">
        <v>1059</v>
      </c>
      <c r="B827" s="28" t="s">
        <v>321</v>
      </c>
      <c r="C827" s="30">
        <v>44428</v>
      </c>
      <c r="D827" s="28">
        <v>40.200000000000003</v>
      </c>
      <c r="E827" s="28">
        <v>39.799999999999997</v>
      </c>
      <c r="F827" s="28">
        <v>39.799999999999997</v>
      </c>
      <c r="G827" s="28">
        <v>38.299999999999997</v>
      </c>
      <c r="H827" s="28">
        <v>38.31</v>
      </c>
      <c r="I827" s="28">
        <v>1033092</v>
      </c>
      <c r="J827" s="28">
        <v>533621</v>
      </c>
      <c r="K827" s="28">
        <v>51.65</v>
      </c>
      <c r="L827" s="29">
        <f>SUM(NSE_BhavCopy[[#This Row],[ CLOSE_PRICE]]-NSE_BhavCopy[[#This Row],[ PREV_CLOSE]])/NSE_BhavCopy[[#This Row],[ PREV_CLOSE]]*100</f>
        <v>-4.7263681592039939</v>
      </c>
    </row>
    <row r="828" spans="1:12" hidden="1" x14ac:dyDescent="0.25">
      <c r="A828" s="28" t="s">
        <v>935</v>
      </c>
      <c r="B828" s="28" t="s">
        <v>321</v>
      </c>
      <c r="C828" s="30">
        <v>44428</v>
      </c>
      <c r="D828" s="28">
        <v>623.1</v>
      </c>
      <c r="E828" s="28">
        <v>621</v>
      </c>
      <c r="F828" s="28">
        <v>621</v>
      </c>
      <c r="G828" s="28">
        <v>608.70000000000005</v>
      </c>
      <c r="H828" s="28">
        <v>611.66999999999996</v>
      </c>
      <c r="I828" s="28">
        <v>194505</v>
      </c>
      <c r="J828" s="28">
        <v>100335</v>
      </c>
      <c r="K828" s="28">
        <v>51.58</v>
      </c>
      <c r="L828" s="29">
        <f>SUM(NSE_BhavCopy[[#This Row],[ CLOSE_PRICE]]-NSE_BhavCopy[[#This Row],[ PREV_CLOSE]])/NSE_BhavCopy[[#This Row],[ PREV_CLOSE]]*100</f>
        <v>-2.3110255175734196</v>
      </c>
    </row>
    <row r="829" spans="1:12" hidden="1" x14ac:dyDescent="0.25">
      <c r="A829" s="28" t="s">
        <v>1694</v>
      </c>
      <c r="B829" s="28" t="s">
        <v>321</v>
      </c>
      <c r="C829" s="30">
        <v>44428</v>
      </c>
      <c r="D829" s="28">
        <v>27.8</v>
      </c>
      <c r="E829" s="28">
        <v>29.15</v>
      </c>
      <c r="F829" s="28">
        <v>29.15</v>
      </c>
      <c r="G829" s="28">
        <v>26.45</v>
      </c>
      <c r="H829" s="28">
        <v>27.8</v>
      </c>
      <c r="I829" s="28">
        <v>101657</v>
      </c>
      <c r="J829" s="28">
        <v>52423</v>
      </c>
      <c r="K829" s="28">
        <v>51.57</v>
      </c>
      <c r="L829" s="29">
        <f>SUM(NSE_BhavCopy[[#This Row],[ CLOSE_PRICE]]-NSE_BhavCopy[[#This Row],[ PREV_CLOSE]])/NSE_BhavCopy[[#This Row],[ PREV_CLOSE]]*100</f>
        <v>-4.8561151079136744</v>
      </c>
    </row>
    <row r="830" spans="1:12" hidden="1" x14ac:dyDescent="0.25">
      <c r="A830" s="28" t="s">
        <v>1452</v>
      </c>
      <c r="B830" s="28" t="s">
        <v>321</v>
      </c>
      <c r="C830" s="30">
        <v>44428</v>
      </c>
      <c r="D830" s="28">
        <v>503.85</v>
      </c>
      <c r="E830" s="28">
        <v>499.5</v>
      </c>
      <c r="F830" s="28">
        <v>500.85</v>
      </c>
      <c r="G830" s="28">
        <v>482.9</v>
      </c>
      <c r="H830" s="28">
        <v>490.77</v>
      </c>
      <c r="I830" s="28">
        <v>1330054</v>
      </c>
      <c r="J830" s="28">
        <v>685879</v>
      </c>
      <c r="K830" s="28">
        <v>51.57</v>
      </c>
      <c r="L830" s="29">
        <f>SUM(NSE_BhavCopy[[#This Row],[ CLOSE_PRICE]]-NSE_BhavCopy[[#This Row],[ PREV_CLOSE]])/NSE_BhavCopy[[#This Row],[ PREV_CLOSE]]*100</f>
        <v>-4.1579835268433154</v>
      </c>
    </row>
    <row r="831" spans="1:12" hidden="1" x14ac:dyDescent="0.25">
      <c r="A831" s="28" t="s">
        <v>1422</v>
      </c>
      <c r="B831" s="28" t="s">
        <v>321</v>
      </c>
      <c r="C831" s="30">
        <v>44428</v>
      </c>
      <c r="D831" s="28">
        <v>52.05</v>
      </c>
      <c r="E831" s="28">
        <v>51.1</v>
      </c>
      <c r="F831" s="28">
        <v>53.45</v>
      </c>
      <c r="G831" s="28">
        <v>49.8</v>
      </c>
      <c r="H831" s="28">
        <v>50.87</v>
      </c>
      <c r="I831" s="28">
        <v>748862</v>
      </c>
      <c r="J831" s="28">
        <v>385974</v>
      </c>
      <c r="K831" s="28">
        <v>51.54</v>
      </c>
      <c r="L831" s="29">
        <f>SUM(NSE_BhavCopy[[#This Row],[ CLOSE_PRICE]]-NSE_BhavCopy[[#This Row],[ PREV_CLOSE]])/NSE_BhavCopy[[#This Row],[ PREV_CLOSE]]*100</f>
        <v>-4.3227665706051877</v>
      </c>
    </row>
    <row r="832" spans="1:12" hidden="1" x14ac:dyDescent="0.25">
      <c r="A832" s="28" t="s">
        <v>844</v>
      </c>
      <c r="B832" s="28" t="s">
        <v>321</v>
      </c>
      <c r="C832" s="30">
        <v>44428</v>
      </c>
      <c r="D832" s="28">
        <v>938.1</v>
      </c>
      <c r="E832" s="28">
        <v>935.5</v>
      </c>
      <c r="F832" s="28">
        <v>937.65</v>
      </c>
      <c r="G832" s="28">
        <v>908.25</v>
      </c>
      <c r="H832" s="28">
        <v>915.57</v>
      </c>
      <c r="I832" s="28">
        <v>20555</v>
      </c>
      <c r="J832" s="28">
        <v>10592</v>
      </c>
      <c r="K832" s="28">
        <v>51.53</v>
      </c>
      <c r="L832" s="29">
        <f>SUM(NSE_BhavCopy[[#This Row],[ CLOSE_PRICE]]-NSE_BhavCopy[[#This Row],[ PREV_CLOSE]])/NSE_BhavCopy[[#This Row],[ PREV_CLOSE]]*100</f>
        <v>-3.1819635433322695</v>
      </c>
    </row>
    <row r="833" spans="1:12" hidden="1" x14ac:dyDescent="0.25">
      <c r="A833" s="28" t="s">
        <v>1525</v>
      </c>
      <c r="B833" s="28" t="s">
        <v>321</v>
      </c>
      <c r="C833" s="30">
        <v>44428</v>
      </c>
      <c r="D833" s="28">
        <v>679.15</v>
      </c>
      <c r="E833" s="28">
        <v>665</v>
      </c>
      <c r="F833" s="28">
        <v>686</v>
      </c>
      <c r="G833" s="28">
        <v>670.1</v>
      </c>
      <c r="H833" s="28">
        <v>674.64</v>
      </c>
      <c r="I833" s="28">
        <v>13626</v>
      </c>
      <c r="J833" s="28">
        <v>7021</v>
      </c>
      <c r="K833" s="28">
        <v>51.53</v>
      </c>
      <c r="L833" s="29">
        <f>SUM(NSE_BhavCopy[[#This Row],[ CLOSE_PRICE]]-NSE_BhavCopy[[#This Row],[ PREV_CLOSE]])/NSE_BhavCopy[[#This Row],[ PREV_CLOSE]]*100</f>
        <v>-1.3325480379886556</v>
      </c>
    </row>
    <row r="834" spans="1:12" hidden="1" x14ac:dyDescent="0.25">
      <c r="A834" s="28" t="s">
        <v>1064</v>
      </c>
      <c r="B834" s="28" t="s">
        <v>321</v>
      </c>
      <c r="C834" s="30">
        <v>44428</v>
      </c>
      <c r="D834" s="28">
        <v>343.15</v>
      </c>
      <c r="E834" s="28">
        <v>335.95</v>
      </c>
      <c r="F834" s="28">
        <v>345</v>
      </c>
      <c r="G834" s="28">
        <v>329.65</v>
      </c>
      <c r="H834" s="28">
        <v>336.81</v>
      </c>
      <c r="I834" s="28">
        <v>2599393</v>
      </c>
      <c r="J834" s="28">
        <v>1339033</v>
      </c>
      <c r="K834" s="28">
        <v>51.51</v>
      </c>
      <c r="L834" s="29">
        <f>SUM(NSE_BhavCopy[[#This Row],[ CLOSE_PRICE]]-NSE_BhavCopy[[#This Row],[ PREV_CLOSE]])/NSE_BhavCopy[[#This Row],[ PREV_CLOSE]]*100</f>
        <v>-3.9341395891009769</v>
      </c>
    </row>
    <row r="835" spans="1:12" hidden="1" x14ac:dyDescent="0.25">
      <c r="A835" s="28" t="s">
        <v>58</v>
      </c>
      <c r="B835" s="28" t="s">
        <v>321</v>
      </c>
      <c r="C835" s="30">
        <v>44428</v>
      </c>
      <c r="D835" s="28">
        <v>754.4</v>
      </c>
      <c r="E835" s="28">
        <v>745.8</v>
      </c>
      <c r="F835" s="28">
        <v>749</v>
      </c>
      <c r="G835" s="28">
        <v>740.25</v>
      </c>
      <c r="H835" s="28">
        <v>742.69</v>
      </c>
      <c r="I835" s="28">
        <v>6092036</v>
      </c>
      <c r="J835" s="28">
        <v>3137826</v>
      </c>
      <c r="K835" s="28">
        <v>51.51</v>
      </c>
      <c r="L835" s="29">
        <f>SUM(NSE_BhavCopy[[#This Row],[ CLOSE_PRICE]]-NSE_BhavCopy[[#This Row],[ PREV_CLOSE]])/NSE_BhavCopy[[#This Row],[ PREV_CLOSE]]*100</f>
        <v>-1.8756627783669111</v>
      </c>
    </row>
    <row r="836" spans="1:12" hidden="1" x14ac:dyDescent="0.25">
      <c r="A836" s="28" t="s">
        <v>1188</v>
      </c>
      <c r="B836" s="28" t="s">
        <v>321</v>
      </c>
      <c r="C836" s="30">
        <v>44428</v>
      </c>
      <c r="D836" s="28">
        <v>8.65</v>
      </c>
      <c r="E836" s="28">
        <v>8.8000000000000007</v>
      </c>
      <c r="F836" s="28">
        <v>9.1</v>
      </c>
      <c r="G836" s="28">
        <v>8.6999999999999993</v>
      </c>
      <c r="H836" s="28">
        <v>8.6999999999999993</v>
      </c>
      <c r="I836" s="28">
        <v>38477</v>
      </c>
      <c r="J836" s="28">
        <v>19820</v>
      </c>
      <c r="K836" s="28">
        <v>51.51</v>
      </c>
      <c r="L836" s="29">
        <f>SUM(NSE_BhavCopy[[#This Row],[ CLOSE_PRICE]]-NSE_BhavCopy[[#This Row],[ PREV_CLOSE]])/NSE_BhavCopy[[#This Row],[ PREV_CLOSE]]*100</f>
        <v>0.57803468208091247</v>
      </c>
    </row>
    <row r="837" spans="1:12" hidden="1" x14ac:dyDescent="0.25">
      <c r="A837" s="28" t="s">
        <v>1231</v>
      </c>
      <c r="B837" s="28" t="s">
        <v>321</v>
      </c>
      <c r="C837" s="30">
        <v>44428</v>
      </c>
      <c r="D837" s="28">
        <v>279.45</v>
      </c>
      <c r="E837" s="28">
        <v>276</v>
      </c>
      <c r="F837" s="28">
        <v>276</v>
      </c>
      <c r="G837" s="28">
        <v>267.35000000000002</v>
      </c>
      <c r="H837" s="28">
        <v>271.41000000000003</v>
      </c>
      <c r="I837" s="28">
        <v>48463</v>
      </c>
      <c r="J837" s="28">
        <v>24951</v>
      </c>
      <c r="K837" s="28">
        <v>51.48</v>
      </c>
      <c r="L837" s="29">
        <f>SUM(NSE_BhavCopy[[#This Row],[ CLOSE_PRICE]]-NSE_BhavCopy[[#This Row],[ PREV_CLOSE]])/NSE_BhavCopy[[#This Row],[ PREV_CLOSE]]*100</f>
        <v>-4.3299337985328199</v>
      </c>
    </row>
    <row r="838" spans="1:12" hidden="1" x14ac:dyDescent="0.25">
      <c r="A838" s="28" t="s">
        <v>556</v>
      </c>
      <c r="B838" s="28" t="s">
        <v>321</v>
      </c>
      <c r="C838" s="30">
        <v>44428</v>
      </c>
      <c r="D838" s="28">
        <v>673.45</v>
      </c>
      <c r="E838" s="28">
        <v>673.45</v>
      </c>
      <c r="F838" s="28">
        <v>673.45</v>
      </c>
      <c r="G838" s="28">
        <v>649.9</v>
      </c>
      <c r="H838" s="28">
        <v>656.23</v>
      </c>
      <c r="I838" s="28">
        <v>1384705</v>
      </c>
      <c r="J838" s="28">
        <v>712179</v>
      </c>
      <c r="K838" s="28">
        <v>51.43</v>
      </c>
      <c r="L838" s="29">
        <f>SUM(NSE_BhavCopy[[#This Row],[ CLOSE_PRICE]]-NSE_BhavCopy[[#This Row],[ PREV_CLOSE]])/NSE_BhavCopy[[#This Row],[ PREV_CLOSE]]*100</f>
        <v>-3.4969188506941964</v>
      </c>
    </row>
    <row r="839" spans="1:12" x14ac:dyDescent="0.25">
      <c r="A839" s="28" t="s">
        <v>1583</v>
      </c>
      <c r="B839" s="28" t="s">
        <v>321</v>
      </c>
      <c r="C839" s="30">
        <v>44428</v>
      </c>
      <c r="D839" s="28">
        <v>80.150000000000006</v>
      </c>
      <c r="E839" s="28">
        <v>76.2</v>
      </c>
      <c r="F839" s="28">
        <v>84.15</v>
      </c>
      <c r="G839" s="28">
        <v>81.7</v>
      </c>
      <c r="H839" s="28">
        <v>82.01</v>
      </c>
      <c r="I839" s="28">
        <v>126783</v>
      </c>
      <c r="J839" s="28">
        <v>65168</v>
      </c>
      <c r="K839" s="28">
        <v>51.4</v>
      </c>
      <c r="L839" s="29">
        <f>SUM(NSE_BhavCopy[[#This Row],[ CLOSE_PRICE]]-NSE_BhavCopy[[#This Row],[ PREV_CLOSE]])/NSE_BhavCopy[[#This Row],[ PREV_CLOSE]]*100</f>
        <v>1.9338739862757293</v>
      </c>
    </row>
    <row r="840" spans="1:12" hidden="1" x14ac:dyDescent="0.25">
      <c r="A840" s="28" t="s">
        <v>771</v>
      </c>
      <c r="B840" s="28" t="s">
        <v>321</v>
      </c>
      <c r="C840" s="30">
        <v>44428</v>
      </c>
      <c r="D840" s="28">
        <v>234.4</v>
      </c>
      <c r="E840" s="28">
        <v>231.7</v>
      </c>
      <c r="F840" s="28">
        <v>233.65</v>
      </c>
      <c r="G840" s="28">
        <v>222.3</v>
      </c>
      <c r="H840" s="28">
        <v>226.3</v>
      </c>
      <c r="I840" s="28">
        <v>237041</v>
      </c>
      <c r="J840" s="28">
        <v>121807</v>
      </c>
      <c r="K840" s="28">
        <v>51.39</v>
      </c>
      <c r="L840" s="29">
        <f>SUM(NSE_BhavCopy[[#This Row],[ CLOSE_PRICE]]-NSE_BhavCopy[[#This Row],[ PREV_CLOSE]])/NSE_BhavCopy[[#This Row],[ PREV_CLOSE]]*100</f>
        <v>-5.1621160409556293</v>
      </c>
    </row>
    <row r="841" spans="1:12" hidden="1" x14ac:dyDescent="0.25">
      <c r="A841" s="28" t="s">
        <v>984</v>
      </c>
      <c r="B841" s="28" t="s">
        <v>321</v>
      </c>
      <c r="C841" s="30">
        <v>44428</v>
      </c>
      <c r="D841" s="28">
        <v>50.7</v>
      </c>
      <c r="E841" s="28">
        <v>49.25</v>
      </c>
      <c r="F841" s="28">
        <v>51.45</v>
      </c>
      <c r="G841" s="28">
        <v>48.7</v>
      </c>
      <c r="H841" s="28">
        <v>49.52</v>
      </c>
      <c r="I841" s="28">
        <v>186858</v>
      </c>
      <c r="J841" s="28">
        <v>96005</v>
      </c>
      <c r="K841" s="28">
        <v>51.38</v>
      </c>
      <c r="L841" s="29">
        <f>SUM(NSE_BhavCopy[[#This Row],[ CLOSE_PRICE]]-NSE_BhavCopy[[#This Row],[ PREV_CLOSE]])/NSE_BhavCopy[[#This Row],[ PREV_CLOSE]]*100</f>
        <v>-3.9447731755424065</v>
      </c>
    </row>
    <row r="842" spans="1:12" hidden="1" x14ac:dyDescent="0.25">
      <c r="A842" s="28" t="s">
        <v>30</v>
      </c>
      <c r="B842" s="28" t="s">
        <v>321</v>
      </c>
      <c r="C842" s="30">
        <v>44428</v>
      </c>
      <c r="D842" s="28">
        <v>116.55</v>
      </c>
      <c r="E842" s="28">
        <v>116.3</v>
      </c>
      <c r="F842" s="28">
        <v>117</v>
      </c>
      <c r="G842" s="28">
        <v>114.15</v>
      </c>
      <c r="H842" s="28">
        <v>114.88</v>
      </c>
      <c r="I842" s="28">
        <v>11684504</v>
      </c>
      <c r="J842" s="28">
        <v>6003690</v>
      </c>
      <c r="K842" s="28">
        <v>51.38</v>
      </c>
      <c r="L842" s="29">
        <f>SUM(NSE_BhavCopy[[#This Row],[ CLOSE_PRICE]]-NSE_BhavCopy[[#This Row],[ PREV_CLOSE]])/NSE_BhavCopy[[#This Row],[ PREV_CLOSE]]*100</f>
        <v>-2.0592020592020517</v>
      </c>
    </row>
    <row r="843" spans="1:12" hidden="1" x14ac:dyDescent="0.25">
      <c r="A843" s="28" t="s">
        <v>1466</v>
      </c>
      <c r="B843" s="28" t="s">
        <v>321</v>
      </c>
      <c r="C843" s="30">
        <v>44428</v>
      </c>
      <c r="D843" s="28">
        <v>150.9</v>
      </c>
      <c r="E843" s="28">
        <v>148.5</v>
      </c>
      <c r="F843" s="28">
        <v>150.5</v>
      </c>
      <c r="G843" s="28">
        <v>143.65</v>
      </c>
      <c r="H843" s="28">
        <v>145.77000000000001</v>
      </c>
      <c r="I843" s="28">
        <v>300339</v>
      </c>
      <c r="J843" s="28">
        <v>154270</v>
      </c>
      <c r="K843" s="28">
        <v>51.37</v>
      </c>
      <c r="L843" s="29">
        <f>SUM(NSE_BhavCopy[[#This Row],[ CLOSE_PRICE]]-NSE_BhavCopy[[#This Row],[ PREV_CLOSE]])/NSE_BhavCopy[[#This Row],[ PREV_CLOSE]]*100</f>
        <v>-4.8045062955599729</v>
      </c>
    </row>
    <row r="844" spans="1:12" hidden="1" x14ac:dyDescent="0.25">
      <c r="A844" s="28" t="s">
        <v>1690</v>
      </c>
      <c r="B844" s="28" t="s">
        <v>321</v>
      </c>
      <c r="C844" s="30">
        <v>44428</v>
      </c>
      <c r="D844" s="28">
        <v>15.5</v>
      </c>
      <c r="E844" s="28">
        <v>15.5</v>
      </c>
      <c r="F844" s="28">
        <v>15.5</v>
      </c>
      <c r="G844" s="28">
        <v>14.75</v>
      </c>
      <c r="H844" s="28">
        <v>14.92</v>
      </c>
      <c r="I844" s="28">
        <v>335291</v>
      </c>
      <c r="J844" s="28">
        <v>172213</v>
      </c>
      <c r="K844" s="28">
        <v>51.36</v>
      </c>
      <c r="L844" s="29">
        <f>SUM(NSE_BhavCopy[[#This Row],[ CLOSE_PRICE]]-NSE_BhavCopy[[#This Row],[ PREV_CLOSE]])/NSE_BhavCopy[[#This Row],[ PREV_CLOSE]]*100</f>
        <v>-4.838709677419355</v>
      </c>
    </row>
    <row r="845" spans="1:12" hidden="1" x14ac:dyDescent="0.25">
      <c r="A845" s="28" t="s">
        <v>500</v>
      </c>
      <c r="B845" s="28" t="s">
        <v>321</v>
      </c>
      <c r="C845" s="30">
        <v>44428</v>
      </c>
      <c r="D845" s="28">
        <v>208.1</v>
      </c>
      <c r="E845" s="28">
        <v>205</v>
      </c>
      <c r="F845" s="28">
        <v>214.95</v>
      </c>
      <c r="G845" s="28">
        <v>203.3</v>
      </c>
      <c r="H845" s="28">
        <v>205.57</v>
      </c>
      <c r="I845" s="28">
        <v>108945</v>
      </c>
      <c r="J845" s="28">
        <v>55896</v>
      </c>
      <c r="K845" s="28">
        <v>51.31</v>
      </c>
      <c r="L845" s="29">
        <f>SUM(NSE_BhavCopy[[#This Row],[ CLOSE_PRICE]]-NSE_BhavCopy[[#This Row],[ PREV_CLOSE]])/NSE_BhavCopy[[#This Row],[ PREV_CLOSE]]*100</f>
        <v>-2.3065833733781753</v>
      </c>
    </row>
    <row r="846" spans="1:12" hidden="1" x14ac:dyDescent="0.25">
      <c r="A846" s="28" t="s">
        <v>983</v>
      </c>
      <c r="B846" s="28" t="s">
        <v>321</v>
      </c>
      <c r="C846" s="30">
        <v>44428</v>
      </c>
      <c r="D846" s="28">
        <v>34.75</v>
      </c>
      <c r="E846" s="28">
        <v>35.4</v>
      </c>
      <c r="F846" s="28">
        <v>35.4</v>
      </c>
      <c r="G846" s="28">
        <v>33.85</v>
      </c>
      <c r="H846" s="28">
        <v>34.090000000000003</v>
      </c>
      <c r="I846" s="28">
        <v>103640</v>
      </c>
      <c r="J846" s="28">
        <v>53177</v>
      </c>
      <c r="K846" s="28">
        <v>51.31</v>
      </c>
      <c r="L846" s="29">
        <f>SUM(NSE_BhavCopy[[#This Row],[ CLOSE_PRICE]]-NSE_BhavCopy[[#This Row],[ PREV_CLOSE]])/NSE_BhavCopy[[#This Row],[ PREV_CLOSE]]*100</f>
        <v>-2.5899280575539527</v>
      </c>
    </row>
    <row r="847" spans="1:12" hidden="1" x14ac:dyDescent="0.25">
      <c r="A847" s="28" t="s">
        <v>1063</v>
      </c>
      <c r="B847" s="28" t="s">
        <v>321</v>
      </c>
      <c r="C847" s="30">
        <v>44428</v>
      </c>
      <c r="D847" s="28">
        <v>1124.5</v>
      </c>
      <c r="E847" s="28">
        <v>1100</v>
      </c>
      <c r="F847" s="28">
        <v>1120.75</v>
      </c>
      <c r="G847" s="28">
        <v>1088.1500000000001</v>
      </c>
      <c r="H847" s="28">
        <v>1089.3</v>
      </c>
      <c r="I847" s="28">
        <v>54217</v>
      </c>
      <c r="J847" s="28">
        <v>27817</v>
      </c>
      <c r="K847" s="28">
        <v>51.31</v>
      </c>
      <c r="L847" s="29">
        <f>SUM(NSE_BhavCopy[[#This Row],[ CLOSE_PRICE]]-NSE_BhavCopy[[#This Row],[ PREV_CLOSE]])/NSE_BhavCopy[[#This Row],[ PREV_CLOSE]]*100</f>
        <v>-3.2325477990217797</v>
      </c>
    </row>
    <row r="848" spans="1:12" hidden="1" x14ac:dyDescent="0.25">
      <c r="A848" s="28" t="s">
        <v>876</v>
      </c>
      <c r="B848" s="28" t="s">
        <v>321</v>
      </c>
      <c r="C848" s="30">
        <v>44428</v>
      </c>
      <c r="D848" s="28">
        <v>756.35</v>
      </c>
      <c r="E848" s="28">
        <v>725</v>
      </c>
      <c r="F848" s="28">
        <v>759.4</v>
      </c>
      <c r="G848" s="28">
        <v>708.3</v>
      </c>
      <c r="H848" s="28">
        <v>725.83</v>
      </c>
      <c r="I848" s="28">
        <v>89972</v>
      </c>
      <c r="J848" s="28">
        <v>46139</v>
      </c>
      <c r="K848" s="28">
        <v>51.28</v>
      </c>
      <c r="L848" s="29">
        <f>SUM(NSE_BhavCopy[[#This Row],[ CLOSE_PRICE]]-NSE_BhavCopy[[#This Row],[ PREV_CLOSE]])/NSE_BhavCopy[[#This Row],[ PREV_CLOSE]]*100</f>
        <v>-6.3528789581543021</v>
      </c>
    </row>
    <row r="849" spans="1:12" hidden="1" x14ac:dyDescent="0.25">
      <c r="A849" s="28" t="s">
        <v>1332</v>
      </c>
      <c r="B849" s="28" t="s">
        <v>321</v>
      </c>
      <c r="C849" s="30">
        <v>44428</v>
      </c>
      <c r="D849" s="28">
        <v>262.05</v>
      </c>
      <c r="E849" s="28">
        <v>267.3</v>
      </c>
      <c r="F849" s="28">
        <v>272</v>
      </c>
      <c r="G849" s="28">
        <v>263.3</v>
      </c>
      <c r="H849" s="28">
        <v>266.27999999999997</v>
      </c>
      <c r="I849" s="28">
        <v>73146</v>
      </c>
      <c r="J849" s="28">
        <v>37511</v>
      </c>
      <c r="K849" s="28">
        <v>51.28</v>
      </c>
      <c r="L849" s="29">
        <f>SUM(NSE_BhavCopy[[#This Row],[ CLOSE_PRICE]]-NSE_BhavCopy[[#This Row],[ PREV_CLOSE]])/NSE_BhavCopy[[#This Row],[ PREV_CLOSE]]*100</f>
        <v>0.47700820454111809</v>
      </c>
    </row>
    <row r="850" spans="1:12" hidden="1" x14ac:dyDescent="0.25">
      <c r="A850" s="28" t="s">
        <v>387</v>
      </c>
      <c r="B850" s="28" t="s">
        <v>321</v>
      </c>
      <c r="C850" s="30">
        <v>44428</v>
      </c>
      <c r="D850" s="28">
        <v>6.9</v>
      </c>
      <c r="E850" s="28">
        <v>7.05</v>
      </c>
      <c r="F850" s="28">
        <v>7.05</v>
      </c>
      <c r="G850" s="28">
        <v>6.7</v>
      </c>
      <c r="H850" s="28">
        <v>6.76</v>
      </c>
      <c r="I850" s="28">
        <v>115465</v>
      </c>
      <c r="J850" s="28">
        <v>59163</v>
      </c>
      <c r="K850" s="28">
        <v>51.24</v>
      </c>
      <c r="L850" s="29">
        <f>SUM(NSE_BhavCopy[[#This Row],[ CLOSE_PRICE]]-NSE_BhavCopy[[#This Row],[ PREV_CLOSE]])/NSE_BhavCopy[[#This Row],[ PREV_CLOSE]]*100</f>
        <v>-2.8985507246376838</v>
      </c>
    </row>
    <row r="851" spans="1:12" hidden="1" x14ac:dyDescent="0.25">
      <c r="A851" s="28" t="s">
        <v>1096</v>
      </c>
      <c r="B851" s="28" t="s">
        <v>321</v>
      </c>
      <c r="C851" s="30">
        <v>44428</v>
      </c>
      <c r="D851" s="28">
        <v>490.4</v>
      </c>
      <c r="E851" s="28">
        <v>489</v>
      </c>
      <c r="F851" s="28">
        <v>492.05</v>
      </c>
      <c r="G851" s="28">
        <v>481.2</v>
      </c>
      <c r="H851" s="28">
        <v>486.87</v>
      </c>
      <c r="I851" s="28">
        <v>63280</v>
      </c>
      <c r="J851" s="28">
        <v>32409</v>
      </c>
      <c r="K851" s="28">
        <v>51.22</v>
      </c>
      <c r="L851" s="29">
        <f>SUM(NSE_BhavCopy[[#This Row],[ CLOSE_PRICE]]-NSE_BhavCopy[[#This Row],[ PREV_CLOSE]])/NSE_BhavCopy[[#This Row],[ PREV_CLOSE]]*100</f>
        <v>-1.8760195758564417</v>
      </c>
    </row>
    <row r="852" spans="1:12" hidden="1" x14ac:dyDescent="0.25">
      <c r="A852" s="28" t="s">
        <v>1103</v>
      </c>
      <c r="B852" s="28" t="s">
        <v>321</v>
      </c>
      <c r="C852" s="30">
        <v>44428</v>
      </c>
      <c r="D852" s="28">
        <v>214.3</v>
      </c>
      <c r="E852" s="28">
        <v>209.5</v>
      </c>
      <c r="F852" s="28">
        <v>211.85</v>
      </c>
      <c r="G852" s="28">
        <v>203.3</v>
      </c>
      <c r="H852" s="28">
        <v>206.05</v>
      </c>
      <c r="I852" s="28">
        <v>12932784</v>
      </c>
      <c r="J852" s="28">
        <v>6611079</v>
      </c>
      <c r="K852" s="28">
        <v>51.12</v>
      </c>
      <c r="L852" s="29">
        <f>SUM(NSE_BhavCopy[[#This Row],[ CLOSE_PRICE]]-NSE_BhavCopy[[#This Row],[ PREV_CLOSE]])/NSE_BhavCopy[[#This Row],[ PREV_CLOSE]]*100</f>
        <v>-5.1329911339244045</v>
      </c>
    </row>
    <row r="853" spans="1:12" hidden="1" x14ac:dyDescent="0.25">
      <c r="A853" s="28" t="s">
        <v>664</v>
      </c>
      <c r="B853" s="28" t="s">
        <v>321</v>
      </c>
      <c r="C853" s="30">
        <v>44428</v>
      </c>
      <c r="D853" s="28">
        <v>343.95</v>
      </c>
      <c r="E853" s="28">
        <v>343</v>
      </c>
      <c r="F853" s="28">
        <v>350</v>
      </c>
      <c r="G853" s="28">
        <v>336.4</v>
      </c>
      <c r="H853" s="28">
        <v>341.98</v>
      </c>
      <c r="I853" s="28">
        <v>150229</v>
      </c>
      <c r="J853" s="28">
        <v>76765</v>
      </c>
      <c r="K853" s="28">
        <v>51.1</v>
      </c>
      <c r="L853" s="29">
        <f>SUM(NSE_BhavCopy[[#This Row],[ CLOSE_PRICE]]-NSE_BhavCopy[[#This Row],[ PREV_CLOSE]])/NSE_BhavCopy[[#This Row],[ PREV_CLOSE]]*100</f>
        <v>-2.1950864951301092</v>
      </c>
    </row>
    <row r="854" spans="1:12" hidden="1" x14ac:dyDescent="0.25">
      <c r="A854" s="28" t="s">
        <v>701</v>
      </c>
      <c r="B854" s="28" t="s">
        <v>321</v>
      </c>
      <c r="C854" s="30">
        <v>44428</v>
      </c>
      <c r="D854" s="28">
        <v>302.39999999999998</v>
      </c>
      <c r="E854" s="28">
        <v>300.60000000000002</v>
      </c>
      <c r="F854" s="28">
        <v>300.60000000000002</v>
      </c>
      <c r="G854" s="28">
        <v>297.25</v>
      </c>
      <c r="H854" s="28">
        <v>296.73</v>
      </c>
      <c r="I854" s="28">
        <v>212668</v>
      </c>
      <c r="J854" s="28">
        <v>108558</v>
      </c>
      <c r="K854" s="28">
        <v>51.05</v>
      </c>
      <c r="L854" s="29">
        <f>SUM(NSE_BhavCopy[[#This Row],[ CLOSE_PRICE]]-NSE_BhavCopy[[#This Row],[ PREV_CLOSE]])/NSE_BhavCopy[[#This Row],[ PREV_CLOSE]]*100</f>
        <v>-1.7030423280423206</v>
      </c>
    </row>
    <row r="855" spans="1:12" hidden="1" x14ac:dyDescent="0.25">
      <c r="A855" s="28" t="s">
        <v>861</v>
      </c>
      <c r="B855" s="28" t="s">
        <v>321</v>
      </c>
      <c r="C855" s="30">
        <v>44428</v>
      </c>
      <c r="D855" s="28">
        <v>2391.1999999999998</v>
      </c>
      <c r="E855" s="28">
        <v>2395</v>
      </c>
      <c r="F855" s="28">
        <v>2445</v>
      </c>
      <c r="G855" s="28">
        <v>2433</v>
      </c>
      <c r="H855" s="28">
        <v>2415.63</v>
      </c>
      <c r="I855" s="28">
        <v>40574</v>
      </c>
      <c r="J855" s="28">
        <v>20710</v>
      </c>
      <c r="K855" s="28">
        <v>51.04</v>
      </c>
      <c r="L855" s="29">
        <f>SUM(NSE_BhavCopy[[#This Row],[ CLOSE_PRICE]]-NSE_BhavCopy[[#This Row],[ PREV_CLOSE]])/NSE_BhavCopy[[#This Row],[ PREV_CLOSE]]*100</f>
        <v>1.7480762796922127</v>
      </c>
    </row>
    <row r="856" spans="1:12" hidden="1" x14ac:dyDescent="0.25">
      <c r="A856" s="28" t="s">
        <v>1541</v>
      </c>
      <c r="B856" s="28" t="s">
        <v>321</v>
      </c>
      <c r="C856" s="30">
        <v>44428</v>
      </c>
      <c r="D856" s="28">
        <v>77.45</v>
      </c>
      <c r="E856" s="28">
        <v>75.900000000000006</v>
      </c>
      <c r="F856" s="28">
        <v>76.95</v>
      </c>
      <c r="G856" s="28">
        <v>72.05</v>
      </c>
      <c r="H856" s="28">
        <v>72.83</v>
      </c>
      <c r="I856" s="28">
        <v>48705</v>
      </c>
      <c r="J856" s="28">
        <v>24850</v>
      </c>
      <c r="K856" s="28">
        <v>51.02</v>
      </c>
      <c r="L856" s="29">
        <f>SUM(NSE_BhavCopy[[#This Row],[ CLOSE_PRICE]]-NSE_BhavCopy[[#This Row],[ PREV_CLOSE]])/NSE_BhavCopy[[#This Row],[ PREV_CLOSE]]*100</f>
        <v>-6.9722401549386772</v>
      </c>
    </row>
    <row r="857" spans="1:12" hidden="1" x14ac:dyDescent="0.25">
      <c r="A857" s="28" t="s">
        <v>1509</v>
      </c>
      <c r="B857" s="28" t="s">
        <v>321</v>
      </c>
      <c r="C857" s="30">
        <v>44428</v>
      </c>
      <c r="D857" s="28">
        <v>1548.15</v>
      </c>
      <c r="E857" s="28">
        <v>1540</v>
      </c>
      <c r="F857" s="28">
        <v>1550</v>
      </c>
      <c r="G857" s="28">
        <v>1531.5</v>
      </c>
      <c r="H857" s="28">
        <v>1535.48</v>
      </c>
      <c r="I857" s="28">
        <v>26904</v>
      </c>
      <c r="J857" s="28">
        <v>13724</v>
      </c>
      <c r="K857" s="28">
        <v>51.01</v>
      </c>
      <c r="L857" s="29">
        <f>SUM(NSE_BhavCopy[[#This Row],[ CLOSE_PRICE]]-NSE_BhavCopy[[#This Row],[ PREV_CLOSE]])/NSE_BhavCopy[[#This Row],[ PREV_CLOSE]]*100</f>
        <v>-1.0754771824435674</v>
      </c>
    </row>
    <row r="858" spans="1:12" hidden="1" x14ac:dyDescent="0.25">
      <c r="A858" s="28" t="s">
        <v>839</v>
      </c>
      <c r="B858" s="28" t="s">
        <v>321</v>
      </c>
      <c r="C858" s="30">
        <v>44428</v>
      </c>
      <c r="D858" s="28">
        <v>48</v>
      </c>
      <c r="E858" s="28">
        <v>48</v>
      </c>
      <c r="F858" s="28">
        <v>48</v>
      </c>
      <c r="G858" s="28">
        <v>44.15</v>
      </c>
      <c r="H858" s="28">
        <v>45.03</v>
      </c>
      <c r="I858" s="28">
        <v>14850876</v>
      </c>
      <c r="J858" s="28">
        <v>7566785</v>
      </c>
      <c r="K858" s="28">
        <v>50.95</v>
      </c>
      <c r="L858" s="29">
        <f>SUM(NSE_BhavCopy[[#This Row],[ CLOSE_PRICE]]-NSE_BhavCopy[[#This Row],[ PREV_CLOSE]])/NSE_BhavCopy[[#This Row],[ PREV_CLOSE]]*100</f>
        <v>-8.0208333333333375</v>
      </c>
    </row>
    <row r="859" spans="1:12" hidden="1" x14ac:dyDescent="0.25">
      <c r="A859" s="28" t="s">
        <v>1213</v>
      </c>
      <c r="B859" s="28" t="s">
        <v>321</v>
      </c>
      <c r="C859" s="30">
        <v>44428</v>
      </c>
      <c r="D859" s="28">
        <v>3214.45</v>
      </c>
      <c r="E859" s="28">
        <v>3248</v>
      </c>
      <c r="F859" s="28">
        <v>3248</v>
      </c>
      <c r="G859" s="28">
        <v>3181.7</v>
      </c>
      <c r="H859" s="28">
        <v>3198.93</v>
      </c>
      <c r="I859" s="28">
        <v>216525</v>
      </c>
      <c r="J859" s="28">
        <v>110328</v>
      </c>
      <c r="K859" s="28">
        <v>50.95</v>
      </c>
      <c r="L859" s="29">
        <f>SUM(NSE_BhavCopy[[#This Row],[ CLOSE_PRICE]]-NSE_BhavCopy[[#This Row],[ PREV_CLOSE]])/NSE_BhavCopy[[#This Row],[ PREV_CLOSE]]*100</f>
        <v>-1.0188368150072331</v>
      </c>
    </row>
    <row r="860" spans="1:12" x14ac:dyDescent="0.25">
      <c r="A860" s="28" t="s">
        <v>1568</v>
      </c>
      <c r="B860" s="28" t="s">
        <v>321</v>
      </c>
      <c r="C860" s="30">
        <v>44428</v>
      </c>
      <c r="D860" s="28">
        <v>791</v>
      </c>
      <c r="E860" s="28">
        <v>794</v>
      </c>
      <c r="F860" s="28">
        <v>810</v>
      </c>
      <c r="G860" s="28">
        <v>806.65</v>
      </c>
      <c r="H860" s="28">
        <v>800.07</v>
      </c>
      <c r="I860" s="28">
        <v>1225083</v>
      </c>
      <c r="J860" s="28">
        <v>623779</v>
      </c>
      <c r="K860" s="28">
        <v>50.92</v>
      </c>
      <c r="L860" s="29">
        <f>SUM(NSE_BhavCopy[[#This Row],[ CLOSE_PRICE]]-NSE_BhavCopy[[#This Row],[ PREV_CLOSE]])/NSE_BhavCopy[[#This Row],[ PREV_CLOSE]]*100</f>
        <v>1.9785082174462676</v>
      </c>
    </row>
    <row r="861" spans="1:12" hidden="1" x14ac:dyDescent="0.25">
      <c r="A861" s="28" t="s">
        <v>609</v>
      </c>
      <c r="B861" s="28" t="s">
        <v>321</v>
      </c>
      <c r="C861" s="30">
        <v>44428</v>
      </c>
      <c r="D861" s="28">
        <v>104.45</v>
      </c>
      <c r="E861" s="28">
        <v>101</v>
      </c>
      <c r="F861" s="28">
        <v>103.95</v>
      </c>
      <c r="G861" s="28">
        <v>100.75</v>
      </c>
      <c r="H861" s="28">
        <v>101.78</v>
      </c>
      <c r="I861" s="28">
        <v>420512</v>
      </c>
      <c r="J861" s="28">
        <v>213862</v>
      </c>
      <c r="K861" s="28">
        <v>50.86</v>
      </c>
      <c r="L861" s="29">
        <f>SUM(NSE_BhavCopy[[#This Row],[ CLOSE_PRICE]]-NSE_BhavCopy[[#This Row],[ PREV_CLOSE]])/NSE_BhavCopy[[#This Row],[ PREV_CLOSE]]*100</f>
        <v>-3.5423647678315011</v>
      </c>
    </row>
    <row r="862" spans="1:12" hidden="1" x14ac:dyDescent="0.25">
      <c r="A862" s="28" t="s">
        <v>1573</v>
      </c>
      <c r="B862" s="28" t="s">
        <v>321</v>
      </c>
      <c r="C862" s="30">
        <v>44428</v>
      </c>
      <c r="D862" s="28">
        <v>1220.05</v>
      </c>
      <c r="E862" s="28">
        <v>1209.1500000000001</v>
      </c>
      <c r="F862" s="28">
        <v>1224</v>
      </c>
      <c r="G862" s="28">
        <v>1196.3499999999999</v>
      </c>
      <c r="H862" s="28">
        <v>1207.33</v>
      </c>
      <c r="I862" s="28">
        <v>7014</v>
      </c>
      <c r="J862" s="28">
        <v>3567</v>
      </c>
      <c r="K862" s="28">
        <v>50.86</v>
      </c>
      <c r="L862" s="29">
        <f>SUM(NSE_BhavCopy[[#This Row],[ CLOSE_PRICE]]-NSE_BhavCopy[[#This Row],[ PREV_CLOSE]])/NSE_BhavCopy[[#This Row],[ PREV_CLOSE]]*100</f>
        <v>-1.9425433383877748</v>
      </c>
    </row>
    <row r="863" spans="1:12" hidden="1" x14ac:dyDescent="0.25">
      <c r="A863" s="28" t="s">
        <v>865</v>
      </c>
      <c r="B863" s="28" t="s">
        <v>321</v>
      </c>
      <c r="C863" s="30">
        <v>44428</v>
      </c>
      <c r="D863" s="28">
        <v>338.25</v>
      </c>
      <c r="E863" s="28">
        <v>314</v>
      </c>
      <c r="F863" s="28">
        <v>324.89999999999998</v>
      </c>
      <c r="G863" s="28">
        <v>296.25</v>
      </c>
      <c r="H863" s="28">
        <v>303.99</v>
      </c>
      <c r="I863" s="28">
        <v>1776026</v>
      </c>
      <c r="J863" s="28">
        <v>901957</v>
      </c>
      <c r="K863" s="28">
        <v>50.79</v>
      </c>
      <c r="L863" s="29">
        <f>SUM(NSE_BhavCopy[[#This Row],[ CLOSE_PRICE]]-NSE_BhavCopy[[#This Row],[ PREV_CLOSE]])/NSE_BhavCopy[[#This Row],[ PREV_CLOSE]]*100</f>
        <v>-12.416851441241686</v>
      </c>
    </row>
    <row r="864" spans="1:12" hidden="1" x14ac:dyDescent="0.25">
      <c r="A864" s="28" t="s">
        <v>459</v>
      </c>
      <c r="B864" s="28" t="s">
        <v>321</v>
      </c>
      <c r="C864" s="30">
        <v>44428</v>
      </c>
      <c r="D864" s="28">
        <v>358.57</v>
      </c>
      <c r="E864" s="28">
        <v>358</v>
      </c>
      <c r="F864" s="28">
        <v>358</v>
      </c>
      <c r="G864" s="28">
        <v>352.95</v>
      </c>
      <c r="H864" s="28">
        <v>353.57</v>
      </c>
      <c r="I864" s="28">
        <v>971238</v>
      </c>
      <c r="J864" s="28">
        <v>492902</v>
      </c>
      <c r="K864" s="28">
        <v>50.75</v>
      </c>
      <c r="L864" s="29">
        <f>SUM(NSE_BhavCopy[[#This Row],[ CLOSE_PRICE]]-NSE_BhavCopy[[#This Row],[ PREV_CLOSE]])/NSE_BhavCopy[[#This Row],[ PREV_CLOSE]]*100</f>
        <v>-1.5673369216610438</v>
      </c>
    </row>
    <row r="865" spans="1:12" hidden="1" x14ac:dyDescent="0.25">
      <c r="A865" s="28" t="s">
        <v>751</v>
      </c>
      <c r="B865" s="28" t="s">
        <v>321</v>
      </c>
      <c r="C865" s="30">
        <v>44428</v>
      </c>
      <c r="D865" s="28">
        <v>104.8</v>
      </c>
      <c r="E865" s="28">
        <v>103.8</v>
      </c>
      <c r="F865" s="28">
        <v>107.35</v>
      </c>
      <c r="G865" s="28">
        <v>103.3</v>
      </c>
      <c r="H865" s="28">
        <v>104.99</v>
      </c>
      <c r="I865" s="28">
        <v>1875782</v>
      </c>
      <c r="J865" s="28">
        <v>950495</v>
      </c>
      <c r="K865" s="28">
        <v>50.67</v>
      </c>
      <c r="L865" s="29">
        <f>SUM(NSE_BhavCopy[[#This Row],[ CLOSE_PRICE]]-NSE_BhavCopy[[#This Row],[ PREV_CLOSE]])/NSE_BhavCopy[[#This Row],[ PREV_CLOSE]]*100</f>
        <v>-1.4312977099236641</v>
      </c>
    </row>
    <row r="866" spans="1:12" hidden="1" x14ac:dyDescent="0.25">
      <c r="A866" s="28" t="s">
        <v>1351</v>
      </c>
      <c r="B866" s="28" t="s">
        <v>321</v>
      </c>
      <c r="C866" s="30">
        <v>44428</v>
      </c>
      <c r="D866" s="28">
        <v>726.85</v>
      </c>
      <c r="E866" s="28">
        <v>719.95</v>
      </c>
      <c r="F866" s="28">
        <v>735</v>
      </c>
      <c r="G866" s="28">
        <v>717</v>
      </c>
      <c r="H866" s="28">
        <v>721.72</v>
      </c>
      <c r="I866" s="28">
        <v>45851</v>
      </c>
      <c r="J866" s="28">
        <v>23228</v>
      </c>
      <c r="K866" s="28">
        <v>50.66</v>
      </c>
      <c r="L866" s="29">
        <f>SUM(NSE_BhavCopy[[#This Row],[ CLOSE_PRICE]]-NSE_BhavCopy[[#This Row],[ PREV_CLOSE]])/NSE_BhavCopy[[#This Row],[ PREV_CLOSE]]*100</f>
        <v>-1.3551626883125847</v>
      </c>
    </row>
    <row r="867" spans="1:12" hidden="1" x14ac:dyDescent="0.25">
      <c r="A867" s="28" t="s">
        <v>31</v>
      </c>
      <c r="B867" s="28" t="s">
        <v>321</v>
      </c>
      <c r="C867" s="30">
        <v>44428</v>
      </c>
      <c r="D867" s="28">
        <v>463.5</v>
      </c>
      <c r="E867" s="28">
        <v>461.8</v>
      </c>
      <c r="F867" s="28">
        <v>465.5</v>
      </c>
      <c r="G867" s="28">
        <v>455.2</v>
      </c>
      <c r="H867" s="28">
        <v>458.09</v>
      </c>
      <c r="I867" s="28">
        <v>6057409</v>
      </c>
      <c r="J867" s="28">
        <v>3068226</v>
      </c>
      <c r="K867" s="28">
        <v>50.65</v>
      </c>
      <c r="L867" s="29">
        <f>SUM(NSE_BhavCopy[[#This Row],[ CLOSE_PRICE]]-NSE_BhavCopy[[#This Row],[ PREV_CLOSE]])/NSE_BhavCopy[[#This Row],[ PREV_CLOSE]]*100</f>
        <v>-1.7907227615965506</v>
      </c>
    </row>
    <row r="868" spans="1:12" hidden="1" x14ac:dyDescent="0.25">
      <c r="A868" s="28" t="s">
        <v>436</v>
      </c>
      <c r="B868" s="28" t="s">
        <v>321</v>
      </c>
      <c r="C868" s="30">
        <v>44428</v>
      </c>
      <c r="D868" s="28">
        <v>354.84</v>
      </c>
      <c r="E868" s="28">
        <v>352</v>
      </c>
      <c r="F868" s="28">
        <v>354.21</v>
      </c>
      <c r="G868" s="28">
        <v>352.61</v>
      </c>
      <c r="H868" s="28">
        <v>352.03</v>
      </c>
      <c r="I868" s="28">
        <v>496</v>
      </c>
      <c r="J868" s="28">
        <v>251</v>
      </c>
      <c r="K868" s="28">
        <v>50.6</v>
      </c>
      <c r="L868" s="29">
        <f>SUM(NSE_BhavCopy[[#This Row],[ CLOSE_PRICE]]-NSE_BhavCopy[[#This Row],[ PREV_CLOSE]])/NSE_BhavCopy[[#This Row],[ PREV_CLOSE]]*100</f>
        <v>-0.62845226017358846</v>
      </c>
    </row>
    <row r="869" spans="1:12" hidden="1" x14ac:dyDescent="0.25">
      <c r="A869" s="28" t="s">
        <v>1759</v>
      </c>
      <c r="B869" s="28" t="s">
        <v>321</v>
      </c>
      <c r="C869" s="30">
        <v>44428</v>
      </c>
      <c r="D869" s="28">
        <v>6.55</v>
      </c>
      <c r="E869" s="28">
        <v>6.55</v>
      </c>
      <c r="F869" s="28">
        <v>7</v>
      </c>
      <c r="G869" s="28">
        <v>6.65</v>
      </c>
      <c r="H869" s="28">
        <v>6.68</v>
      </c>
      <c r="I869" s="28">
        <v>31330</v>
      </c>
      <c r="J869" s="28">
        <v>15832</v>
      </c>
      <c r="K869" s="28">
        <v>50.53</v>
      </c>
      <c r="L869" s="29">
        <f>SUM(NSE_BhavCopy[[#This Row],[ CLOSE_PRICE]]-NSE_BhavCopy[[#This Row],[ PREV_CLOSE]])/NSE_BhavCopy[[#This Row],[ PREV_CLOSE]]*100</f>
        <v>1.5267175572519165</v>
      </c>
    </row>
    <row r="870" spans="1:12" hidden="1" x14ac:dyDescent="0.25">
      <c r="A870" s="28" t="s">
        <v>765</v>
      </c>
      <c r="B870" s="28" t="s">
        <v>321</v>
      </c>
      <c r="C870" s="30">
        <v>44428</v>
      </c>
      <c r="D870" s="28">
        <v>932</v>
      </c>
      <c r="E870" s="28">
        <v>929</v>
      </c>
      <c r="F870" s="28">
        <v>939</v>
      </c>
      <c r="G870" s="28">
        <v>920.8</v>
      </c>
      <c r="H870" s="28">
        <v>929.08</v>
      </c>
      <c r="I870" s="28">
        <v>34850</v>
      </c>
      <c r="J870" s="28">
        <v>17600</v>
      </c>
      <c r="K870" s="28">
        <v>50.5</v>
      </c>
      <c r="L870" s="29">
        <f>SUM(NSE_BhavCopy[[#This Row],[ CLOSE_PRICE]]-NSE_BhavCopy[[#This Row],[ PREV_CLOSE]])/NSE_BhavCopy[[#This Row],[ PREV_CLOSE]]*100</f>
        <v>-1.2017167381974299</v>
      </c>
    </row>
    <row r="871" spans="1:12" hidden="1" x14ac:dyDescent="0.25">
      <c r="A871" s="28" t="s">
        <v>423</v>
      </c>
      <c r="B871" s="28" t="s">
        <v>321</v>
      </c>
      <c r="C871" s="30">
        <v>44428</v>
      </c>
      <c r="D871" s="28">
        <v>153</v>
      </c>
      <c r="E871" s="28">
        <v>150</v>
      </c>
      <c r="F871" s="28">
        <v>155.44999999999999</v>
      </c>
      <c r="G871" s="28">
        <v>152.35</v>
      </c>
      <c r="H871" s="28">
        <v>152.12</v>
      </c>
      <c r="I871" s="28">
        <v>311171</v>
      </c>
      <c r="J871" s="28">
        <v>156948</v>
      </c>
      <c r="K871" s="28">
        <v>50.44</v>
      </c>
      <c r="L871" s="29">
        <f>SUM(NSE_BhavCopy[[#This Row],[ CLOSE_PRICE]]-NSE_BhavCopy[[#This Row],[ PREV_CLOSE]])/NSE_BhavCopy[[#This Row],[ PREV_CLOSE]]*100</f>
        <v>-0.42483660130719325</v>
      </c>
    </row>
    <row r="872" spans="1:12" hidden="1" x14ac:dyDescent="0.25">
      <c r="A872" s="28" t="s">
        <v>425</v>
      </c>
      <c r="B872" s="28" t="s">
        <v>321</v>
      </c>
      <c r="C872" s="30">
        <v>44428</v>
      </c>
      <c r="D872" s="28">
        <v>60.2</v>
      </c>
      <c r="E872" s="28">
        <v>58</v>
      </c>
      <c r="F872" s="28">
        <v>63.45</v>
      </c>
      <c r="G872" s="28">
        <v>60</v>
      </c>
      <c r="H872" s="28">
        <v>60.84</v>
      </c>
      <c r="I872" s="28">
        <v>839083</v>
      </c>
      <c r="J872" s="28">
        <v>423112</v>
      </c>
      <c r="K872" s="28">
        <v>50.43</v>
      </c>
      <c r="L872" s="29">
        <f>SUM(NSE_BhavCopy[[#This Row],[ CLOSE_PRICE]]-NSE_BhavCopy[[#This Row],[ PREV_CLOSE]])/NSE_BhavCopy[[#This Row],[ PREV_CLOSE]]*100</f>
        <v>-0.33222591362126713</v>
      </c>
    </row>
    <row r="873" spans="1:12" hidden="1" x14ac:dyDescent="0.25">
      <c r="A873" s="28" t="s">
        <v>1559</v>
      </c>
      <c r="B873" s="28" t="s">
        <v>321</v>
      </c>
      <c r="C873" s="30">
        <v>44428</v>
      </c>
      <c r="D873" s="28">
        <v>1101.2</v>
      </c>
      <c r="E873" s="28">
        <v>1114</v>
      </c>
      <c r="F873" s="28">
        <v>1142.4000000000001</v>
      </c>
      <c r="G873" s="28">
        <v>1122.8</v>
      </c>
      <c r="H873" s="28">
        <v>1122.68</v>
      </c>
      <c r="I873" s="28">
        <v>18432</v>
      </c>
      <c r="J873" s="28">
        <v>9293</v>
      </c>
      <c r="K873" s="28">
        <v>50.42</v>
      </c>
      <c r="L873" s="29">
        <f>SUM(NSE_BhavCopy[[#This Row],[ CLOSE_PRICE]]-NSE_BhavCopy[[#This Row],[ PREV_CLOSE]])/NSE_BhavCopy[[#This Row],[ PREV_CLOSE]]*100</f>
        <v>1.9614965492190255</v>
      </c>
    </row>
    <row r="874" spans="1:12" hidden="1" x14ac:dyDescent="0.25">
      <c r="A874" s="28" t="s">
        <v>388</v>
      </c>
      <c r="B874" s="28" t="s">
        <v>321</v>
      </c>
      <c r="C874" s="30">
        <v>44428</v>
      </c>
      <c r="D874" s="28">
        <v>1005.35</v>
      </c>
      <c r="E874" s="28">
        <v>1000</v>
      </c>
      <c r="F874" s="28">
        <v>1000</v>
      </c>
      <c r="G874" s="28">
        <v>964.35</v>
      </c>
      <c r="H874" s="28">
        <v>975.47</v>
      </c>
      <c r="I874" s="28">
        <v>35567</v>
      </c>
      <c r="J874" s="28">
        <v>17892</v>
      </c>
      <c r="K874" s="28">
        <v>50.31</v>
      </c>
      <c r="L874" s="29">
        <f>SUM(NSE_BhavCopy[[#This Row],[ CLOSE_PRICE]]-NSE_BhavCopy[[#This Row],[ PREV_CLOSE]])/NSE_BhavCopy[[#This Row],[ PREV_CLOSE]]*100</f>
        <v>-4.0781817277565029</v>
      </c>
    </row>
    <row r="875" spans="1:12" hidden="1" x14ac:dyDescent="0.25">
      <c r="A875" s="28" t="s">
        <v>580</v>
      </c>
      <c r="B875" s="28" t="s">
        <v>321</v>
      </c>
      <c r="C875" s="30">
        <v>44428</v>
      </c>
      <c r="D875" s="28">
        <v>291.05</v>
      </c>
      <c r="E875" s="28">
        <v>282.2</v>
      </c>
      <c r="F875" s="28">
        <v>287.89999999999998</v>
      </c>
      <c r="G875" s="28">
        <v>276.60000000000002</v>
      </c>
      <c r="H875" s="28">
        <v>277.32</v>
      </c>
      <c r="I875" s="28">
        <v>294462</v>
      </c>
      <c r="J875" s="28">
        <v>148102</v>
      </c>
      <c r="K875" s="28">
        <v>50.3</v>
      </c>
      <c r="L875" s="29">
        <f>SUM(NSE_BhavCopy[[#This Row],[ CLOSE_PRICE]]-NSE_BhavCopy[[#This Row],[ PREV_CLOSE]])/NSE_BhavCopy[[#This Row],[ PREV_CLOSE]]*100</f>
        <v>-4.96478268338773</v>
      </c>
    </row>
    <row r="876" spans="1:12" hidden="1" x14ac:dyDescent="0.25">
      <c r="A876" s="28" t="s">
        <v>1081</v>
      </c>
      <c r="B876" s="28" t="s">
        <v>321</v>
      </c>
      <c r="C876" s="30">
        <v>44428</v>
      </c>
      <c r="D876" s="28">
        <v>303.85000000000002</v>
      </c>
      <c r="E876" s="28">
        <v>300.25</v>
      </c>
      <c r="F876" s="28">
        <v>305</v>
      </c>
      <c r="G876" s="28">
        <v>300.3</v>
      </c>
      <c r="H876" s="28">
        <v>301.11</v>
      </c>
      <c r="I876" s="28">
        <v>204271</v>
      </c>
      <c r="J876" s="28">
        <v>102737</v>
      </c>
      <c r="K876" s="28">
        <v>50.29</v>
      </c>
      <c r="L876" s="29">
        <f>SUM(NSE_BhavCopy[[#This Row],[ CLOSE_PRICE]]-NSE_BhavCopy[[#This Row],[ PREV_CLOSE]])/NSE_BhavCopy[[#This Row],[ PREV_CLOSE]]*100</f>
        <v>-1.1683396412703673</v>
      </c>
    </row>
    <row r="877" spans="1:12" hidden="1" x14ac:dyDescent="0.25">
      <c r="A877" s="28" t="s">
        <v>1283</v>
      </c>
      <c r="B877" s="28" t="s">
        <v>321</v>
      </c>
      <c r="C877" s="30">
        <v>44428</v>
      </c>
      <c r="D877" s="28">
        <v>950.95</v>
      </c>
      <c r="E877" s="28">
        <v>915</v>
      </c>
      <c r="F877" s="28">
        <v>950</v>
      </c>
      <c r="G877" s="28">
        <v>933.15</v>
      </c>
      <c r="H877" s="28">
        <v>935.63</v>
      </c>
      <c r="I877" s="28">
        <v>4973</v>
      </c>
      <c r="J877" s="28">
        <v>2495</v>
      </c>
      <c r="K877" s="28">
        <v>50.17</v>
      </c>
      <c r="L877" s="29">
        <f>SUM(NSE_BhavCopy[[#This Row],[ CLOSE_PRICE]]-NSE_BhavCopy[[#This Row],[ PREV_CLOSE]])/NSE_BhavCopy[[#This Row],[ PREV_CLOSE]]*100</f>
        <v>-1.8718123981281947</v>
      </c>
    </row>
    <row r="878" spans="1:12" hidden="1" x14ac:dyDescent="0.25">
      <c r="A878" s="28" t="s">
        <v>1528</v>
      </c>
      <c r="B878" s="28" t="s">
        <v>321</v>
      </c>
      <c r="C878" s="30">
        <v>44428</v>
      </c>
      <c r="D878" s="28">
        <v>171</v>
      </c>
      <c r="E878" s="28">
        <v>170.9</v>
      </c>
      <c r="F878" s="28">
        <v>173.05</v>
      </c>
      <c r="G878" s="28">
        <v>168.15</v>
      </c>
      <c r="H878" s="28">
        <v>169.67</v>
      </c>
      <c r="I878" s="28">
        <v>32861</v>
      </c>
      <c r="J878" s="28">
        <v>16481</v>
      </c>
      <c r="K878" s="28">
        <v>50.15</v>
      </c>
      <c r="L878" s="29">
        <f>SUM(NSE_BhavCopy[[#This Row],[ CLOSE_PRICE]]-NSE_BhavCopy[[#This Row],[ PREV_CLOSE]])/NSE_BhavCopy[[#This Row],[ PREV_CLOSE]]*100</f>
        <v>-1.6666666666666632</v>
      </c>
    </row>
    <row r="879" spans="1:12" x14ac:dyDescent="0.25">
      <c r="A879" s="28" t="s">
        <v>442</v>
      </c>
      <c r="B879" s="28" t="s">
        <v>321</v>
      </c>
      <c r="C879" s="30">
        <v>44428</v>
      </c>
      <c r="D879" s="28">
        <v>92.45</v>
      </c>
      <c r="E879" s="28">
        <v>93.7</v>
      </c>
      <c r="F879" s="28">
        <v>98.2</v>
      </c>
      <c r="G879" s="28">
        <v>94.5</v>
      </c>
      <c r="H879" s="28">
        <v>94.81</v>
      </c>
      <c r="I879" s="28">
        <v>169087</v>
      </c>
      <c r="J879" s="28">
        <v>84762</v>
      </c>
      <c r="K879" s="28">
        <v>50.13</v>
      </c>
      <c r="L879" s="29">
        <f>SUM(NSE_BhavCopy[[#This Row],[ CLOSE_PRICE]]-NSE_BhavCopy[[#This Row],[ PREV_CLOSE]])/NSE_BhavCopy[[#This Row],[ PREV_CLOSE]]*100</f>
        <v>2.217414818820981</v>
      </c>
    </row>
    <row r="880" spans="1:12" hidden="1" x14ac:dyDescent="0.25">
      <c r="A880" s="28" t="s">
        <v>1168</v>
      </c>
      <c r="B880" s="28" t="s">
        <v>321</v>
      </c>
      <c r="C880" s="30">
        <v>44428</v>
      </c>
      <c r="D880" s="28">
        <v>806.05</v>
      </c>
      <c r="E880" s="28">
        <v>806</v>
      </c>
      <c r="F880" s="28">
        <v>825</v>
      </c>
      <c r="G880" s="28">
        <v>793.95</v>
      </c>
      <c r="H880" s="28">
        <v>804.67</v>
      </c>
      <c r="I880" s="28">
        <v>21524</v>
      </c>
      <c r="J880" s="28">
        <v>10775</v>
      </c>
      <c r="K880" s="28">
        <v>50.06</v>
      </c>
      <c r="L880" s="29">
        <f>SUM(NSE_BhavCopy[[#This Row],[ CLOSE_PRICE]]-NSE_BhavCopy[[#This Row],[ PREV_CLOSE]])/NSE_BhavCopy[[#This Row],[ PREV_CLOSE]]*100</f>
        <v>-1.5011475714905913</v>
      </c>
    </row>
    <row r="881" spans="1:12" x14ac:dyDescent="0.25">
      <c r="A881" s="28" t="s">
        <v>52</v>
      </c>
      <c r="B881" s="28" t="s">
        <v>321</v>
      </c>
      <c r="C881" s="30">
        <v>44428</v>
      </c>
      <c r="D881" s="28">
        <v>1114.05</v>
      </c>
      <c r="E881" s="28">
        <v>1114.05</v>
      </c>
      <c r="F881" s="28">
        <v>1133.5</v>
      </c>
      <c r="G881" s="28">
        <v>1125.3</v>
      </c>
      <c r="H881" s="28">
        <v>1116.18</v>
      </c>
      <c r="I881" s="28">
        <v>2127671</v>
      </c>
      <c r="J881" s="28">
        <v>1064883</v>
      </c>
      <c r="K881" s="28">
        <v>50.05</v>
      </c>
      <c r="L881" s="29">
        <f>SUM(NSE_BhavCopy[[#This Row],[ CLOSE_PRICE]]-NSE_BhavCopy[[#This Row],[ PREV_CLOSE]])/NSE_BhavCopy[[#This Row],[ PREV_CLOSE]]*100</f>
        <v>1.0098290022889458</v>
      </c>
    </row>
    <row r="882" spans="1:12" hidden="1" x14ac:dyDescent="0.25">
      <c r="A882" s="28" t="s">
        <v>1067</v>
      </c>
      <c r="B882" s="28" t="s">
        <v>321</v>
      </c>
      <c r="C882" s="30">
        <v>44428</v>
      </c>
      <c r="D882" s="28">
        <v>493.8</v>
      </c>
      <c r="E882" s="28">
        <v>472.05</v>
      </c>
      <c r="F882" s="28">
        <v>502.05</v>
      </c>
      <c r="G882" s="28">
        <v>491.65</v>
      </c>
      <c r="H882" s="28">
        <v>490.54</v>
      </c>
      <c r="I882" s="28">
        <v>76704</v>
      </c>
      <c r="J882" s="28">
        <v>38380</v>
      </c>
      <c r="K882" s="28">
        <v>50.04</v>
      </c>
      <c r="L882" s="29">
        <f>SUM(NSE_BhavCopy[[#This Row],[ CLOSE_PRICE]]-NSE_BhavCopy[[#This Row],[ PREV_CLOSE]])/NSE_BhavCopy[[#This Row],[ PREV_CLOSE]]*100</f>
        <v>-0.43539894694208875</v>
      </c>
    </row>
    <row r="883" spans="1:12" hidden="1" x14ac:dyDescent="0.25">
      <c r="A883" s="28" t="s">
        <v>878</v>
      </c>
      <c r="B883" s="28" t="s">
        <v>321</v>
      </c>
      <c r="C883" s="30">
        <v>44428</v>
      </c>
      <c r="D883" s="28">
        <v>77.25</v>
      </c>
      <c r="E883" s="28">
        <v>77</v>
      </c>
      <c r="F883" s="28">
        <v>80.95</v>
      </c>
      <c r="G883" s="28">
        <v>77.8</v>
      </c>
      <c r="H883" s="28">
        <v>78.42</v>
      </c>
      <c r="I883" s="28">
        <v>208017</v>
      </c>
      <c r="J883" s="28">
        <v>103979</v>
      </c>
      <c r="K883" s="28">
        <v>49.99</v>
      </c>
      <c r="L883" s="29">
        <f>SUM(NSE_BhavCopy[[#This Row],[ CLOSE_PRICE]]-NSE_BhavCopy[[#This Row],[ PREV_CLOSE]])/NSE_BhavCopy[[#This Row],[ PREV_CLOSE]]*100</f>
        <v>0.71197411003235878</v>
      </c>
    </row>
    <row r="884" spans="1:12" hidden="1" x14ac:dyDescent="0.25">
      <c r="A884" s="28" t="s">
        <v>948</v>
      </c>
      <c r="B884" s="28" t="s">
        <v>321</v>
      </c>
      <c r="C884" s="30">
        <v>44428</v>
      </c>
      <c r="D884" s="28">
        <v>634.70000000000005</v>
      </c>
      <c r="E884" s="28">
        <v>635</v>
      </c>
      <c r="F884" s="28">
        <v>636.79999999999995</v>
      </c>
      <c r="G884" s="28">
        <v>625.5</v>
      </c>
      <c r="H884" s="28">
        <v>628.17999999999995</v>
      </c>
      <c r="I884" s="28">
        <v>181150</v>
      </c>
      <c r="J884" s="28">
        <v>90562</v>
      </c>
      <c r="K884" s="28">
        <v>49.99</v>
      </c>
      <c r="L884" s="29">
        <f>SUM(NSE_BhavCopy[[#This Row],[ CLOSE_PRICE]]-NSE_BhavCopy[[#This Row],[ PREV_CLOSE]])/NSE_BhavCopy[[#This Row],[ PREV_CLOSE]]*100</f>
        <v>-1.4495037025366384</v>
      </c>
    </row>
    <row r="885" spans="1:12" hidden="1" x14ac:dyDescent="0.25">
      <c r="A885" s="28" t="s">
        <v>1483</v>
      </c>
      <c r="B885" s="28" t="s">
        <v>321</v>
      </c>
      <c r="C885" s="30">
        <v>44428</v>
      </c>
      <c r="D885" s="28">
        <v>1209</v>
      </c>
      <c r="E885" s="28">
        <v>1185</v>
      </c>
      <c r="F885" s="28">
        <v>1201</v>
      </c>
      <c r="G885" s="28">
        <v>1136.9000000000001</v>
      </c>
      <c r="H885" s="28">
        <v>1155.48</v>
      </c>
      <c r="I885" s="28">
        <v>228642</v>
      </c>
      <c r="J885" s="28">
        <v>114235</v>
      </c>
      <c r="K885" s="28">
        <v>49.96</v>
      </c>
      <c r="L885" s="29">
        <f>SUM(NSE_BhavCopy[[#This Row],[ CLOSE_PRICE]]-NSE_BhavCopy[[#This Row],[ PREV_CLOSE]])/NSE_BhavCopy[[#This Row],[ PREV_CLOSE]]*100</f>
        <v>-5.9636062861869243</v>
      </c>
    </row>
    <row r="886" spans="1:12" hidden="1" x14ac:dyDescent="0.25">
      <c r="A886" s="28" t="s">
        <v>1600</v>
      </c>
      <c r="B886" s="28" t="s">
        <v>321</v>
      </c>
      <c r="C886" s="30">
        <v>44428</v>
      </c>
      <c r="D886" s="28">
        <v>7138.4</v>
      </c>
      <c r="E886" s="28">
        <v>7101</v>
      </c>
      <c r="F886" s="28">
        <v>7134</v>
      </c>
      <c r="G886" s="28">
        <v>7083.95</v>
      </c>
      <c r="H886" s="28">
        <v>7085.67</v>
      </c>
      <c r="I886" s="28">
        <v>1549</v>
      </c>
      <c r="J886" s="28">
        <v>773</v>
      </c>
      <c r="K886" s="28">
        <v>49.9</v>
      </c>
      <c r="L886" s="29">
        <f>SUM(NSE_BhavCopy[[#This Row],[ CLOSE_PRICE]]-NSE_BhavCopy[[#This Row],[ PREV_CLOSE]])/NSE_BhavCopy[[#This Row],[ PREV_CLOSE]]*100</f>
        <v>-0.76277597220665438</v>
      </c>
    </row>
    <row r="887" spans="1:12" hidden="1" x14ac:dyDescent="0.25">
      <c r="A887" s="28" t="s">
        <v>1800</v>
      </c>
      <c r="B887" s="28" t="s">
        <v>321</v>
      </c>
      <c r="C887" s="30">
        <v>44428</v>
      </c>
      <c r="D887" s="28">
        <v>1618</v>
      </c>
      <c r="E887" s="28">
        <v>1599.8</v>
      </c>
      <c r="F887" s="28">
        <v>1618</v>
      </c>
      <c r="G887" s="28">
        <v>1501.05</v>
      </c>
      <c r="H887" s="28">
        <v>1557.53</v>
      </c>
      <c r="I887" s="28">
        <v>11573178</v>
      </c>
      <c r="J887" s="28">
        <v>5768955</v>
      </c>
      <c r="K887" s="28">
        <v>49.85</v>
      </c>
      <c r="L887" s="29">
        <f>SUM(NSE_BhavCopy[[#This Row],[ CLOSE_PRICE]]-NSE_BhavCopy[[#This Row],[ PREV_CLOSE]])/NSE_BhavCopy[[#This Row],[ PREV_CLOSE]]*100</f>
        <v>-7.2280593325092735</v>
      </c>
    </row>
    <row r="888" spans="1:12" hidden="1" x14ac:dyDescent="0.25">
      <c r="A888" s="28" t="s">
        <v>1255</v>
      </c>
      <c r="B888" s="28" t="s">
        <v>321</v>
      </c>
      <c r="C888" s="30">
        <v>44428</v>
      </c>
      <c r="D888" s="28">
        <v>1605.45</v>
      </c>
      <c r="E888" s="28">
        <v>1556.1</v>
      </c>
      <c r="F888" s="28">
        <v>1605.55</v>
      </c>
      <c r="G888" s="28">
        <v>1534.85</v>
      </c>
      <c r="H888" s="28">
        <v>1563.44</v>
      </c>
      <c r="I888" s="28">
        <v>25365</v>
      </c>
      <c r="J888" s="28">
        <v>12639</v>
      </c>
      <c r="K888" s="28">
        <v>49.83</v>
      </c>
      <c r="L888" s="29">
        <f>SUM(NSE_BhavCopy[[#This Row],[ CLOSE_PRICE]]-NSE_BhavCopy[[#This Row],[ PREV_CLOSE]])/NSE_BhavCopy[[#This Row],[ PREV_CLOSE]]*100</f>
        <v>-4.397520944283543</v>
      </c>
    </row>
    <row r="889" spans="1:12" hidden="1" x14ac:dyDescent="0.25">
      <c r="A889" s="28" t="s">
        <v>1409</v>
      </c>
      <c r="B889" s="28" t="s">
        <v>321</v>
      </c>
      <c r="C889" s="30">
        <v>44428</v>
      </c>
      <c r="D889" s="28">
        <v>1696.75</v>
      </c>
      <c r="E889" s="28">
        <v>1670</v>
      </c>
      <c r="F889" s="28">
        <v>1695.1</v>
      </c>
      <c r="G889" s="28">
        <v>1671.65</v>
      </c>
      <c r="H889" s="28">
        <v>1678.66</v>
      </c>
      <c r="I889" s="28">
        <v>14386</v>
      </c>
      <c r="J889" s="28">
        <v>7168</v>
      </c>
      <c r="K889" s="28">
        <v>49.83</v>
      </c>
      <c r="L889" s="29">
        <f>SUM(NSE_BhavCopy[[#This Row],[ CLOSE_PRICE]]-NSE_BhavCopy[[#This Row],[ PREV_CLOSE]])/NSE_BhavCopy[[#This Row],[ PREV_CLOSE]]*100</f>
        <v>-1.4792986592014092</v>
      </c>
    </row>
    <row r="890" spans="1:12" hidden="1" x14ac:dyDescent="0.25">
      <c r="A890" s="28" t="s">
        <v>334</v>
      </c>
      <c r="B890" s="28" t="s">
        <v>321</v>
      </c>
      <c r="C890" s="30">
        <v>44428</v>
      </c>
      <c r="D890" s="28">
        <v>113.2</v>
      </c>
      <c r="E890" s="28">
        <v>111.55</v>
      </c>
      <c r="F890" s="28">
        <v>112.6</v>
      </c>
      <c r="G890" s="28">
        <v>108.75</v>
      </c>
      <c r="H890" s="28">
        <v>110.09</v>
      </c>
      <c r="I890" s="28">
        <v>2050100</v>
      </c>
      <c r="J890" s="28">
        <v>1021236</v>
      </c>
      <c r="K890" s="28">
        <v>49.81</v>
      </c>
      <c r="L890" s="29">
        <f>SUM(NSE_BhavCopy[[#This Row],[ CLOSE_PRICE]]-NSE_BhavCopy[[#This Row],[ PREV_CLOSE]])/NSE_BhavCopy[[#This Row],[ PREV_CLOSE]]*100</f>
        <v>-3.9310954063604262</v>
      </c>
    </row>
    <row r="891" spans="1:12" hidden="1" x14ac:dyDescent="0.25">
      <c r="A891" s="28" t="s">
        <v>1548</v>
      </c>
      <c r="B891" s="28" t="s">
        <v>321</v>
      </c>
      <c r="C891" s="30">
        <v>44428</v>
      </c>
      <c r="D891" s="28">
        <v>161.44999999999999</v>
      </c>
      <c r="E891" s="28">
        <v>161.44999999999999</v>
      </c>
      <c r="F891" s="28">
        <v>165.95</v>
      </c>
      <c r="G891" s="28">
        <v>154.35</v>
      </c>
      <c r="H891" s="28">
        <v>157.85</v>
      </c>
      <c r="I891" s="28">
        <v>54050</v>
      </c>
      <c r="J891" s="28">
        <v>26922</v>
      </c>
      <c r="K891" s="28">
        <v>49.81</v>
      </c>
      <c r="L891" s="29">
        <f>SUM(NSE_BhavCopy[[#This Row],[ CLOSE_PRICE]]-NSE_BhavCopy[[#This Row],[ PREV_CLOSE]])/NSE_BhavCopy[[#This Row],[ PREV_CLOSE]]*100</f>
        <v>-4.3976463301331652</v>
      </c>
    </row>
    <row r="892" spans="1:12" hidden="1" x14ac:dyDescent="0.25">
      <c r="A892" s="28" t="s">
        <v>1206</v>
      </c>
      <c r="B892" s="28" t="s">
        <v>321</v>
      </c>
      <c r="C892" s="30">
        <v>44428</v>
      </c>
      <c r="D892" s="28">
        <v>21.6</v>
      </c>
      <c r="E892" s="28">
        <v>21.5</v>
      </c>
      <c r="F892" s="28">
        <v>22.2</v>
      </c>
      <c r="G892" s="28">
        <v>21.4</v>
      </c>
      <c r="H892" s="28">
        <v>21.43</v>
      </c>
      <c r="I892" s="28">
        <v>39683</v>
      </c>
      <c r="J892" s="28">
        <v>19750</v>
      </c>
      <c r="K892" s="28">
        <v>49.77</v>
      </c>
      <c r="L892" s="29">
        <f>SUM(NSE_BhavCopy[[#This Row],[ CLOSE_PRICE]]-NSE_BhavCopy[[#This Row],[ PREV_CLOSE]])/NSE_BhavCopy[[#This Row],[ PREV_CLOSE]]*100</f>
        <v>-0.92592592592593903</v>
      </c>
    </row>
    <row r="893" spans="1:12" hidden="1" x14ac:dyDescent="0.25">
      <c r="A893" s="28" t="s">
        <v>1771</v>
      </c>
      <c r="B893" s="28" t="s">
        <v>321</v>
      </c>
      <c r="C893" s="30">
        <v>44428</v>
      </c>
      <c r="D893" s="28">
        <v>67.75</v>
      </c>
      <c r="E893" s="28">
        <v>67</v>
      </c>
      <c r="F893" s="28">
        <v>71</v>
      </c>
      <c r="G893" s="28">
        <v>66.3</v>
      </c>
      <c r="H893" s="28">
        <v>67.63</v>
      </c>
      <c r="I893" s="28">
        <v>29560</v>
      </c>
      <c r="J893" s="28">
        <v>14709</v>
      </c>
      <c r="K893" s="28">
        <v>49.76</v>
      </c>
      <c r="L893" s="29">
        <f>SUM(NSE_BhavCopy[[#This Row],[ CLOSE_PRICE]]-NSE_BhavCopy[[#This Row],[ PREV_CLOSE]])/NSE_BhavCopy[[#This Row],[ PREV_CLOSE]]*100</f>
        <v>-2.1402214022140265</v>
      </c>
    </row>
    <row r="894" spans="1:12" hidden="1" x14ac:dyDescent="0.25">
      <c r="A894" s="28" t="s">
        <v>1037</v>
      </c>
      <c r="B894" s="28" t="s">
        <v>321</v>
      </c>
      <c r="C894" s="30">
        <v>44428</v>
      </c>
      <c r="D894" s="28">
        <v>245.6</v>
      </c>
      <c r="E894" s="28">
        <v>243</v>
      </c>
      <c r="F894" s="28">
        <v>247.75</v>
      </c>
      <c r="G894" s="28">
        <v>228.8</v>
      </c>
      <c r="H894" s="28">
        <v>234.57</v>
      </c>
      <c r="I894" s="28">
        <v>236879</v>
      </c>
      <c r="J894" s="28">
        <v>117804</v>
      </c>
      <c r="K894" s="28">
        <v>49.73</v>
      </c>
      <c r="L894" s="29">
        <f>SUM(NSE_BhavCopy[[#This Row],[ CLOSE_PRICE]]-NSE_BhavCopy[[#This Row],[ PREV_CLOSE]])/NSE_BhavCopy[[#This Row],[ PREV_CLOSE]]*100</f>
        <v>-6.8403908794788206</v>
      </c>
    </row>
    <row r="895" spans="1:12" hidden="1" x14ac:dyDescent="0.25">
      <c r="A895" s="28" t="s">
        <v>1703</v>
      </c>
      <c r="B895" s="28" t="s">
        <v>321</v>
      </c>
      <c r="C895" s="30">
        <v>44428</v>
      </c>
      <c r="D895" s="28">
        <v>370.6</v>
      </c>
      <c r="E895" s="28">
        <v>365</v>
      </c>
      <c r="F895" s="28">
        <v>373.55</v>
      </c>
      <c r="G895" s="28">
        <v>360.75</v>
      </c>
      <c r="H895" s="28">
        <v>364.91</v>
      </c>
      <c r="I895" s="28">
        <v>27105</v>
      </c>
      <c r="J895" s="28">
        <v>13474</v>
      </c>
      <c r="K895" s="28">
        <v>49.71</v>
      </c>
      <c r="L895" s="29">
        <f>SUM(NSE_BhavCopy[[#This Row],[ CLOSE_PRICE]]-NSE_BhavCopy[[#This Row],[ PREV_CLOSE]])/NSE_BhavCopy[[#This Row],[ PREV_CLOSE]]*100</f>
        <v>-2.6578521316783652</v>
      </c>
    </row>
    <row r="896" spans="1:12" hidden="1" x14ac:dyDescent="0.25">
      <c r="A896" s="28" t="s">
        <v>703</v>
      </c>
      <c r="B896" s="28" t="s">
        <v>321</v>
      </c>
      <c r="C896" s="30">
        <v>44428</v>
      </c>
      <c r="D896" s="28">
        <v>66.349999999999994</v>
      </c>
      <c r="E896" s="28">
        <v>66.3</v>
      </c>
      <c r="F896" s="28">
        <v>67.5</v>
      </c>
      <c r="G896" s="28">
        <v>64.3</v>
      </c>
      <c r="H896" s="28">
        <v>65.16</v>
      </c>
      <c r="I896" s="28">
        <v>126539</v>
      </c>
      <c r="J896" s="28">
        <v>62868</v>
      </c>
      <c r="K896" s="28">
        <v>49.68</v>
      </c>
      <c r="L896" s="29">
        <f>SUM(NSE_BhavCopy[[#This Row],[ CLOSE_PRICE]]-NSE_BhavCopy[[#This Row],[ PREV_CLOSE]])/NSE_BhavCopy[[#This Row],[ PREV_CLOSE]]*100</f>
        <v>-3.089675960813862</v>
      </c>
    </row>
    <row r="897" spans="1:12" hidden="1" x14ac:dyDescent="0.25">
      <c r="A897" s="28" t="s">
        <v>518</v>
      </c>
      <c r="B897" s="28" t="s">
        <v>321</v>
      </c>
      <c r="C897" s="30">
        <v>44428</v>
      </c>
      <c r="D897" s="28">
        <v>207.3</v>
      </c>
      <c r="E897" s="28">
        <v>203</v>
      </c>
      <c r="F897" s="28">
        <v>205.65</v>
      </c>
      <c r="G897" s="28">
        <v>198.75</v>
      </c>
      <c r="H897" s="28">
        <v>201.41</v>
      </c>
      <c r="I897" s="28">
        <v>169613</v>
      </c>
      <c r="J897" s="28">
        <v>84239</v>
      </c>
      <c r="K897" s="28">
        <v>49.67</v>
      </c>
      <c r="L897" s="29">
        <f>SUM(NSE_BhavCopy[[#This Row],[ CLOSE_PRICE]]-NSE_BhavCopy[[#This Row],[ PREV_CLOSE]])/NSE_BhavCopy[[#This Row],[ PREV_CLOSE]]*100</f>
        <v>-4.1244573082489193</v>
      </c>
    </row>
    <row r="898" spans="1:12" hidden="1" x14ac:dyDescent="0.25">
      <c r="A898" s="28" t="s">
        <v>843</v>
      </c>
      <c r="B898" s="28" t="s">
        <v>321</v>
      </c>
      <c r="C898" s="30">
        <v>44428</v>
      </c>
      <c r="D898" s="28">
        <v>568.85</v>
      </c>
      <c r="E898" s="28">
        <v>568.75</v>
      </c>
      <c r="F898" s="28">
        <v>574.95000000000005</v>
      </c>
      <c r="G898" s="28">
        <v>531.65</v>
      </c>
      <c r="H898" s="28">
        <v>544.67999999999995</v>
      </c>
      <c r="I898" s="28">
        <v>31888</v>
      </c>
      <c r="J898" s="28">
        <v>15832</v>
      </c>
      <c r="K898" s="28">
        <v>49.65</v>
      </c>
      <c r="L898" s="29">
        <f>SUM(NSE_BhavCopy[[#This Row],[ CLOSE_PRICE]]-NSE_BhavCopy[[#This Row],[ PREV_CLOSE]])/NSE_BhavCopy[[#This Row],[ PREV_CLOSE]]*100</f>
        <v>-6.5395095367847489</v>
      </c>
    </row>
    <row r="899" spans="1:12" hidden="1" x14ac:dyDescent="0.25">
      <c r="A899" s="28" t="s">
        <v>548</v>
      </c>
      <c r="B899" s="28" t="s">
        <v>321</v>
      </c>
      <c r="C899" s="30">
        <v>44428</v>
      </c>
      <c r="D899" s="28">
        <v>562</v>
      </c>
      <c r="E899" s="28">
        <v>562</v>
      </c>
      <c r="F899" s="28">
        <v>562</v>
      </c>
      <c r="G899" s="28">
        <v>551.35</v>
      </c>
      <c r="H899" s="28">
        <v>553.54</v>
      </c>
      <c r="I899" s="28">
        <v>46340</v>
      </c>
      <c r="J899" s="28">
        <v>22997</v>
      </c>
      <c r="K899" s="28">
        <v>49.63</v>
      </c>
      <c r="L899" s="29">
        <f>SUM(NSE_BhavCopy[[#This Row],[ CLOSE_PRICE]]-NSE_BhavCopy[[#This Row],[ PREV_CLOSE]])/NSE_BhavCopy[[#This Row],[ PREV_CLOSE]]*100</f>
        <v>-1.895017793594302</v>
      </c>
    </row>
    <row r="900" spans="1:12" hidden="1" x14ac:dyDescent="0.25">
      <c r="A900" s="28" t="s">
        <v>1293</v>
      </c>
      <c r="B900" s="28" t="s">
        <v>321</v>
      </c>
      <c r="C900" s="30">
        <v>44428</v>
      </c>
      <c r="D900" s="28">
        <v>315.45</v>
      </c>
      <c r="E900" s="28">
        <v>317.85000000000002</v>
      </c>
      <c r="F900" s="28">
        <v>328.45</v>
      </c>
      <c r="G900" s="28">
        <v>310.8</v>
      </c>
      <c r="H900" s="28">
        <v>319.39999999999998</v>
      </c>
      <c r="I900" s="28">
        <v>180383</v>
      </c>
      <c r="J900" s="28">
        <v>89516</v>
      </c>
      <c r="K900" s="28">
        <v>49.63</v>
      </c>
      <c r="L900" s="29">
        <f>SUM(NSE_BhavCopy[[#This Row],[ CLOSE_PRICE]]-NSE_BhavCopy[[#This Row],[ PREV_CLOSE]])/NSE_BhavCopy[[#This Row],[ PREV_CLOSE]]*100</f>
        <v>-1.474084640989056</v>
      </c>
    </row>
    <row r="901" spans="1:12" hidden="1" x14ac:dyDescent="0.25">
      <c r="A901" s="28" t="s">
        <v>1100</v>
      </c>
      <c r="B901" s="28" t="s">
        <v>321</v>
      </c>
      <c r="C901" s="30">
        <v>44428</v>
      </c>
      <c r="D901" s="28">
        <v>339.65</v>
      </c>
      <c r="E901" s="28">
        <v>327.05</v>
      </c>
      <c r="F901" s="28">
        <v>342.5</v>
      </c>
      <c r="G901" s="28">
        <v>327.14999999999998</v>
      </c>
      <c r="H901" s="28">
        <v>332.97</v>
      </c>
      <c r="I901" s="28">
        <v>35581</v>
      </c>
      <c r="J901" s="28">
        <v>17649</v>
      </c>
      <c r="K901" s="28">
        <v>49.6</v>
      </c>
      <c r="L901" s="29">
        <f>SUM(NSE_BhavCopy[[#This Row],[ CLOSE_PRICE]]-NSE_BhavCopy[[#This Row],[ PREV_CLOSE]])/NSE_BhavCopy[[#This Row],[ PREV_CLOSE]]*100</f>
        <v>-3.6802590902399532</v>
      </c>
    </row>
    <row r="902" spans="1:12" hidden="1" x14ac:dyDescent="0.25">
      <c r="A902" s="28" t="s">
        <v>1772</v>
      </c>
      <c r="B902" s="28" t="s">
        <v>321</v>
      </c>
      <c r="C902" s="30">
        <v>44428</v>
      </c>
      <c r="D902" s="28">
        <v>2.7</v>
      </c>
      <c r="E902" s="28">
        <v>2.7</v>
      </c>
      <c r="F902" s="28">
        <v>2.75</v>
      </c>
      <c r="G902" s="28">
        <v>2.65</v>
      </c>
      <c r="H902" s="28">
        <v>2.63</v>
      </c>
      <c r="I902" s="28">
        <v>678703</v>
      </c>
      <c r="J902" s="28">
        <v>336649</v>
      </c>
      <c r="K902" s="28">
        <v>49.6</v>
      </c>
      <c r="L902" s="29">
        <f>SUM(NSE_BhavCopy[[#This Row],[ CLOSE_PRICE]]-NSE_BhavCopy[[#This Row],[ PREV_CLOSE]])/NSE_BhavCopy[[#This Row],[ PREV_CLOSE]]*100</f>
        <v>-1.8518518518518614</v>
      </c>
    </row>
    <row r="903" spans="1:12" hidden="1" x14ac:dyDescent="0.25">
      <c r="A903" s="28" t="s">
        <v>1514</v>
      </c>
      <c r="B903" s="28" t="s">
        <v>321</v>
      </c>
      <c r="C903" s="30">
        <v>44428</v>
      </c>
      <c r="D903" s="28">
        <v>104.8</v>
      </c>
      <c r="E903" s="28">
        <v>104</v>
      </c>
      <c r="F903" s="28">
        <v>107.05</v>
      </c>
      <c r="G903" s="28">
        <v>102.9</v>
      </c>
      <c r="H903" s="28">
        <v>104.49</v>
      </c>
      <c r="I903" s="28">
        <v>23328</v>
      </c>
      <c r="J903" s="28">
        <v>11561</v>
      </c>
      <c r="K903" s="28">
        <v>49.56</v>
      </c>
      <c r="L903" s="29">
        <f>SUM(NSE_BhavCopy[[#This Row],[ CLOSE_PRICE]]-NSE_BhavCopy[[#This Row],[ PREV_CLOSE]])/NSE_BhavCopy[[#This Row],[ PREV_CLOSE]]*100</f>
        <v>-1.8129770992366332</v>
      </c>
    </row>
    <row r="904" spans="1:12" hidden="1" x14ac:dyDescent="0.25">
      <c r="A904" s="28" t="s">
        <v>525</v>
      </c>
      <c r="B904" s="28" t="s">
        <v>321</v>
      </c>
      <c r="C904" s="30">
        <v>44428</v>
      </c>
      <c r="D904" s="28">
        <v>389.4</v>
      </c>
      <c r="E904" s="28">
        <v>381</v>
      </c>
      <c r="F904" s="28">
        <v>386.9</v>
      </c>
      <c r="G904" s="28">
        <v>377.6</v>
      </c>
      <c r="H904" s="28">
        <v>380.92</v>
      </c>
      <c r="I904" s="28">
        <v>342413</v>
      </c>
      <c r="J904" s="28">
        <v>169650</v>
      </c>
      <c r="K904" s="28">
        <v>49.55</v>
      </c>
      <c r="L904" s="29">
        <f>SUM(NSE_BhavCopy[[#This Row],[ CLOSE_PRICE]]-NSE_BhavCopy[[#This Row],[ PREV_CLOSE]])/NSE_BhavCopy[[#This Row],[ PREV_CLOSE]]*100</f>
        <v>-3.0303030303030187</v>
      </c>
    </row>
    <row r="905" spans="1:12" hidden="1" x14ac:dyDescent="0.25">
      <c r="A905" s="28" t="s">
        <v>1781</v>
      </c>
      <c r="B905" s="28" t="s">
        <v>321</v>
      </c>
      <c r="C905" s="30">
        <v>44428</v>
      </c>
      <c r="D905" s="28">
        <v>29.95</v>
      </c>
      <c r="E905" s="28">
        <v>28.95</v>
      </c>
      <c r="F905" s="28">
        <v>31</v>
      </c>
      <c r="G905" s="28">
        <v>29.7</v>
      </c>
      <c r="H905" s="28">
        <v>29.94</v>
      </c>
      <c r="I905" s="28">
        <v>1662</v>
      </c>
      <c r="J905" s="28">
        <v>823</v>
      </c>
      <c r="K905" s="28">
        <v>49.52</v>
      </c>
      <c r="L905" s="29">
        <f>SUM(NSE_BhavCopy[[#This Row],[ CLOSE_PRICE]]-NSE_BhavCopy[[#This Row],[ PREV_CLOSE]])/NSE_BhavCopy[[#This Row],[ PREV_CLOSE]]*100</f>
        <v>-0.8347245409015025</v>
      </c>
    </row>
    <row r="906" spans="1:12" hidden="1" x14ac:dyDescent="0.25">
      <c r="A906" s="28" t="s">
        <v>1069</v>
      </c>
      <c r="B906" s="28" t="s">
        <v>321</v>
      </c>
      <c r="C906" s="30">
        <v>44428</v>
      </c>
      <c r="D906" s="28">
        <v>235.75</v>
      </c>
      <c r="E906" s="28">
        <v>231.75</v>
      </c>
      <c r="F906" s="28">
        <v>235.6</v>
      </c>
      <c r="G906" s="28">
        <v>228.6</v>
      </c>
      <c r="H906" s="28">
        <v>230.15</v>
      </c>
      <c r="I906" s="28">
        <v>394143</v>
      </c>
      <c r="J906" s="28">
        <v>194755</v>
      </c>
      <c r="K906" s="28">
        <v>49.41</v>
      </c>
      <c r="L906" s="29">
        <f>SUM(NSE_BhavCopy[[#This Row],[ CLOSE_PRICE]]-NSE_BhavCopy[[#This Row],[ PREV_CLOSE]])/NSE_BhavCopy[[#This Row],[ PREV_CLOSE]]*100</f>
        <v>-3.0328738069989418</v>
      </c>
    </row>
    <row r="907" spans="1:12" hidden="1" x14ac:dyDescent="0.25">
      <c r="A907" s="28" t="s">
        <v>493</v>
      </c>
      <c r="B907" s="28" t="s">
        <v>321</v>
      </c>
      <c r="C907" s="30">
        <v>44428</v>
      </c>
      <c r="D907" s="28">
        <v>109.75</v>
      </c>
      <c r="E907" s="28">
        <v>110</v>
      </c>
      <c r="F907" s="28">
        <v>111.6</v>
      </c>
      <c r="G907" s="28">
        <v>107.55</v>
      </c>
      <c r="H907" s="28">
        <v>108.67</v>
      </c>
      <c r="I907" s="28">
        <v>291964</v>
      </c>
      <c r="J907" s="28">
        <v>144208</v>
      </c>
      <c r="K907" s="28">
        <v>49.39</v>
      </c>
      <c r="L907" s="29">
        <f>SUM(NSE_BhavCopy[[#This Row],[ CLOSE_PRICE]]-NSE_BhavCopy[[#This Row],[ PREV_CLOSE]])/NSE_BhavCopy[[#This Row],[ PREV_CLOSE]]*100</f>
        <v>-2.0045558086560389</v>
      </c>
    </row>
    <row r="908" spans="1:12" hidden="1" x14ac:dyDescent="0.25">
      <c r="A908" s="28" t="s">
        <v>1180</v>
      </c>
      <c r="B908" s="28" t="s">
        <v>321</v>
      </c>
      <c r="C908" s="30">
        <v>44428</v>
      </c>
      <c r="D908" s="28">
        <v>163.55000000000001</v>
      </c>
      <c r="E908" s="28">
        <v>162</v>
      </c>
      <c r="F908" s="28">
        <v>169</v>
      </c>
      <c r="G908" s="28">
        <v>166.35</v>
      </c>
      <c r="H908" s="28">
        <v>164.44</v>
      </c>
      <c r="I908" s="28">
        <v>612149</v>
      </c>
      <c r="J908" s="28">
        <v>302312</v>
      </c>
      <c r="K908" s="28">
        <v>49.39</v>
      </c>
      <c r="L908" s="29">
        <f>SUM(NSE_BhavCopy[[#This Row],[ CLOSE_PRICE]]-NSE_BhavCopy[[#This Row],[ PREV_CLOSE]])/NSE_BhavCopy[[#This Row],[ PREV_CLOSE]]*100</f>
        <v>1.7120146744114846</v>
      </c>
    </row>
    <row r="909" spans="1:12" hidden="1" x14ac:dyDescent="0.25">
      <c r="A909" s="28" t="s">
        <v>1620</v>
      </c>
      <c r="B909" s="28" t="s">
        <v>321</v>
      </c>
      <c r="C909" s="30">
        <v>44428</v>
      </c>
      <c r="D909" s="28">
        <v>11.3</v>
      </c>
      <c r="E909" s="28">
        <v>11.2</v>
      </c>
      <c r="F909" s="28">
        <v>11.2</v>
      </c>
      <c r="G909" s="28">
        <v>11.15</v>
      </c>
      <c r="H909" s="28">
        <v>11.11</v>
      </c>
      <c r="I909" s="28">
        <v>74548015</v>
      </c>
      <c r="J909" s="28">
        <v>36818498</v>
      </c>
      <c r="K909" s="28">
        <v>49.39</v>
      </c>
      <c r="L909" s="29">
        <f>SUM(NSE_BhavCopy[[#This Row],[ CLOSE_PRICE]]-NSE_BhavCopy[[#This Row],[ PREV_CLOSE]])/NSE_BhavCopy[[#This Row],[ PREV_CLOSE]]*100</f>
        <v>-1.3274336283185872</v>
      </c>
    </row>
    <row r="910" spans="1:12" hidden="1" x14ac:dyDescent="0.25">
      <c r="A910" s="28" t="s">
        <v>1443</v>
      </c>
      <c r="B910" s="28" t="s">
        <v>321</v>
      </c>
      <c r="C910" s="30">
        <v>44428</v>
      </c>
      <c r="D910" s="28">
        <v>410.5</v>
      </c>
      <c r="E910" s="28">
        <v>406</v>
      </c>
      <c r="F910" s="28">
        <v>415</v>
      </c>
      <c r="G910" s="28">
        <v>403.75</v>
      </c>
      <c r="H910" s="28">
        <v>407.43</v>
      </c>
      <c r="I910" s="28">
        <v>398764</v>
      </c>
      <c r="J910" s="28">
        <v>196909</v>
      </c>
      <c r="K910" s="28">
        <v>49.38</v>
      </c>
      <c r="L910" s="29">
        <f>SUM(NSE_BhavCopy[[#This Row],[ CLOSE_PRICE]]-NSE_BhavCopy[[#This Row],[ PREV_CLOSE]])/NSE_BhavCopy[[#This Row],[ PREV_CLOSE]]*100</f>
        <v>-1.6443361753958587</v>
      </c>
    </row>
    <row r="911" spans="1:12" hidden="1" x14ac:dyDescent="0.25">
      <c r="A911" s="28" t="s">
        <v>634</v>
      </c>
      <c r="B911" s="28" t="s">
        <v>321</v>
      </c>
      <c r="C911" s="30">
        <v>44428</v>
      </c>
      <c r="D911" s="28">
        <v>35.799999999999997</v>
      </c>
      <c r="E911" s="28">
        <v>35</v>
      </c>
      <c r="F911" s="28">
        <v>36.200000000000003</v>
      </c>
      <c r="G911" s="28">
        <v>34.799999999999997</v>
      </c>
      <c r="H911" s="28">
        <v>34.61</v>
      </c>
      <c r="I911" s="28">
        <v>965352</v>
      </c>
      <c r="J911" s="28">
        <v>476523</v>
      </c>
      <c r="K911" s="28">
        <v>49.36</v>
      </c>
      <c r="L911" s="29">
        <f>SUM(NSE_BhavCopy[[#This Row],[ CLOSE_PRICE]]-NSE_BhavCopy[[#This Row],[ PREV_CLOSE]])/NSE_BhavCopy[[#This Row],[ PREV_CLOSE]]*100</f>
        <v>-2.7932960893854752</v>
      </c>
    </row>
    <row r="912" spans="1:12" hidden="1" x14ac:dyDescent="0.25">
      <c r="A912" s="28" t="s">
        <v>871</v>
      </c>
      <c r="B912" s="28" t="s">
        <v>321</v>
      </c>
      <c r="C912" s="30">
        <v>44428</v>
      </c>
      <c r="D912" s="28">
        <v>40.450000000000003</v>
      </c>
      <c r="E912" s="28">
        <v>40</v>
      </c>
      <c r="F912" s="28">
        <v>43.15</v>
      </c>
      <c r="G912" s="28">
        <v>42.45</v>
      </c>
      <c r="H912" s="28">
        <v>41.95</v>
      </c>
      <c r="I912" s="28">
        <v>6312973</v>
      </c>
      <c r="J912" s="28">
        <v>3114511</v>
      </c>
      <c r="K912" s="28">
        <v>49.34</v>
      </c>
      <c r="L912" s="29">
        <f>SUM(NSE_BhavCopy[[#This Row],[ CLOSE_PRICE]]-NSE_BhavCopy[[#This Row],[ PREV_CLOSE]])/NSE_BhavCopy[[#This Row],[ PREV_CLOSE]]*100</f>
        <v>4.9443757725587147</v>
      </c>
    </row>
    <row r="913" spans="1:12" hidden="1" x14ac:dyDescent="0.25">
      <c r="A913" s="28" t="s">
        <v>656</v>
      </c>
      <c r="B913" s="28" t="s">
        <v>321</v>
      </c>
      <c r="C913" s="30">
        <v>44428</v>
      </c>
      <c r="D913" s="28">
        <v>343.2</v>
      </c>
      <c r="E913" s="28">
        <v>335.8</v>
      </c>
      <c r="F913" s="28">
        <v>341.65</v>
      </c>
      <c r="G913" s="28">
        <v>330.25</v>
      </c>
      <c r="H913" s="28">
        <v>332.92</v>
      </c>
      <c r="I913" s="28">
        <v>500943</v>
      </c>
      <c r="J913" s="28">
        <v>247010</v>
      </c>
      <c r="K913" s="28">
        <v>49.31</v>
      </c>
      <c r="L913" s="29">
        <f>SUM(NSE_BhavCopy[[#This Row],[ CLOSE_PRICE]]-NSE_BhavCopy[[#This Row],[ PREV_CLOSE]])/NSE_BhavCopy[[#This Row],[ PREV_CLOSE]]*100</f>
        <v>-3.7733100233100205</v>
      </c>
    </row>
    <row r="914" spans="1:12" hidden="1" x14ac:dyDescent="0.25">
      <c r="A914" s="28" t="s">
        <v>327</v>
      </c>
      <c r="B914" s="28" t="s">
        <v>321</v>
      </c>
      <c r="C914" s="30">
        <v>44428</v>
      </c>
      <c r="D914" s="28">
        <v>617.6</v>
      </c>
      <c r="E914" s="28">
        <v>620</v>
      </c>
      <c r="F914" s="28">
        <v>620</v>
      </c>
      <c r="G914" s="28">
        <v>603.29999999999995</v>
      </c>
      <c r="H914" s="28">
        <v>606.99</v>
      </c>
      <c r="I914" s="28">
        <v>247673</v>
      </c>
      <c r="J914" s="28">
        <v>122009</v>
      </c>
      <c r="K914" s="28">
        <v>49.26</v>
      </c>
      <c r="L914" s="29">
        <f>SUM(NSE_BhavCopy[[#This Row],[ CLOSE_PRICE]]-NSE_BhavCopy[[#This Row],[ PREV_CLOSE]])/NSE_BhavCopy[[#This Row],[ PREV_CLOSE]]*100</f>
        <v>-2.3154145077720316</v>
      </c>
    </row>
    <row r="915" spans="1:12" hidden="1" x14ac:dyDescent="0.25">
      <c r="A915" s="28" t="s">
        <v>1563</v>
      </c>
      <c r="B915" s="28" t="s">
        <v>321</v>
      </c>
      <c r="C915" s="30">
        <v>44428</v>
      </c>
      <c r="D915" s="28">
        <v>1338.75</v>
      </c>
      <c r="E915" s="28">
        <v>1350</v>
      </c>
      <c r="F915" s="28">
        <v>1373.8</v>
      </c>
      <c r="G915" s="28">
        <v>1337.15</v>
      </c>
      <c r="H915" s="28">
        <v>1347.51</v>
      </c>
      <c r="I915" s="28">
        <v>33661</v>
      </c>
      <c r="J915" s="28">
        <v>16566</v>
      </c>
      <c r="K915" s="28">
        <v>49.21</v>
      </c>
      <c r="L915" s="29">
        <f>SUM(NSE_BhavCopy[[#This Row],[ CLOSE_PRICE]]-NSE_BhavCopy[[#This Row],[ PREV_CLOSE]])/NSE_BhavCopy[[#This Row],[ PREV_CLOSE]]*100</f>
        <v>-0.11951447245564213</v>
      </c>
    </row>
    <row r="916" spans="1:12" hidden="1" x14ac:dyDescent="0.25">
      <c r="A916" s="28" t="s">
        <v>484</v>
      </c>
      <c r="B916" s="28" t="s">
        <v>321</v>
      </c>
      <c r="C916" s="30">
        <v>44428</v>
      </c>
      <c r="D916" s="28">
        <v>12655.8</v>
      </c>
      <c r="E916" s="28">
        <v>12600</v>
      </c>
      <c r="F916" s="28">
        <v>12655</v>
      </c>
      <c r="G916" s="28">
        <v>12438.65</v>
      </c>
      <c r="H916" s="28">
        <v>12514.2</v>
      </c>
      <c r="I916" s="28">
        <v>2039</v>
      </c>
      <c r="J916" s="28">
        <v>1003</v>
      </c>
      <c r="K916" s="28">
        <v>49.19</v>
      </c>
      <c r="L916" s="29">
        <f>SUM(NSE_BhavCopy[[#This Row],[ CLOSE_PRICE]]-NSE_BhavCopy[[#This Row],[ PREV_CLOSE]])/NSE_BhavCopy[[#This Row],[ PREV_CLOSE]]*100</f>
        <v>-1.7158140931430619</v>
      </c>
    </row>
    <row r="917" spans="1:12" hidden="1" x14ac:dyDescent="0.25">
      <c r="A917" s="28" t="s">
        <v>57</v>
      </c>
      <c r="B917" s="28" t="s">
        <v>321</v>
      </c>
      <c r="C917" s="30">
        <v>44428</v>
      </c>
      <c r="D917" s="28">
        <v>4910.45</v>
      </c>
      <c r="E917" s="28">
        <v>4861.3</v>
      </c>
      <c r="F917" s="28">
        <v>4915.3999999999996</v>
      </c>
      <c r="G917" s="28">
        <v>4818.7</v>
      </c>
      <c r="H917" s="28">
        <v>4824.75</v>
      </c>
      <c r="I917" s="28">
        <v>549942</v>
      </c>
      <c r="J917" s="28">
        <v>270010</v>
      </c>
      <c r="K917" s="28">
        <v>49.1</v>
      </c>
      <c r="L917" s="29">
        <f>SUM(NSE_BhavCopy[[#This Row],[ CLOSE_PRICE]]-NSE_BhavCopy[[#This Row],[ PREV_CLOSE]])/NSE_BhavCopy[[#This Row],[ PREV_CLOSE]]*100</f>
        <v>-1.8684641937093343</v>
      </c>
    </row>
    <row r="918" spans="1:12" hidden="1" x14ac:dyDescent="0.25">
      <c r="A918" s="28" t="s">
        <v>395</v>
      </c>
      <c r="B918" s="28" t="s">
        <v>321</v>
      </c>
      <c r="C918" s="30">
        <v>44428</v>
      </c>
      <c r="D918" s="28">
        <v>762.7</v>
      </c>
      <c r="E918" s="28">
        <v>760</v>
      </c>
      <c r="F918" s="28">
        <v>763.6</v>
      </c>
      <c r="G918" s="28">
        <v>738.65</v>
      </c>
      <c r="H918" s="28">
        <v>746.74</v>
      </c>
      <c r="I918" s="28">
        <v>349031</v>
      </c>
      <c r="J918" s="28">
        <v>171324</v>
      </c>
      <c r="K918" s="28">
        <v>49.09</v>
      </c>
      <c r="L918" s="29">
        <f>SUM(NSE_BhavCopy[[#This Row],[ CLOSE_PRICE]]-NSE_BhavCopy[[#This Row],[ PREV_CLOSE]])/NSE_BhavCopy[[#This Row],[ PREV_CLOSE]]*100</f>
        <v>-3.1532712731087016</v>
      </c>
    </row>
    <row r="919" spans="1:12" hidden="1" x14ac:dyDescent="0.25">
      <c r="A919" s="28" t="s">
        <v>1437</v>
      </c>
      <c r="B919" s="28" t="s">
        <v>321</v>
      </c>
      <c r="C919" s="30">
        <v>44428</v>
      </c>
      <c r="D919" s="28">
        <v>204.75</v>
      </c>
      <c r="E919" s="28">
        <v>199.55</v>
      </c>
      <c r="F919" s="28">
        <v>206.6</v>
      </c>
      <c r="G919" s="28">
        <v>202.15</v>
      </c>
      <c r="H919" s="28">
        <v>201.51</v>
      </c>
      <c r="I919" s="28">
        <v>54195</v>
      </c>
      <c r="J919" s="28">
        <v>26574</v>
      </c>
      <c r="K919" s="28">
        <v>49.03</v>
      </c>
      <c r="L919" s="29">
        <f>SUM(NSE_BhavCopy[[#This Row],[ CLOSE_PRICE]]-NSE_BhavCopy[[#This Row],[ PREV_CLOSE]])/NSE_BhavCopy[[#This Row],[ PREV_CLOSE]]*100</f>
        <v>-1.2698412698412671</v>
      </c>
    </row>
    <row r="920" spans="1:12" hidden="1" x14ac:dyDescent="0.25">
      <c r="A920" s="28" t="s">
        <v>1545</v>
      </c>
      <c r="B920" s="28" t="s">
        <v>321</v>
      </c>
      <c r="C920" s="30">
        <v>44428</v>
      </c>
      <c r="D920" s="28">
        <v>34.700000000000003</v>
      </c>
      <c r="E920" s="28">
        <v>34.200000000000003</v>
      </c>
      <c r="F920" s="28">
        <v>34.6</v>
      </c>
      <c r="G920" s="28">
        <v>33.5</v>
      </c>
      <c r="H920" s="28">
        <v>33.909999999999997</v>
      </c>
      <c r="I920" s="28">
        <v>5963476</v>
      </c>
      <c r="J920" s="28">
        <v>2923962</v>
      </c>
      <c r="K920" s="28">
        <v>49.03</v>
      </c>
      <c r="L920" s="29">
        <f>SUM(NSE_BhavCopy[[#This Row],[ CLOSE_PRICE]]-NSE_BhavCopy[[#This Row],[ PREV_CLOSE]])/NSE_BhavCopy[[#This Row],[ PREV_CLOSE]]*100</f>
        <v>-3.4582132564841577</v>
      </c>
    </row>
    <row r="921" spans="1:12" hidden="1" x14ac:dyDescent="0.25">
      <c r="A921" s="28" t="s">
        <v>1698</v>
      </c>
      <c r="B921" s="28" t="s">
        <v>321</v>
      </c>
      <c r="C921" s="30">
        <v>44428</v>
      </c>
      <c r="D921" s="28">
        <v>9.85</v>
      </c>
      <c r="E921" s="28">
        <v>9.9</v>
      </c>
      <c r="F921" s="28">
        <v>10.8</v>
      </c>
      <c r="G921" s="28">
        <v>9.6</v>
      </c>
      <c r="H921" s="28">
        <v>10.01</v>
      </c>
      <c r="I921" s="28">
        <v>201739</v>
      </c>
      <c r="J921" s="28">
        <v>98878</v>
      </c>
      <c r="K921" s="28">
        <v>49.01</v>
      </c>
      <c r="L921" s="29">
        <f>SUM(NSE_BhavCopy[[#This Row],[ CLOSE_PRICE]]-NSE_BhavCopy[[#This Row],[ PREV_CLOSE]])/NSE_BhavCopy[[#This Row],[ PREV_CLOSE]]*100</f>
        <v>-2.5380710659898478</v>
      </c>
    </row>
    <row r="922" spans="1:12" hidden="1" x14ac:dyDescent="0.25">
      <c r="A922" s="28" t="s">
        <v>1295</v>
      </c>
      <c r="B922" s="28" t="s">
        <v>321</v>
      </c>
      <c r="C922" s="30">
        <v>44428</v>
      </c>
      <c r="D922" s="28">
        <v>461.5</v>
      </c>
      <c r="E922" s="28">
        <v>461.5</v>
      </c>
      <c r="F922" s="28">
        <v>461.5</v>
      </c>
      <c r="G922" s="28">
        <v>451.85</v>
      </c>
      <c r="H922" s="28">
        <v>447.3</v>
      </c>
      <c r="I922" s="28">
        <v>20558</v>
      </c>
      <c r="J922" s="28">
        <v>10060</v>
      </c>
      <c r="K922" s="28">
        <v>48.93</v>
      </c>
      <c r="L922" s="29">
        <f>SUM(NSE_BhavCopy[[#This Row],[ CLOSE_PRICE]]-NSE_BhavCopy[[#This Row],[ PREV_CLOSE]])/NSE_BhavCopy[[#This Row],[ PREV_CLOSE]]*100</f>
        <v>-2.0910075839653257</v>
      </c>
    </row>
    <row r="923" spans="1:12" hidden="1" x14ac:dyDescent="0.25">
      <c r="A923" s="28" t="s">
        <v>1060</v>
      </c>
      <c r="B923" s="28" t="s">
        <v>321</v>
      </c>
      <c r="C923" s="30">
        <v>44428</v>
      </c>
      <c r="D923" s="28">
        <v>71.25</v>
      </c>
      <c r="E923" s="28">
        <v>70</v>
      </c>
      <c r="F923" s="28">
        <v>71</v>
      </c>
      <c r="G923" s="28">
        <v>68.349999999999994</v>
      </c>
      <c r="H923" s="28">
        <v>69.42</v>
      </c>
      <c r="I923" s="28">
        <v>2314959</v>
      </c>
      <c r="J923" s="28">
        <v>1131126</v>
      </c>
      <c r="K923" s="28">
        <v>48.86</v>
      </c>
      <c r="L923" s="29">
        <f>SUM(NSE_BhavCopy[[#This Row],[ CLOSE_PRICE]]-NSE_BhavCopy[[#This Row],[ PREV_CLOSE]])/NSE_BhavCopy[[#This Row],[ PREV_CLOSE]]*100</f>
        <v>-4.0701754385964986</v>
      </c>
    </row>
    <row r="924" spans="1:12" hidden="1" x14ac:dyDescent="0.25">
      <c r="A924" s="28" t="s">
        <v>1052</v>
      </c>
      <c r="B924" s="28" t="s">
        <v>321</v>
      </c>
      <c r="C924" s="30">
        <v>44428</v>
      </c>
      <c r="D924" s="28">
        <v>486.8</v>
      </c>
      <c r="E924" s="28">
        <v>483.95</v>
      </c>
      <c r="F924" s="28">
        <v>488.75</v>
      </c>
      <c r="G924" s="28">
        <v>463.75</v>
      </c>
      <c r="H924" s="28">
        <v>472.2</v>
      </c>
      <c r="I924" s="28">
        <v>109242</v>
      </c>
      <c r="J924" s="28">
        <v>53352</v>
      </c>
      <c r="K924" s="28">
        <v>48.84</v>
      </c>
      <c r="L924" s="29">
        <f>SUM(NSE_BhavCopy[[#This Row],[ CLOSE_PRICE]]-NSE_BhavCopy[[#This Row],[ PREV_CLOSE]])/NSE_BhavCopy[[#This Row],[ PREV_CLOSE]]*100</f>
        <v>-4.7350041084634373</v>
      </c>
    </row>
    <row r="925" spans="1:12" hidden="1" x14ac:dyDescent="0.25">
      <c r="A925" s="28" t="s">
        <v>1380</v>
      </c>
      <c r="B925" s="28" t="s">
        <v>321</v>
      </c>
      <c r="C925" s="30">
        <v>44428</v>
      </c>
      <c r="D925" s="28">
        <v>171.65</v>
      </c>
      <c r="E925" s="28">
        <v>165.15</v>
      </c>
      <c r="F925" s="28">
        <v>179.85</v>
      </c>
      <c r="G925" s="28">
        <v>175.8</v>
      </c>
      <c r="H925" s="28">
        <v>175.97</v>
      </c>
      <c r="I925" s="28">
        <v>145131</v>
      </c>
      <c r="J925" s="28">
        <v>70858</v>
      </c>
      <c r="K925" s="28">
        <v>48.82</v>
      </c>
      <c r="L925" s="29">
        <f>SUM(NSE_BhavCopy[[#This Row],[ CLOSE_PRICE]]-NSE_BhavCopy[[#This Row],[ PREV_CLOSE]])/NSE_BhavCopy[[#This Row],[ PREV_CLOSE]]*100</f>
        <v>2.4177104573259571</v>
      </c>
    </row>
    <row r="926" spans="1:12" hidden="1" x14ac:dyDescent="0.25">
      <c r="A926" s="28" t="s">
        <v>1675</v>
      </c>
      <c r="B926" s="28" t="s">
        <v>321</v>
      </c>
      <c r="C926" s="30">
        <v>44428</v>
      </c>
      <c r="D926" s="28">
        <v>123.85</v>
      </c>
      <c r="E926" s="28">
        <v>127</v>
      </c>
      <c r="F926" s="28">
        <v>127</v>
      </c>
      <c r="G926" s="28">
        <v>117</v>
      </c>
      <c r="H926" s="28">
        <v>117.92</v>
      </c>
      <c r="I926" s="28">
        <v>25895</v>
      </c>
      <c r="J926" s="28">
        <v>12635</v>
      </c>
      <c r="K926" s="28">
        <v>48.79</v>
      </c>
      <c r="L926" s="29">
        <f>SUM(NSE_BhavCopy[[#This Row],[ CLOSE_PRICE]]-NSE_BhavCopy[[#This Row],[ PREV_CLOSE]])/NSE_BhavCopy[[#This Row],[ PREV_CLOSE]]*100</f>
        <v>-5.5308841340331005</v>
      </c>
    </row>
    <row r="927" spans="1:12" hidden="1" x14ac:dyDescent="0.25">
      <c r="A927" s="28" t="s">
        <v>563</v>
      </c>
      <c r="B927" s="28" t="s">
        <v>321</v>
      </c>
      <c r="C927" s="30">
        <v>44428</v>
      </c>
      <c r="D927" s="28">
        <v>1322.25</v>
      </c>
      <c r="E927" s="28">
        <v>1310</v>
      </c>
      <c r="F927" s="28">
        <v>1324.75</v>
      </c>
      <c r="G927" s="28">
        <v>1282.75</v>
      </c>
      <c r="H927" s="28">
        <v>1292.3499999999999</v>
      </c>
      <c r="I927" s="28">
        <v>70682</v>
      </c>
      <c r="J927" s="28">
        <v>34477</v>
      </c>
      <c r="K927" s="28">
        <v>48.78</v>
      </c>
      <c r="L927" s="29">
        <f>SUM(NSE_BhavCopy[[#This Row],[ CLOSE_PRICE]]-NSE_BhavCopy[[#This Row],[ PREV_CLOSE]])/NSE_BhavCopy[[#This Row],[ PREV_CLOSE]]*100</f>
        <v>-2.9873321989033843</v>
      </c>
    </row>
    <row r="928" spans="1:12" hidden="1" x14ac:dyDescent="0.25">
      <c r="A928" s="28" t="s">
        <v>326</v>
      </c>
      <c r="B928" s="28" t="s">
        <v>321</v>
      </c>
      <c r="C928" s="30">
        <v>44428</v>
      </c>
      <c r="D928" s="28">
        <v>258.60000000000002</v>
      </c>
      <c r="E928" s="28">
        <v>258.45</v>
      </c>
      <c r="F928" s="28">
        <v>264</v>
      </c>
      <c r="G928" s="28">
        <v>248.3</v>
      </c>
      <c r="H928" s="28">
        <v>249.18</v>
      </c>
      <c r="I928" s="28">
        <v>50260</v>
      </c>
      <c r="J928" s="28">
        <v>24510</v>
      </c>
      <c r="K928" s="28">
        <v>48.77</v>
      </c>
      <c r="L928" s="29">
        <f>SUM(NSE_BhavCopy[[#This Row],[ CLOSE_PRICE]]-NSE_BhavCopy[[#This Row],[ PREV_CLOSE]])/NSE_BhavCopy[[#This Row],[ PREV_CLOSE]]*100</f>
        <v>-3.98298530549111</v>
      </c>
    </row>
    <row r="929" spans="1:12" hidden="1" x14ac:dyDescent="0.25">
      <c r="A929" s="28" t="s">
        <v>726</v>
      </c>
      <c r="B929" s="28" t="s">
        <v>321</v>
      </c>
      <c r="C929" s="30">
        <v>44428</v>
      </c>
      <c r="D929" s="28">
        <v>567.1</v>
      </c>
      <c r="E929" s="28">
        <v>562</v>
      </c>
      <c r="F929" s="28">
        <v>567.15</v>
      </c>
      <c r="G929" s="28">
        <v>554.35</v>
      </c>
      <c r="H929" s="28">
        <v>556.69000000000005</v>
      </c>
      <c r="I929" s="28">
        <v>194171</v>
      </c>
      <c r="J929" s="28">
        <v>94529</v>
      </c>
      <c r="K929" s="28">
        <v>48.68</v>
      </c>
      <c r="L929" s="29">
        <f>SUM(NSE_BhavCopy[[#This Row],[ CLOSE_PRICE]]-NSE_BhavCopy[[#This Row],[ PREV_CLOSE]])/NSE_BhavCopy[[#This Row],[ PREV_CLOSE]]*100</f>
        <v>-2.2482807265032623</v>
      </c>
    </row>
    <row r="930" spans="1:12" hidden="1" x14ac:dyDescent="0.25">
      <c r="A930" s="28" t="s">
        <v>879</v>
      </c>
      <c r="B930" s="28" t="s">
        <v>321</v>
      </c>
      <c r="C930" s="30">
        <v>44428</v>
      </c>
      <c r="D930" s="28">
        <v>3</v>
      </c>
      <c r="E930" s="28">
        <v>3</v>
      </c>
      <c r="F930" s="28">
        <v>3.05</v>
      </c>
      <c r="G930" s="28">
        <v>2.9</v>
      </c>
      <c r="H930" s="28">
        <v>2.93</v>
      </c>
      <c r="I930" s="28">
        <v>2250747</v>
      </c>
      <c r="J930" s="28">
        <v>1094921</v>
      </c>
      <c r="K930" s="28">
        <v>48.65</v>
      </c>
      <c r="L930" s="29">
        <f>SUM(NSE_BhavCopy[[#This Row],[ CLOSE_PRICE]]-NSE_BhavCopy[[#This Row],[ PREV_CLOSE]])/NSE_BhavCopy[[#This Row],[ PREV_CLOSE]]*100</f>
        <v>-3.3333333333333361</v>
      </c>
    </row>
    <row r="931" spans="1:12" hidden="1" x14ac:dyDescent="0.25">
      <c r="A931" s="28" t="s">
        <v>1040</v>
      </c>
      <c r="B931" s="28" t="s">
        <v>321</v>
      </c>
      <c r="C931" s="30">
        <v>44428</v>
      </c>
      <c r="D931" s="28">
        <v>4365.1499999999996</v>
      </c>
      <c r="E931" s="28">
        <v>4305</v>
      </c>
      <c r="F931" s="28">
        <v>4459.95</v>
      </c>
      <c r="G931" s="28">
        <v>4373.25</v>
      </c>
      <c r="H931" s="28">
        <v>4395.2299999999996</v>
      </c>
      <c r="I931" s="28">
        <v>18844</v>
      </c>
      <c r="J931" s="28">
        <v>9163</v>
      </c>
      <c r="K931" s="28">
        <v>48.63</v>
      </c>
      <c r="L931" s="29">
        <f>SUM(NSE_BhavCopy[[#This Row],[ CLOSE_PRICE]]-NSE_BhavCopy[[#This Row],[ PREV_CLOSE]])/NSE_BhavCopy[[#This Row],[ PREV_CLOSE]]*100</f>
        <v>0.1855606336552092</v>
      </c>
    </row>
    <row r="932" spans="1:12" hidden="1" x14ac:dyDescent="0.25">
      <c r="A932" s="28" t="s">
        <v>1489</v>
      </c>
      <c r="B932" s="28" t="s">
        <v>321</v>
      </c>
      <c r="C932" s="30">
        <v>44428</v>
      </c>
      <c r="D932" s="28">
        <v>1332.7</v>
      </c>
      <c r="E932" s="28">
        <v>1310.8</v>
      </c>
      <c r="F932" s="28">
        <v>1350.75</v>
      </c>
      <c r="G932" s="28">
        <v>1296.75</v>
      </c>
      <c r="H932" s="28">
        <v>1303.4000000000001</v>
      </c>
      <c r="I932" s="28">
        <v>62481</v>
      </c>
      <c r="J932" s="28">
        <v>30377</v>
      </c>
      <c r="K932" s="28">
        <v>48.62</v>
      </c>
      <c r="L932" s="29">
        <f>SUM(NSE_BhavCopy[[#This Row],[ CLOSE_PRICE]]-NSE_BhavCopy[[#This Row],[ PREV_CLOSE]])/NSE_BhavCopy[[#This Row],[ PREV_CLOSE]]*100</f>
        <v>-2.697531327380509</v>
      </c>
    </row>
    <row r="933" spans="1:12" hidden="1" x14ac:dyDescent="0.25">
      <c r="A933" s="28" t="s">
        <v>794</v>
      </c>
      <c r="B933" s="28" t="s">
        <v>321</v>
      </c>
      <c r="C933" s="30">
        <v>44428</v>
      </c>
      <c r="D933" s="28">
        <v>151.5</v>
      </c>
      <c r="E933" s="28">
        <v>153.94999999999999</v>
      </c>
      <c r="F933" s="28">
        <v>167.5</v>
      </c>
      <c r="G933" s="28">
        <v>156.80000000000001</v>
      </c>
      <c r="H933" s="28">
        <v>161.19999999999999</v>
      </c>
      <c r="I933" s="28">
        <v>178821</v>
      </c>
      <c r="J933" s="28">
        <v>86920</v>
      </c>
      <c r="K933" s="28">
        <v>48.61</v>
      </c>
      <c r="L933" s="29">
        <f>SUM(NSE_BhavCopy[[#This Row],[ CLOSE_PRICE]]-NSE_BhavCopy[[#This Row],[ PREV_CLOSE]])/NSE_BhavCopy[[#This Row],[ PREV_CLOSE]]*100</f>
        <v>3.498349834983506</v>
      </c>
    </row>
    <row r="934" spans="1:12" hidden="1" x14ac:dyDescent="0.25">
      <c r="A934" s="28" t="s">
        <v>1676</v>
      </c>
      <c r="B934" s="28" t="s">
        <v>321</v>
      </c>
      <c r="C934" s="30">
        <v>44428</v>
      </c>
      <c r="D934" s="28">
        <v>26.7</v>
      </c>
      <c r="E934" s="28">
        <v>26</v>
      </c>
      <c r="F934" s="28">
        <v>26.85</v>
      </c>
      <c r="G934" s="28">
        <v>26.25</v>
      </c>
      <c r="H934" s="28">
        <v>26.21</v>
      </c>
      <c r="I934" s="28">
        <v>20171</v>
      </c>
      <c r="J934" s="28">
        <v>9804</v>
      </c>
      <c r="K934" s="28">
        <v>48.6</v>
      </c>
      <c r="L934" s="29">
        <f>SUM(NSE_BhavCopy[[#This Row],[ CLOSE_PRICE]]-NSE_BhavCopy[[#This Row],[ PREV_CLOSE]])/NSE_BhavCopy[[#This Row],[ PREV_CLOSE]]*100</f>
        <v>-1.6853932584269637</v>
      </c>
    </row>
    <row r="935" spans="1:12" hidden="1" x14ac:dyDescent="0.25">
      <c r="A935" s="28" t="s">
        <v>560</v>
      </c>
      <c r="B935" s="28" t="s">
        <v>321</v>
      </c>
      <c r="C935" s="30">
        <v>44428</v>
      </c>
      <c r="D935" s="28">
        <v>39.35</v>
      </c>
      <c r="E935" s="28">
        <v>40.15</v>
      </c>
      <c r="F935" s="28">
        <v>40.15</v>
      </c>
      <c r="G935" s="28">
        <v>38.450000000000003</v>
      </c>
      <c r="H935" s="28">
        <v>38.94</v>
      </c>
      <c r="I935" s="28">
        <v>42671</v>
      </c>
      <c r="J935" s="28">
        <v>20709</v>
      </c>
      <c r="K935" s="28">
        <v>48.53</v>
      </c>
      <c r="L935" s="29">
        <f>SUM(NSE_BhavCopy[[#This Row],[ CLOSE_PRICE]]-NSE_BhavCopy[[#This Row],[ PREV_CLOSE]])/NSE_BhavCopy[[#This Row],[ PREV_CLOSE]]*100</f>
        <v>-2.2871664548919912</v>
      </c>
    </row>
    <row r="936" spans="1:12" hidden="1" x14ac:dyDescent="0.25">
      <c r="A936" s="28" t="s">
        <v>557</v>
      </c>
      <c r="B936" s="28" t="s">
        <v>321</v>
      </c>
      <c r="C936" s="30">
        <v>44428</v>
      </c>
      <c r="D936" s="28">
        <v>70.349999999999994</v>
      </c>
      <c r="E936" s="28">
        <v>69</v>
      </c>
      <c r="F936" s="28">
        <v>69</v>
      </c>
      <c r="G936" s="28">
        <v>65.150000000000006</v>
      </c>
      <c r="H936" s="28">
        <v>66.790000000000006</v>
      </c>
      <c r="I936" s="28">
        <v>2422476</v>
      </c>
      <c r="J936" s="28">
        <v>1175305</v>
      </c>
      <c r="K936" s="28">
        <v>48.52</v>
      </c>
      <c r="L936" s="29">
        <f>SUM(NSE_BhavCopy[[#This Row],[ CLOSE_PRICE]]-NSE_BhavCopy[[#This Row],[ PREV_CLOSE]])/NSE_BhavCopy[[#This Row],[ PREV_CLOSE]]*100</f>
        <v>-7.3916133617625999</v>
      </c>
    </row>
    <row r="937" spans="1:12" hidden="1" x14ac:dyDescent="0.25">
      <c r="A937" s="28" t="s">
        <v>1538</v>
      </c>
      <c r="B937" s="28" t="s">
        <v>321</v>
      </c>
      <c r="C937" s="30">
        <v>44428</v>
      </c>
      <c r="D937" s="28">
        <v>29.9</v>
      </c>
      <c r="E937" s="28">
        <v>29.25</v>
      </c>
      <c r="F937" s="28">
        <v>29.9</v>
      </c>
      <c r="G937" s="28">
        <v>28.65</v>
      </c>
      <c r="H937" s="28">
        <v>29.14</v>
      </c>
      <c r="I937" s="28">
        <v>166841</v>
      </c>
      <c r="J937" s="28">
        <v>80898</v>
      </c>
      <c r="K937" s="28">
        <v>48.49</v>
      </c>
      <c r="L937" s="29">
        <f>SUM(NSE_BhavCopy[[#This Row],[ CLOSE_PRICE]]-NSE_BhavCopy[[#This Row],[ PREV_CLOSE]])/NSE_BhavCopy[[#This Row],[ PREV_CLOSE]]*100</f>
        <v>-4.1806020066889635</v>
      </c>
    </row>
    <row r="938" spans="1:12" hidden="1" x14ac:dyDescent="0.25">
      <c r="A938" s="28" t="s">
        <v>993</v>
      </c>
      <c r="B938" s="28" t="s">
        <v>321</v>
      </c>
      <c r="C938" s="30">
        <v>44428</v>
      </c>
      <c r="D938" s="28">
        <v>57</v>
      </c>
      <c r="E938" s="28">
        <v>56.85</v>
      </c>
      <c r="F938" s="28">
        <v>56.85</v>
      </c>
      <c r="G938" s="28">
        <v>53.9</v>
      </c>
      <c r="H938" s="28">
        <v>55.23</v>
      </c>
      <c r="I938" s="28">
        <v>1850616</v>
      </c>
      <c r="J938" s="28">
        <v>897232</v>
      </c>
      <c r="K938" s="28">
        <v>48.48</v>
      </c>
      <c r="L938" s="29">
        <f>SUM(NSE_BhavCopy[[#This Row],[ CLOSE_PRICE]]-NSE_BhavCopy[[#This Row],[ PREV_CLOSE]])/NSE_BhavCopy[[#This Row],[ PREV_CLOSE]]*100</f>
        <v>-5.4385964912280729</v>
      </c>
    </row>
    <row r="939" spans="1:12" hidden="1" x14ac:dyDescent="0.25">
      <c r="A939" s="28" t="s">
        <v>40</v>
      </c>
      <c r="B939" s="28" t="s">
        <v>321</v>
      </c>
      <c r="C939" s="30">
        <v>44428</v>
      </c>
      <c r="D939" s="28">
        <v>1880.3</v>
      </c>
      <c r="E939" s="28">
        <v>1859.4</v>
      </c>
      <c r="F939" s="28">
        <v>1892.3</v>
      </c>
      <c r="G939" s="28">
        <v>1876.8</v>
      </c>
      <c r="H939" s="28">
        <v>1873.19</v>
      </c>
      <c r="I939" s="28">
        <v>1070166</v>
      </c>
      <c r="J939" s="28">
        <v>518629</v>
      </c>
      <c r="K939" s="28">
        <v>48.46</v>
      </c>
      <c r="L939" s="29">
        <f>SUM(NSE_BhavCopy[[#This Row],[ CLOSE_PRICE]]-NSE_BhavCopy[[#This Row],[ PREV_CLOSE]])/NSE_BhavCopy[[#This Row],[ PREV_CLOSE]]*100</f>
        <v>-0.18614050949316599</v>
      </c>
    </row>
    <row r="940" spans="1:12" hidden="1" x14ac:dyDescent="0.25">
      <c r="A940" s="28" t="s">
        <v>1570</v>
      </c>
      <c r="B940" s="28" t="s">
        <v>321</v>
      </c>
      <c r="C940" s="30">
        <v>44428</v>
      </c>
      <c r="D940" s="28">
        <v>2574</v>
      </c>
      <c r="E940" s="28">
        <v>2550</v>
      </c>
      <c r="F940" s="28">
        <v>2562</v>
      </c>
      <c r="G940" s="28">
        <v>2461.65</v>
      </c>
      <c r="H940" s="28">
        <v>2509.46</v>
      </c>
      <c r="I940" s="28">
        <v>76166</v>
      </c>
      <c r="J940" s="28">
        <v>36911</v>
      </c>
      <c r="K940" s="28">
        <v>48.46</v>
      </c>
      <c r="L940" s="29">
        <f>SUM(NSE_BhavCopy[[#This Row],[ CLOSE_PRICE]]-NSE_BhavCopy[[#This Row],[ PREV_CLOSE]])/NSE_BhavCopy[[#This Row],[ PREV_CLOSE]]*100</f>
        <v>-4.3648018648018612</v>
      </c>
    </row>
    <row r="941" spans="1:12" hidden="1" x14ac:dyDescent="0.25">
      <c r="A941" s="28" t="s">
        <v>465</v>
      </c>
      <c r="B941" s="28" t="s">
        <v>321</v>
      </c>
      <c r="C941" s="30">
        <v>44428</v>
      </c>
      <c r="D941" s="28">
        <v>1351.25</v>
      </c>
      <c r="E941" s="28">
        <v>1322</v>
      </c>
      <c r="F941" s="28">
        <v>1354.2</v>
      </c>
      <c r="G941" s="28">
        <v>1283.95</v>
      </c>
      <c r="H941" s="28">
        <v>1312.43</v>
      </c>
      <c r="I941" s="28">
        <v>21136</v>
      </c>
      <c r="J941" s="28">
        <v>10236</v>
      </c>
      <c r="K941" s="28">
        <v>48.43</v>
      </c>
      <c r="L941" s="29">
        <f>SUM(NSE_BhavCopy[[#This Row],[ CLOSE_PRICE]]-NSE_BhavCopy[[#This Row],[ PREV_CLOSE]])/NSE_BhavCopy[[#This Row],[ PREV_CLOSE]]*100</f>
        <v>-4.9805735430157227</v>
      </c>
    </row>
    <row r="942" spans="1:12" hidden="1" x14ac:dyDescent="0.25">
      <c r="A942" s="28" t="s">
        <v>657</v>
      </c>
      <c r="B942" s="28" t="s">
        <v>321</v>
      </c>
      <c r="C942" s="30">
        <v>44428</v>
      </c>
      <c r="D942" s="28">
        <v>454.65</v>
      </c>
      <c r="E942" s="28">
        <v>451.95</v>
      </c>
      <c r="F942" s="28">
        <v>451.95</v>
      </c>
      <c r="G942" s="28">
        <v>427.45</v>
      </c>
      <c r="H942" s="28">
        <v>434.36</v>
      </c>
      <c r="I942" s="28">
        <v>101767</v>
      </c>
      <c r="J942" s="28">
        <v>49288</v>
      </c>
      <c r="K942" s="28">
        <v>48.43</v>
      </c>
      <c r="L942" s="29">
        <f>SUM(NSE_BhavCopy[[#This Row],[ CLOSE_PRICE]]-NSE_BhavCopy[[#This Row],[ PREV_CLOSE]])/NSE_BhavCopy[[#This Row],[ PREV_CLOSE]]*100</f>
        <v>-5.9826239964808074</v>
      </c>
    </row>
    <row r="943" spans="1:12" hidden="1" x14ac:dyDescent="0.25">
      <c r="A943" s="28" t="s">
        <v>1608</v>
      </c>
      <c r="B943" s="28" t="s">
        <v>321</v>
      </c>
      <c r="C943" s="30">
        <v>44428</v>
      </c>
      <c r="D943" s="28">
        <v>125.2</v>
      </c>
      <c r="E943" s="28">
        <v>122</v>
      </c>
      <c r="F943" s="28">
        <v>124.95</v>
      </c>
      <c r="G943" s="28">
        <v>118.5</v>
      </c>
      <c r="H943" s="28">
        <v>121.5</v>
      </c>
      <c r="I943" s="28">
        <v>1440370</v>
      </c>
      <c r="J943" s="28">
        <v>697597</v>
      </c>
      <c r="K943" s="28">
        <v>48.43</v>
      </c>
      <c r="L943" s="29">
        <f>SUM(NSE_BhavCopy[[#This Row],[ CLOSE_PRICE]]-NSE_BhavCopy[[#This Row],[ PREV_CLOSE]])/NSE_BhavCopy[[#This Row],[ PREV_CLOSE]]*100</f>
        <v>-5.3514376996805133</v>
      </c>
    </row>
    <row r="944" spans="1:12" hidden="1" x14ac:dyDescent="0.25">
      <c r="A944" s="28" t="s">
        <v>1050</v>
      </c>
      <c r="B944" s="28" t="s">
        <v>321</v>
      </c>
      <c r="C944" s="30">
        <v>44428</v>
      </c>
      <c r="D944" s="28">
        <v>145.30000000000001</v>
      </c>
      <c r="E944" s="28">
        <v>144.4</v>
      </c>
      <c r="F944" s="28">
        <v>148</v>
      </c>
      <c r="G944" s="28">
        <v>144.44999999999999</v>
      </c>
      <c r="H944" s="28">
        <v>142.66</v>
      </c>
      <c r="I944" s="28">
        <v>146349</v>
      </c>
      <c r="J944" s="28">
        <v>70815</v>
      </c>
      <c r="K944" s="28">
        <v>48.39</v>
      </c>
      <c r="L944" s="29">
        <f>SUM(NSE_BhavCopy[[#This Row],[ CLOSE_PRICE]]-NSE_BhavCopy[[#This Row],[ PREV_CLOSE]])/NSE_BhavCopy[[#This Row],[ PREV_CLOSE]]*100</f>
        <v>-0.5849965588437871</v>
      </c>
    </row>
    <row r="945" spans="1:12" hidden="1" x14ac:dyDescent="0.25">
      <c r="A945" s="28" t="s">
        <v>945</v>
      </c>
      <c r="B945" s="28" t="s">
        <v>321</v>
      </c>
      <c r="C945" s="30">
        <v>44428</v>
      </c>
      <c r="D945" s="28">
        <v>165.7</v>
      </c>
      <c r="E945" s="28">
        <v>164.85</v>
      </c>
      <c r="F945" s="28">
        <v>165.8</v>
      </c>
      <c r="G945" s="28">
        <v>158.05000000000001</v>
      </c>
      <c r="H945" s="28">
        <v>160.86000000000001</v>
      </c>
      <c r="I945" s="28">
        <v>94951</v>
      </c>
      <c r="J945" s="28">
        <v>45901</v>
      </c>
      <c r="K945" s="28">
        <v>48.34</v>
      </c>
      <c r="L945" s="29">
        <f>SUM(NSE_BhavCopy[[#This Row],[ CLOSE_PRICE]]-NSE_BhavCopy[[#This Row],[ PREV_CLOSE]])/NSE_BhavCopy[[#This Row],[ PREV_CLOSE]]*100</f>
        <v>-4.6167773083886408</v>
      </c>
    </row>
    <row r="946" spans="1:12" hidden="1" x14ac:dyDescent="0.25">
      <c r="A946" s="28" t="s">
        <v>973</v>
      </c>
      <c r="B946" s="28" t="s">
        <v>321</v>
      </c>
      <c r="C946" s="30">
        <v>44428</v>
      </c>
      <c r="D946" s="28">
        <v>27.3</v>
      </c>
      <c r="E946" s="28">
        <v>26.6</v>
      </c>
      <c r="F946" s="28">
        <v>27.2</v>
      </c>
      <c r="G946" s="28">
        <v>26.35</v>
      </c>
      <c r="H946" s="28">
        <v>26.63</v>
      </c>
      <c r="I946" s="28">
        <v>263927</v>
      </c>
      <c r="J946" s="28">
        <v>127491</v>
      </c>
      <c r="K946" s="28">
        <v>48.31</v>
      </c>
      <c r="L946" s="29">
        <f>SUM(NSE_BhavCopy[[#This Row],[ CLOSE_PRICE]]-NSE_BhavCopy[[#This Row],[ PREV_CLOSE]])/NSE_BhavCopy[[#This Row],[ PREV_CLOSE]]*100</f>
        <v>-3.4798534798534773</v>
      </c>
    </row>
    <row r="947" spans="1:12" hidden="1" x14ac:dyDescent="0.25">
      <c r="A947" s="28" t="s">
        <v>784</v>
      </c>
      <c r="B947" s="28" t="s">
        <v>321</v>
      </c>
      <c r="C947" s="30">
        <v>44428</v>
      </c>
      <c r="D947" s="28">
        <v>583.4</v>
      </c>
      <c r="E947" s="28">
        <v>566</v>
      </c>
      <c r="F947" s="28">
        <v>577.75</v>
      </c>
      <c r="G947" s="28">
        <v>557.4</v>
      </c>
      <c r="H947" s="28">
        <v>562.66999999999996</v>
      </c>
      <c r="I947" s="28">
        <v>160673</v>
      </c>
      <c r="J947" s="28">
        <v>77550</v>
      </c>
      <c r="K947" s="28">
        <v>48.27</v>
      </c>
      <c r="L947" s="29">
        <f>SUM(NSE_BhavCopy[[#This Row],[ CLOSE_PRICE]]-NSE_BhavCopy[[#This Row],[ PREV_CLOSE]])/NSE_BhavCopy[[#This Row],[ PREV_CLOSE]]*100</f>
        <v>-4.4566335275968463</v>
      </c>
    </row>
    <row r="948" spans="1:12" hidden="1" x14ac:dyDescent="0.25">
      <c r="A948" s="28" t="s">
        <v>1527</v>
      </c>
      <c r="B948" s="28" t="s">
        <v>321</v>
      </c>
      <c r="C948" s="30">
        <v>44428</v>
      </c>
      <c r="D948" s="28">
        <v>36.75</v>
      </c>
      <c r="E948" s="28">
        <v>35.75</v>
      </c>
      <c r="F948" s="28">
        <v>36.35</v>
      </c>
      <c r="G948" s="28">
        <v>34.700000000000003</v>
      </c>
      <c r="H948" s="28">
        <v>35.35</v>
      </c>
      <c r="I948" s="28">
        <v>5036428</v>
      </c>
      <c r="J948" s="28">
        <v>2428742</v>
      </c>
      <c r="K948" s="28">
        <v>48.22</v>
      </c>
      <c r="L948" s="29">
        <f>SUM(NSE_BhavCopy[[#This Row],[ CLOSE_PRICE]]-NSE_BhavCopy[[#This Row],[ PREV_CLOSE]])/NSE_BhavCopy[[#This Row],[ PREV_CLOSE]]*100</f>
        <v>-5.5782312925169988</v>
      </c>
    </row>
    <row r="949" spans="1:12" hidden="1" x14ac:dyDescent="0.25">
      <c r="A949" s="28" t="s">
        <v>1203</v>
      </c>
      <c r="B949" s="28" t="s">
        <v>321</v>
      </c>
      <c r="C949" s="30">
        <v>44428</v>
      </c>
      <c r="D949" s="28">
        <v>119.15</v>
      </c>
      <c r="E949" s="28">
        <v>117.5</v>
      </c>
      <c r="F949" s="28">
        <v>119.2</v>
      </c>
      <c r="G949" s="28">
        <v>115.15</v>
      </c>
      <c r="H949" s="28">
        <v>116.44</v>
      </c>
      <c r="I949" s="28">
        <v>334138</v>
      </c>
      <c r="J949" s="28">
        <v>161019</v>
      </c>
      <c r="K949" s="28">
        <v>48.19</v>
      </c>
      <c r="L949" s="29">
        <f>SUM(NSE_BhavCopy[[#This Row],[ CLOSE_PRICE]]-NSE_BhavCopy[[#This Row],[ PREV_CLOSE]])/NSE_BhavCopy[[#This Row],[ PREV_CLOSE]]*100</f>
        <v>-3.3571128829206884</v>
      </c>
    </row>
    <row r="950" spans="1:12" hidden="1" x14ac:dyDescent="0.25">
      <c r="A950" s="28" t="s">
        <v>1278</v>
      </c>
      <c r="B950" s="28" t="s">
        <v>321</v>
      </c>
      <c r="C950" s="30">
        <v>44428</v>
      </c>
      <c r="D950" s="28">
        <v>490.2</v>
      </c>
      <c r="E950" s="28">
        <v>490</v>
      </c>
      <c r="F950" s="28">
        <v>501.9</v>
      </c>
      <c r="G950" s="28">
        <v>461.05</v>
      </c>
      <c r="H950" s="28">
        <v>474.11</v>
      </c>
      <c r="I950" s="28">
        <v>307250</v>
      </c>
      <c r="J950" s="28">
        <v>147964</v>
      </c>
      <c r="K950" s="28">
        <v>48.16</v>
      </c>
      <c r="L950" s="29">
        <f>SUM(NSE_BhavCopy[[#This Row],[ CLOSE_PRICE]]-NSE_BhavCopy[[#This Row],[ PREV_CLOSE]])/NSE_BhavCopy[[#This Row],[ PREV_CLOSE]]*100</f>
        <v>-5.946552427580575</v>
      </c>
    </row>
    <row r="951" spans="1:12" hidden="1" x14ac:dyDescent="0.25">
      <c r="A951" s="28" t="s">
        <v>1252</v>
      </c>
      <c r="B951" s="28" t="s">
        <v>321</v>
      </c>
      <c r="C951" s="30">
        <v>44428</v>
      </c>
      <c r="D951" s="28">
        <v>80.25</v>
      </c>
      <c r="E951" s="28">
        <v>79.5</v>
      </c>
      <c r="F951" s="28">
        <v>81.8</v>
      </c>
      <c r="G951" s="28">
        <v>76.3</v>
      </c>
      <c r="H951" s="28">
        <v>78.930000000000007</v>
      </c>
      <c r="I951" s="28">
        <v>705943</v>
      </c>
      <c r="J951" s="28">
        <v>339853</v>
      </c>
      <c r="K951" s="28">
        <v>48.14</v>
      </c>
      <c r="L951" s="29">
        <f>SUM(NSE_BhavCopy[[#This Row],[ CLOSE_PRICE]]-NSE_BhavCopy[[#This Row],[ PREV_CLOSE]])/NSE_BhavCopy[[#This Row],[ PREV_CLOSE]]*100</f>
        <v>-4.922118380062309</v>
      </c>
    </row>
    <row r="952" spans="1:12" hidden="1" x14ac:dyDescent="0.25">
      <c r="A952" s="28" t="s">
        <v>1621</v>
      </c>
      <c r="B952" s="28" t="s">
        <v>321</v>
      </c>
      <c r="C952" s="30">
        <v>44428</v>
      </c>
      <c r="D952" s="28">
        <v>176.7</v>
      </c>
      <c r="E952" s="28">
        <v>174.1</v>
      </c>
      <c r="F952" s="28">
        <v>175.7</v>
      </c>
      <c r="G952" s="28">
        <v>170.45</v>
      </c>
      <c r="H952" s="28">
        <v>172.23</v>
      </c>
      <c r="I952" s="28">
        <v>10080518</v>
      </c>
      <c r="J952" s="28">
        <v>4852641</v>
      </c>
      <c r="K952" s="28">
        <v>48.14</v>
      </c>
      <c r="L952" s="29">
        <f>SUM(NSE_BhavCopy[[#This Row],[ CLOSE_PRICE]]-NSE_BhavCopy[[#This Row],[ PREV_CLOSE]])/NSE_BhavCopy[[#This Row],[ PREV_CLOSE]]*100</f>
        <v>-3.5370684776457271</v>
      </c>
    </row>
    <row r="953" spans="1:12" hidden="1" x14ac:dyDescent="0.25">
      <c r="A953" s="28" t="s">
        <v>1453</v>
      </c>
      <c r="B953" s="28" t="s">
        <v>321</v>
      </c>
      <c r="C953" s="30">
        <v>44428</v>
      </c>
      <c r="D953" s="28">
        <v>160.85</v>
      </c>
      <c r="E953" s="28">
        <v>155.19999999999999</v>
      </c>
      <c r="F953" s="28">
        <v>171.4</v>
      </c>
      <c r="G953" s="28">
        <v>160</v>
      </c>
      <c r="H953" s="28">
        <v>162.69</v>
      </c>
      <c r="I953" s="28">
        <v>49108</v>
      </c>
      <c r="J953" s="28">
        <v>23628</v>
      </c>
      <c r="K953" s="28">
        <v>48.11</v>
      </c>
      <c r="L953" s="29">
        <f>SUM(NSE_BhavCopy[[#This Row],[ CLOSE_PRICE]]-NSE_BhavCopy[[#This Row],[ PREV_CLOSE]])/NSE_BhavCopy[[#This Row],[ PREV_CLOSE]]*100</f>
        <v>-0.52844264843021094</v>
      </c>
    </row>
    <row r="954" spans="1:12" hidden="1" x14ac:dyDescent="0.25">
      <c r="A954" s="28" t="s">
        <v>1435</v>
      </c>
      <c r="B954" s="28" t="s">
        <v>321</v>
      </c>
      <c r="C954" s="30">
        <v>44428</v>
      </c>
      <c r="D954" s="28">
        <v>77.95</v>
      </c>
      <c r="E954" s="28">
        <v>77</v>
      </c>
      <c r="F954" s="28">
        <v>84.9</v>
      </c>
      <c r="G954" s="28">
        <v>78.650000000000006</v>
      </c>
      <c r="H954" s="28">
        <v>80.290000000000006</v>
      </c>
      <c r="I954" s="28">
        <v>1350744</v>
      </c>
      <c r="J954" s="28">
        <v>649701</v>
      </c>
      <c r="K954" s="28">
        <v>48.1</v>
      </c>
      <c r="L954" s="29">
        <f>SUM(NSE_BhavCopy[[#This Row],[ CLOSE_PRICE]]-NSE_BhavCopy[[#This Row],[ PREV_CLOSE]])/NSE_BhavCopy[[#This Row],[ PREV_CLOSE]]*100</f>
        <v>0.89801154586273624</v>
      </c>
    </row>
    <row r="955" spans="1:12" hidden="1" x14ac:dyDescent="0.25">
      <c r="A955" s="28" t="s">
        <v>1290</v>
      </c>
      <c r="B955" s="28" t="s">
        <v>321</v>
      </c>
      <c r="C955" s="30">
        <v>44428</v>
      </c>
      <c r="D955" s="28">
        <v>1210.1500000000001</v>
      </c>
      <c r="E955" s="28">
        <v>1209</v>
      </c>
      <c r="F955" s="28">
        <v>1209</v>
      </c>
      <c r="G955" s="28">
        <v>1199.1500000000001</v>
      </c>
      <c r="H955" s="28">
        <v>1192.42</v>
      </c>
      <c r="I955" s="28">
        <v>200438</v>
      </c>
      <c r="J955" s="28">
        <v>96338</v>
      </c>
      <c r="K955" s="28">
        <v>48.06</v>
      </c>
      <c r="L955" s="29">
        <f>SUM(NSE_BhavCopy[[#This Row],[ CLOSE_PRICE]]-NSE_BhavCopy[[#This Row],[ PREV_CLOSE]])/NSE_BhavCopy[[#This Row],[ PREV_CLOSE]]*100</f>
        <v>-0.90897822583977195</v>
      </c>
    </row>
    <row r="956" spans="1:12" hidden="1" x14ac:dyDescent="0.25">
      <c r="A956" s="28" t="s">
        <v>854</v>
      </c>
      <c r="B956" s="28" t="s">
        <v>321</v>
      </c>
      <c r="C956" s="30">
        <v>44428</v>
      </c>
      <c r="D956" s="28">
        <v>140.55000000000001</v>
      </c>
      <c r="E956" s="28">
        <v>139.5</v>
      </c>
      <c r="F956" s="28">
        <v>140</v>
      </c>
      <c r="G956" s="28">
        <v>138.55000000000001</v>
      </c>
      <c r="H956" s="28">
        <v>138.68</v>
      </c>
      <c r="I956" s="28">
        <v>1032422</v>
      </c>
      <c r="J956" s="28">
        <v>495708</v>
      </c>
      <c r="K956" s="28">
        <v>48.01</v>
      </c>
      <c r="L956" s="29">
        <f>SUM(NSE_BhavCopy[[#This Row],[ CLOSE_PRICE]]-NSE_BhavCopy[[#This Row],[ PREV_CLOSE]])/NSE_BhavCopy[[#This Row],[ PREV_CLOSE]]*100</f>
        <v>-1.422981145499822</v>
      </c>
    </row>
    <row r="957" spans="1:12" hidden="1" x14ac:dyDescent="0.25">
      <c r="A957" s="28" t="s">
        <v>699</v>
      </c>
      <c r="B957" s="28" t="s">
        <v>321</v>
      </c>
      <c r="C957" s="30">
        <v>44428</v>
      </c>
      <c r="D957" s="28">
        <v>78.3</v>
      </c>
      <c r="E957" s="28">
        <v>76.55</v>
      </c>
      <c r="F957" s="28">
        <v>77.849999999999994</v>
      </c>
      <c r="G957" s="28">
        <v>75.849999999999994</v>
      </c>
      <c r="H957" s="28">
        <v>76.540000000000006</v>
      </c>
      <c r="I957" s="28">
        <v>454549</v>
      </c>
      <c r="J957" s="28">
        <v>218018</v>
      </c>
      <c r="K957" s="28">
        <v>47.96</v>
      </c>
      <c r="L957" s="29">
        <f>SUM(NSE_BhavCopy[[#This Row],[ CLOSE_PRICE]]-NSE_BhavCopy[[#This Row],[ PREV_CLOSE]])/NSE_BhavCopy[[#This Row],[ PREV_CLOSE]]*100</f>
        <v>-3.1289910600255468</v>
      </c>
    </row>
    <row r="958" spans="1:12" hidden="1" x14ac:dyDescent="0.25">
      <c r="A958" s="28" t="s">
        <v>413</v>
      </c>
      <c r="B958" s="28" t="s">
        <v>321</v>
      </c>
      <c r="C958" s="30">
        <v>44428</v>
      </c>
      <c r="D958" s="28">
        <v>456.15</v>
      </c>
      <c r="E958" s="28">
        <v>449</v>
      </c>
      <c r="F958" s="28">
        <v>456</v>
      </c>
      <c r="G958" s="28">
        <v>441.5</v>
      </c>
      <c r="H958" s="28">
        <v>445.25</v>
      </c>
      <c r="I958" s="28">
        <v>43408</v>
      </c>
      <c r="J958" s="28">
        <v>20802</v>
      </c>
      <c r="K958" s="28">
        <v>47.92</v>
      </c>
      <c r="L958" s="29">
        <f>SUM(NSE_BhavCopy[[#This Row],[ CLOSE_PRICE]]-NSE_BhavCopy[[#This Row],[ PREV_CLOSE]])/NSE_BhavCopy[[#This Row],[ PREV_CLOSE]]*100</f>
        <v>-3.2116628302093559</v>
      </c>
    </row>
    <row r="959" spans="1:12" hidden="1" x14ac:dyDescent="0.25">
      <c r="A959" s="28" t="s">
        <v>1733</v>
      </c>
      <c r="B959" s="28" t="s">
        <v>321</v>
      </c>
      <c r="C959" s="30">
        <v>44428</v>
      </c>
      <c r="D959" s="28">
        <v>43.05</v>
      </c>
      <c r="E959" s="28">
        <v>45.2</v>
      </c>
      <c r="F959" s="28">
        <v>45.2</v>
      </c>
      <c r="G959" s="28">
        <v>41.2</v>
      </c>
      <c r="H959" s="28">
        <v>43.7</v>
      </c>
      <c r="I959" s="28">
        <v>29692</v>
      </c>
      <c r="J959" s="28">
        <v>14228</v>
      </c>
      <c r="K959" s="28">
        <v>47.92</v>
      </c>
      <c r="L959" s="29">
        <f>SUM(NSE_BhavCopy[[#This Row],[ CLOSE_PRICE]]-NSE_BhavCopy[[#This Row],[ PREV_CLOSE]])/NSE_BhavCopy[[#This Row],[ PREV_CLOSE]]*100</f>
        <v>-4.2973286875725769</v>
      </c>
    </row>
    <row r="960" spans="1:12" hidden="1" x14ac:dyDescent="0.25">
      <c r="A960" s="28" t="s">
        <v>546</v>
      </c>
      <c r="B960" s="28" t="s">
        <v>321</v>
      </c>
      <c r="C960" s="30">
        <v>44428</v>
      </c>
      <c r="D960" s="28">
        <v>536.04999999999995</v>
      </c>
      <c r="E960" s="28">
        <v>530</v>
      </c>
      <c r="F960" s="28">
        <v>540.54999999999995</v>
      </c>
      <c r="G960" s="28">
        <v>522.70000000000005</v>
      </c>
      <c r="H960" s="28">
        <v>524.49</v>
      </c>
      <c r="I960" s="28">
        <v>99991</v>
      </c>
      <c r="J960" s="28">
        <v>47855</v>
      </c>
      <c r="K960" s="28">
        <v>47.86</v>
      </c>
      <c r="L960" s="29">
        <f>SUM(NSE_BhavCopy[[#This Row],[ CLOSE_PRICE]]-NSE_BhavCopy[[#This Row],[ PREV_CLOSE]])/NSE_BhavCopy[[#This Row],[ PREV_CLOSE]]*100</f>
        <v>-2.4904393246898442</v>
      </c>
    </row>
    <row r="961" spans="1:12" hidden="1" x14ac:dyDescent="0.25">
      <c r="A961" s="28" t="s">
        <v>1438</v>
      </c>
      <c r="B961" s="28" t="s">
        <v>321</v>
      </c>
      <c r="C961" s="30">
        <v>44428</v>
      </c>
      <c r="D961" s="28">
        <v>273.39999999999998</v>
      </c>
      <c r="E961" s="28">
        <v>269.5</v>
      </c>
      <c r="F961" s="28">
        <v>272.2</v>
      </c>
      <c r="G961" s="28">
        <v>261.95</v>
      </c>
      <c r="H961" s="28">
        <v>264.69</v>
      </c>
      <c r="I961" s="28">
        <v>418546</v>
      </c>
      <c r="J961" s="28">
        <v>200260</v>
      </c>
      <c r="K961" s="28">
        <v>47.85</v>
      </c>
      <c r="L961" s="29">
        <f>SUM(NSE_BhavCopy[[#This Row],[ CLOSE_PRICE]]-NSE_BhavCopy[[#This Row],[ PREV_CLOSE]])/NSE_BhavCopy[[#This Row],[ PREV_CLOSE]]*100</f>
        <v>-4.188002926115578</v>
      </c>
    </row>
    <row r="962" spans="1:12" hidden="1" x14ac:dyDescent="0.25">
      <c r="A962" s="28" t="s">
        <v>1299</v>
      </c>
      <c r="B962" s="28" t="s">
        <v>321</v>
      </c>
      <c r="C962" s="30">
        <v>44428</v>
      </c>
      <c r="D962" s="28">
        <v>51.2</v>
      </c>
      <c r="E962" s="28">
        <v>50.5</v>
      </c>
      <c r="F962" s="28">
        <v>50.5</v>
      </c>
      <c r="G962" s="28">
        <v>48.75</v>
      </c>
      <c r="H962" s="28">
        <v>49.46</v>
      </c>
      <c r="I962" s="28">
        <v>807780</v>
      </c>
      <c r="J962" s="28">
        <v>386381</v>
      </c>
      <c r="K962" s="28">
        <v>47.83</v>
      </c>
      <c r="L962" s="29">
        <f>SUM(NSE_BhavCopy[[#This Row],[ CLOSE_PRICE]]-NSE_BhavCopy[[#This Row],[ PREV_CLOSE]])/NSE_BhavCopy[[#This Row],[ PREV_CLOSE]]*100</f>
        <v>-4.7851562500000053</v>
      </c>
    </row>
    <row r="963" spans="1:12" hidden="1" x14ac:dyDescent="0.25">
      <c r="A963" s="28" t="s">
        <v>1274</v>
      </c>
      <c r="B963" s="28" t="s">
        <v>321</v>
      </c>
      <c r="C963" s="30">
        <v>44428</v>
      </c>
      <c r="D963" s="28">
        <v>285.8</v>
      </c>
      <c r="E963" s="28">
        <v>286</v>
      </c>
      <c r="F963" s="28">
        <v>286</v>
      </c>
      <c r="G963" s="28">
        <v>279.39999999999998</v>
      </c>
      <c r="H963" s="28">
        <v>281.2</v>
      </c>
      <c r="I963" s="28">
        <v>290282</v>
      </c>
      <c r="J963" s="28">
        <v>138733</v>
      </c>
      <c r="K963" s="28">
        <v>47.79</v>
      </c>
      <c r="L963" s="29">
        <f>SUM(NSE_BhavCopy[[#This Row],[ CLOSE_PRICE]]-NSE_BhavCopy[[#This Row],[ PREV_CLOSE]])/NSE_BhavCopy[[#This Row],[ PREV_CLOSE]]*100</f>
        <v>-2.2393282015395499</v>
      </c>
    </row>
    <row r="964" spans="1:12" hidden="1" x14ac:dyDescent="0.25">
      <c r="A964" s="28" t="s">
        <v>1032</v>
      </c>
      <c r="B964" s="28" t="s">
        <v>321</v>
      </c>
      <c r="C964" s="30">
        <v>44428</v>
      </c>
      <c r="D964" s="28">
        <v>283.7</v>
      </c>
      <c r="E964" s="28">
        <v>283.95</v>
      </c>
      <c r="F964" s="28">
        <v>287.89999999999998</v>
      </c>
      <c r="G964" s="28">
        <v>271.55</v>
      </c>
      <c r="H964" s="28">
        <v>278.12</v>
      </c>
      <c r="I964" s="28">
        <v>27960</v>
      </c>
      <c r="J964" s="28">
        <v>13360</v>
      </c>
      <c r="K964" s="28">
        <v>47.78</v>
      </c>
      <c r="L964" s="29">
        <f>SUM(NSE_BhavCopy[[#This Row],[ CLOSE_PRICE]]-NSE_BhavCopy[[#This Row],[ PREV_CLOSE]])/NSE_BhavCopy[[#This Row],[ PREV_CLOSE]]*100</f>
        <v>-4.2826929855481062</v>
      </c>
    </row>
    <row r="965" spans="1:12" hidden="1" x14ac:dyDescent="0.25">
      <c r="A965" s="28" t="s">
        <v>1082</v>
      </c>
      <c r="B965" s="28" t="s">
        <v>321</v>
      </c>
      <c r="C965" s="30">
        <v>44428</v>
      </c>
      <c r="D965" s="28">
        <v>181.8</v>
      </c>
      <c r="E965" s="28">
        <v>181.2</v>
      </c>
      <c r="F965" s="28">
        <v>181.55</v>
      </c>
      <c r="G965" s="28">
        <v>179.55</v>
      </c>
      <c r="H965" s="28">
        <v>180.14</v>
      </c>
      <c r="I965" s="28">
        <v>261324</v>
      </c>
      <c r="J965" s="28">
        <v>124817</v>
      </c>
      <c r="K965" s="28">
        <v>47.76</v>
      </c>
      <c r="L965" s="29">
        <f>SUM(NSE_BhavCopy[[#This Row],[ CLOSE_PRICE]]-NSE_BhavCopy[[#This Row],[ PREV_CLOSE]])/NSE_BhavCopy[[#This Row],[ PREV_CLOSE]]*100</f>
        <v>-1.2376237623762376</v>
      </c>
    </row>
    <row r="966" spans="1:12" hidden="1" x14ac:dyDescent="0.25">
      <c r="A966" s="28" t="s">
        <v>451</v>
      </c>
      <c r="B966" s="28" t="s">
        <v>321</v>
      </c>
      <c r="C966" s="30">
        <v>44428</v>
      </c>
      <c r="D966" s="28">
        <v>128.5</v>
      </c>
      <c r="E966" s="28">
        <v>129</v>
      </c>
      <c r="F966" s="28">
        <v>129.75</v>
      </c>
      <c r="G966" s="28">
        <v>126.55</v>
      </c>
      <c r="H966" s="28">
        <v>127.76</v>
      </c>
      <c r="I966" s="28">
        <v>270890</v>
      </c>
      <c r="J966" s="28">
        <v>129358</v>
      </c>
      <c r="K966" s="28">
        <v>47.75</v>
      </c>
      <c r="L966" s="29">
        <f>SUM(NSE_BhavCopy[[#This Row],[ CLOSE_PRICE]]-NSE_BhavCopy[[#This Row],[ PREV_CLOSE]])/NSE_BhavCopy[[#This Row],[ PREV_CLOSE]]*100</f>
        <v>-1.5175097276264613</v>
      </c>
    </row>
    <row r="967" spans="1:12" hidden="1" x14ac:dyDescent="0.25">
      <c r="A967" s="28" t="s">
        <v>543</v>
      </c>
      <c r="B967" s="28" t="s">
        <v>321</v>
      </c>
      <c r="C967" s="30">
        <v>44428</v>
      </c>
      <c r="D967" s="28">
        <v>104.95</v>
      </c>
      <c r="E967" s="28">
        <v>104</v>
      </c>
      <c r="F967" s="28">
        <v>104.75</v>
      </c>
      <c r="G967" s="28">
        <v>101.35</v>
      </c>
      <c r="H967" s="28">
        <v>102.09</v>
      </c>
      <c r="I967" s="28">
        <v>452696</v>
      </c>
      <c r="J967" s="28">
        <v>216090</v>
      </c>
      <c r="K967" s="28">
        <v>47.73</v>
      </c>
      <c r="L967" s="29">
        <f>SUM(NSE_BhavCopy[[#This Row],[ CLOSE_PRICE]]-NSE_BhavCopy[[#This Row],[ PREV_CLOSE]])/NSE_BhavCopy[[#This Row],[ PREV_CLOSE]]*100</f>
        <v>-3.4302048594568921</v>
      </c>
    </row>
    <row r="968" spans="1:12" hidden="1" x14ac:dyDescent="0.25">
      <c r="A968" s="28" t="s">
        <v>1042</v>
      </c>
      <c r="B968" s="28" t="s">
        <v>321</v>
      </c>
      <c r="C968" s="30">
        <v>44428</v>
      </c>
      <c r="D968" s="28">
        <v>1034.9000000000001</v>
      </c>
      <c r="E968" s="28">
        <v>1015.5</v>
      </c>
      <c r="F968" s="28">
        <v>1024.95</v>
      </c>
      <c r="G968" s="28">
        <v>986.8</v>
      </c>
      <c r="H968" s="28">
        <v>999.2</v>
      </c>
      <c r="I968" s="28">
        <v>224645</v>
      </c>
      <c r="J968" s="28">
        <v>107196</v>
      </c>
      <c r="K968" s="28">
        <v>47.72</v>
      </c>
      <c r="L968" s="29">
        <f>SUM(NSE_BhavCopy[[#This Row],[ CLOSE_PRICE]]-NSE_BhavCopy[[#This Row],[ PREV_CLOSE]])/NSE_BhavCopy[[#This Row],[ PREV_CLOSE]]*100</f>
        <v>-4.6477920572036071</v>
      </c>
    </row>
    <row r="969" spans="1:12" hidden="1" x14ac:dyDescent="0.25">
      <c r="A969" s="28" t="s">
        <v>1277</v>
      </c>
      <c r="B969" s="28" t="s">
        <v>321</v>
      </c>
      <c r="C969" s="30">
        <v>44428</v>
      </c>
      <c r="D969" s="28">
        <v>294.05</v>
      </c>
      <c r="E969" s="28">
        <v>290</v>
      </c>
      <c r="F969" s="28">
        <v>294.64999999999998</v>
      </c>
      <c r="G969" s="28">
        <v>287.2</v>
      </c>
      <c r="H969" s="28">
        <v>288.22000000000003</v>
      </c>
      <c r="I969" s="28">
        <v>91349</v>
      </c>
      <c r="J969" s="28">
        <v>43587</v>
      </c>
      <c r="K969" s="28">
        <v>47.71</v>
      </c>
      <c r="L969" s="29">
        <f>SUM(NSE_BhavCopy[[#This Row],[ CLOSE_PRICE]]-NSE_BhavCopy[[#This Row],[ PREV_CLOSE]])/NSE_BhavCopy[[#This Row],[ PREV_CLOSE]]*100</f>
        <v>-2.3295357932324512</v>
      </c>
    </row>
    <row r="970" spans="1:12" hidden="1" x14ac:dyDescent="0.25">
      <c r="A970" s="28" t="s">
        <v>1550</v>
      </c>
      <c r="B970" s="28" t="s">
        <v>321</v>
      </c>
      <c r="C970" s="30">
        <v>44428</v>
      </c>
      <c r="D970" s="28">
        <v>6.3</v>
      </c>
      <c r="E970" s="28">
        <v>6.25</v>
      </c>
      <c r="F970" s="28">
        <v>6.45</v>
      </c>
      <c r="G970" s="28">
        <v>6.25</v>
      </c>
      <c r="H970" s="28">
        <v>6.32</v>
      </c>
      <c r="I970" s="28">
        <v>2163852</v>
      </c>
      <c r="J970" s="28">
        <v>1032381</v>
      </c>
      <c r="K970" s="28">
        <v>47.71</v>
      </c>
      <c r="L970" s="29">
        <f>SUM(NSE_BhavCopy[[#This Row],[ CLOSE_PRICE]]-NSE_BhavCopy[[#This Row],[ PREV_CLOSE]])/NSE_BhavCopy[[#This Row],[ PREV_CLOSE]]*100</f>
        <v>-0.79365079365079083</v>
      </c>
    </row>
    <row r="971" spans="1:12" hidden="1" x14ac:dyDescent="0.25">
      <c r="A971" s="28" t="s">
        <v>629</v>
      </c>
      <c r="B971" s="28" t="s">
        <v>321</v>
      </c>
      <c r="C971" s="30">
        <v>44428</v>
      </c>
      <c r="D971" s="28">
        <v>414.15</v>
      </c>
      <c r="E971" s="28">
        <v>407</v>
      </c>
      <c r="F971" s="28">
        <v>410.4</v>
      </c>
      <c r="G971" s="28">
        <v>401.95</v>
      </c>
      <c r="H971" s="28">
        <v>404.98</v>
      </c>
      <c r="I971" s="28">
        <v>178215</v>
      </c>
      <c r="J971" s="28">
        <v>84958</v>
      </c>
      <c r="K971" s="28">
        <v>47.67</v>
      </c>
      <c r="L971" s="29">
        <f>SUM(NSE_BhavCopy[[#This Row],[ CLOSE_PRICE]]-NSE_BhavCopy[[#This Row],[ PREV_CLOSE]])/NSE_BhavCopy[[#This Row],[ PREV_CLOSE]]*100</f>
        <v>-2.9457925872268476</v>
      </c>
    </row>
    <row r="972" spans="1:12" hidden="1" x14ac:dyDescent="0.25">
      <c r="A972" s="28" t="s">
        <v>1169</v>
      </c>
      <c r="B972" s="28" t="s">
        <v>321</v>
      </c>
      <c r="C972" s="30">
        <v>44428</v>
      </c>
      <c r="D972" s="28">
        <v>186.39</v>
      </c>
      <c r="E972" s="28">
        <v>188.48</v>
      </c>
      <c r="F972" s="28">
        <v>188.48</v>
      </c>
      <c r="G972" s="28">
        <v>186.3</v>
      </c>
      <c r="H972" s="28">
        <v>185.4</v>
      </c>
      <c r="I972" s="28">
        <v>376</v>
      </c>
      <c r="J972" s="28">
        <v>179</v>
      </c>
      <c r="K972" s="28">
        <v>47.61</v>
      </c>
      <c r="L972" s="29">
        <f>SUM(NSE_BhavCopy[[#This Row],[ CLOSE_PRICE]]-NSE_BhavCopy[[#This Row],[ PREV_CLOSE]])/NSE_BhavCopy[[#This Row],[ PREV_CLOSE]]*100</f>
        <v>-4.8285852245278718E-2</v>
      </c>
    </row>
    <row r="973" spans="1:12" hidden="1" x14ac:dyDescent="0.25">
      <c r="A973" s="28" t="s">
        <v>896</v>
      </c>
      <c r="B973" s="28" t="s">
        <v>321</v>
      </c>
      <c r="C973" s="30">
        <v>44428</v>
      </c>
      <c r="D973" s="28">
        <v>103.3</v>
      </c>
      <c r="E973" s="28">
        <v>102</v>
      </c>
      <c r="F973" s="28">
        <v>104.95</v>
      </c>
      <c r="G973" s="28">
        <v>98.55</v>
      </c>
      <c r="H973" s="28">
        <v>100.94</v>
      </c>
      <c r="I973" s="28">
        <v>77089</v>
      </c>
      <c r="J973" s="28">
        <v>36684</v>
      </c>
      <c r="K973" s="28">
        <v>47.59</v>
      </c>
      <c r="L973" s="29">
        <f>SUM(NSE_BhavCopy[[#This Row],[ CLOSE_PRICE]]-NSE_BhavCopy[[#This Row],[ PREV_CLOSE]])/NSE_BhavCopy[[#This Row],[ PREV_CLOSE]]*100</f>
        <v>-4.5982575024201351</v>
      </c>
    </row>
    <row r="974" spans="1:12" hidden="1" x14ac:dyDescent="0.25">
      <c r="A974" s="28" t="s">
        <v>526</v>
      </c>
      <c r="B974" s="28" t="s">
        <v>321</v>
      </c>
      <c r="C974" s="30">
        <v>44428</v>
      </c>
      <c r="D974" s="28">
        <v>1326.05</v>
      </c>
      <c r="E974" s="28">
        <v>1317</v>
      </c>
      <c r="F974" s="28">
        <v>1325</v>
      </c>
      <c r="G974" s="28">
        <v>1298.6500000000001</v>
      </c>
      <c r="H974" s="28">
        <v>1308.01</v>
      </c>
      <c r="I974" s="28">
        <v>116716</v>
      </c>
      <c r="J974" s="28">
        <v>55527</v>
      </c>
      <c r="K974" s="28">
        <v>47.57</v>
      </c>
      <c r="L974" s="29">
        <f>SUM(NSE_BhavCopy[[#This Row],[ CLOSE_PRICE]]-NSE_BhavCopy[[#This Row],[ PREV_CLOSE]])/NSE_BhavCopy[[#This Row],[ PREV_CLOSE]]*100</f>
        <v>-2.0662870932468507</v>
      </c>
    </row>
    <row r="975" spans="1:12" hidden="1" x14ac:dyDescent="0.25">
      <c r="A975" s="28" t="s">
        <v>953</v>
      </c>
      <c r="B975" s="28" t="s">
        <v>321</v>
      </c>
      <c r="C975" s="30">
        <v>44428</v>
      </c>
      <c r="D975" s="28">
        <v>401.4</v>
      </c>
      <c r="E975" s="28">
        <v>392</v>
      </c>
      <c r="F975" s="28">
        <v>401.3</v>
      </c>
      <c r="G975" s="28">
        <v>389.3</v>
      </c>
      <c r="H975" s="28">
        <v>394.28</v>
      </c>
      <c r="I975" s="28">
        <v>258489</v>
      </c>
      <c r="J975" s="28">
        <v>122953</v>
      </c>
      <c r="K975" s="28">
        <v>47.57</v>
      </c>
      <c r="L975" s="29">
        <f>SUM(NSE_BhavCopy[[#This Row],[ CLOSE_PRICE]]-NSE_BhavCopy[[#This Row],[ PREV_CLOSE]])/NSE_BhavCopy[[#This Row],[ PREV_CLOSE]]*100</f>
        <v>-3.0144494270054727</v>
      </c>
    </row>
    <row r="976" spans="1:12" hidden="1" x14ac:dyDescent="0.25">
      <c r="A976" s="28" t="s">
        <v>1009</v>
      </c>
      <c r="B976" s="28" t="s">
        <v>321</v>
      </c>
      <c r="C976" s="30">
        <v>44428</v>
      </c>
      <c r="D976" s="28">
        <v>597.28</v>
      </c>
      <c r="E976" s="28">
        <v>585.35</v>
      </c>
      <c r="F976" s="28">
        <v>595</v>
      </c>
      <c r="G976" s="28">
        <v>591.12</v>
      </c>
      <c r="H976" s="28">
        <v>590.76</v>
      </c>
      <c r="I976" s="28">
        <v>223</v>
      </c>
      <c r="J976" s="28">
        <v>106</v>
      </c>
      <c r="K976" s="28">
        <v>47.53</v>
      </c>
      <c r="L976" s="29">
        <f>SUM(NSE_BhavCopy[[#This Row],[ CLOSE_PRICE]]-NSE_BhavCopy[[#This Row],[ PREV_CLOSE]])/NSE_BhavCopy[[#This Row],[ PREV_CLOSE]]*100</f>
        <v>-1.0313420841146477</v>
      </c>
    </row>
    <row r="977" spans="1:12" hidden="1" x14ac:dyDescent="0.25">
      <c r="A977" s="28" t="s">
        <v>536</v>
      </c>
      <c r="B977" s="28" t="s">
        <v>321</v>
      </c>
      <c r="C977" s="30">
        <v>44428</v>
      </c>
      <c r="D977" s="28">
        <v>55.2</v>
      </c>
      <c r="E977" s="28">
        <v>54.85</v>
      </c>
      <c r="F977" s="28">
        <v>55.45</v>
      </c>
      <c r="G977" s="28">
        <v>54.45</v>
      </c>
      <c r="H977" s="28">
        <v>54.72</v>
      </c>
      <c r="I977" s="28">
        <v>217266</v>
      </c>
      <c r="J977" s="28">
        <v>103162</v>
      </c>
      <c r="K977" s="28">
        <v>47.48</v>
      </c>
      <c r="L977" s="29">
        <f>SUM(NSE_BhavCopy[[#This Row],[ CLOSE_PRICE]]-NSE_BhavCopy[[#This Row],[ PREV_CLOSE]])/NSE_BhavCopy[[#This Row],[ PREV_CLOSE]]*100</f>
        <v>-1.3586956521739131</v>
      </c>
    </row>
    <row r="978" spans="1:12" hidden="1" x14ac:dyDescent="0.25">
      <c r="A978" s="28" t="s">
        <v>1429</v>
      </c>
      <c r="B978" s="28" t="s">
        <v>321</v>
      </c>
      <c r="C978" s="30">
        <v>44428</v>
      </c>
      <c r="D978" s="28">
        <v>1693.75</v>
      </c>
      <c r="E978" s="28">
        <v>1693.7</v>
      </c>
      <c r="F978" s="28">
        <v>1737.7</v>
      </c>
      <c r="G978" s="28">
        <v>1702.6</v>
      </c>
      <c r="H978" s="28">
        <v>1698.44</v>
      </c>
      <c r="I978" s="28">
        <v>57707</v>
      </c>
      <c r="J978" s="28">
        <v>27402</v>
      </c>
      <c r="K978" s="28">
        <v>47.48</v>
      </c>
      <c r="L978" s="29">
        <f>SUM(NSE_BhavCopy[[#This Row],[ CLOSE_PRICE]]-NSE_BhavCopy[[#This Row],[ PREV_CLOSE]])/NSE_BhavCopy[[#This Row],[ PREV_CLOSE]]*100</f>
        <v>0.52250922509224551</v>
      </c>
    </row>
    <row r="979" spans="1:12" hidden="1" x14ac:dyDescent="0.25">
      <c r="A979" s="28" t="s">
        <v>22</v>
      </c>
      <c r="B979" s="28" t="s">
        <v>321</v>
      </c>
      <c r="C979" s="30">
        <v>44428</v>
      </c>
      <c r="D979" s="28">
        <v>782.9</v>
      </c>
      <c r="E979" s="28">
        <v>775</v>
      </c>
      <c r="F979" s="28">
        <v>784.45</v>
      </c>
      <c r="G979" s="28">
        <v>761.15</v>
      </c>
      <c r="H979" s="28">
        <v>763.34</v>
      </c>
      <c r="I979" s="28">
        <v>6238261</v>
      </c>
      <c r="J979" s="28">
        <v>2961199</v>
      </c>
      <c r="K979" s="28">
        <v>47.47</v>
      </c>
      <c r="L979" s="29">
        <f>SUM(NSE_BhavCopy[[#This Row],[ CLOSE_PRICE]]-NSE_BhavCopy[[#This Row],[ PREV_CLOSE]])/NSE_BhavCopy[[#This Row],[ PREV_CLOSE]]*100</f>
        <v>-2.7781325839826287</v>
      </c>
    </row>
    <row r="980" spans="1:12" hidden="1" x14ac:dyDescent="0.25">
      <c r="A980" s="28" t="s">
        <v>659</v>
      </c>
      <c r="B980" s="28" t="s">
        <v>321</v>
      </c>
      <c r="C980" s="30">
        <v>44428</v>
      </c>
      <c r="D980" s="28">
        <v>162.94999999999999</v>
      </c>
      <c r="E980" s="28">
        <v>162.5</v>
      </c>
      <c r="F980" s="28">
        <v>162.94999999999999</v>
      </c>
      <c r="G980" s="28">
        <v>160.25</v>
      </c>
      <c r="H980" s="28">
        <v>160.93</v>
      </c>
      <c r="I980" s="28">
        <v>2397546</v>
      </c>
      <c r="J980" s="28">
        <v>1136789</v>
      </c>
      <c r="K980" s="28">
        <v>47.41</v>
      </c>
      <c r="L980" s="29">
        <f>SUM(NSE_BhavCopy[[#This Row],[ CLOSE_PRICE]]-NSE_BhavCopy[[#This Row],[ PREV_CLOSE]])/NSE_BhavCopy[[#This Row],[ PREV_CLOSE]]*100</f>
        <v>-1.6569499846578635</v>
      </c>
    </row>
    <row r="981" spans="1:12" hidden="1" x14ac:dyDescent="0.25">
      <c r="A981" s="28" t="s">
        <v>1254</v>
      </c>
      <c r="B981" s="28" t="s">
        <v>321</v>
      </c>
      <c r="C981" s="30">
        <v>44428</v>
      </c>
      <c r="D981" s="28">
        <v>646.15</v>
      </c>
      <c r="E981" s="28">
        <v>646</v>
      </c>
      <c r="F981" s="28">
        <v>650</v>
      </c>
      <c r="G981" s="28">
        <v>638.79999999999995</v>
      </c>
      <c r="H981" s="28">
        <v>639.25</v>
      </c>
      <c r="I981" s="28">
        <v>217539</v>
      </c>
      <c r="J981" s="28">
        <v>103108</v>
      </c>
      <c r="K981" s="28">
        <v>47.4</v>
      </c>
      <c r="L981" s="29">
        <f>SUM(NSE_BhavCopy[[#This Row],[ CLOSE_PRICE]]-NSE_BhavCopy[[#This Row],[ PREV_CLOSE]])/NSE_BhavCopy[[#This Row],[ PREV_CLOSE]]*100</f>
        <v>-1.1375067708736397</v>
      </c>
    </row>
    <row r="982" spans="1:12" hidden="1" x14ac:dyDescent="0.25">
      <c r="A982" s="28" t="s">
        <v>641</v>
      </c>
      <c r="B982" s="28" t="s">
        <v>321</v>
      </c>
      <c r="C982" s="30">
        <v>44428</v>
      </c>
      <c r="D982" s="28">
        <v>121.45</v>
      </c>
      <c r="E982" s="28">
        <v>120</v>
      </c>
      <c r="F982" s="28">
        <v>123.65</v>
      </c>
      <c r="G982" s="28">
        <v>121.35</v>
      </c>
      <c r="H982" s="28">
        <v>121.36</v>
      </c>
      <c r="I982" s="28">
        <v>205124</v>
      </c>
      <c r="J982" s="28">
        <v>97160</v>
      </c>
      <c r="K982" s="28">
        <v>47.37</v>
      </c>
      <c r="L982" s="29">
        <f>SUM(NSE_BhavCopy[[#This Row],[ CLOSE_PRICE]]-NSE_BhavCopy[[#This Row],[ PREV_CLOSE]])/NSE_BhavCopy[[#This Row],[ PREV_CLOSE]]*100</f>
        <v>-8.2338410868677256E-2</v>
      </c>
    </row>
    <row r="983" spans="1:12" hidden="1" x14ac:dyDescent="0.25">
      <c r="A983" s="28" t="s">
        <v>1101</v>
      </c>
      <c r="B983" s="28" t="s">
        <v>321</v>
      </c>
      <c r="C983" s="30">
        <v>44428</v>
      </c>
      <c r="D983" s="28">
        <v>15.55</v>
      </c>
      <c r="E983" s="28">
        <v>15.95</v>
      </c>
      <c r="F983" s="28">
        <v>16</v>
      </c>
      <c r="G983" s="28">
        <v>15.75</v>
      </c>
      <c r="H983" s="28">
        <v>15.64</v>
      </c>
      <c r="I983" s="28">
        <v>11314</v>
      </c>
      <c r="J983" s="28">
        <v>5360</v>
      </c>
      <c r="K983" s="28">
        <v>47.37</v>
      </c>
      <c r="L983" s="29">
        <f>SUM(NSE_BhavCopy[[#This Row],[ CLOSE_PRICE]]-NSE_BhavCopy[[#This Row],[ PREV_CLOSE]])/NSE_BhavCopy[[#This Row],[ PREV_CLOSE]]*100</f>
        <v>1.2861736334405098</v>
      </c>
    </row>
    <row r="984" spans="1:12" hidden="1" x14ac:dyDescent="0.25">
      <c r="A984" s="28" t="s">
        <v>639</v>
      </c>
      <c r="B984" s="28" t="s">
        <v>321</v>
      </c>
      <c r="C984" s="30">
        <v>44428</v>
      </c>
      <c r="D984" s="28">
        <v>182.3</v>
      </c>
      <c r="E984" s="28">
        <v>182.8</v>
      </c>
      <c r="F984" s="28">
        <v>182.8</v>
      </c>
      <c r="G984" s="28">
        <v>177.6</v>
      </c>
      <c r="H984" s="28">
        <v>179.12</v>
      </c>
      <c r="I984" s="28">
        <v>82505</v>
      </c>
      <c r="J984" s="28">
        <v>39065</v>
      </c>
      <c r="K984" s="28">
        <v>47.35</v>
      </c>
      <c r="L984" s="29">
        <f>SUM(NSE_BhavCopy[[#This Row],[ CLOSE_PRICE]]-NSE_BhavCopy[[#This Row],[ PREV_CLOSE]])/NSE_BhavCopy[[#This Row],[ PREV_CLOSE]]*100</f>
        <v>-2.5781678551837723</v>
      </c>
    </row>
    <row r="985" spans="1:12" hidden="1" x14ac:dyDescent="0.25">
      <c r="A985" s="28" t="s">
        <v>1571</v>
      </c>
      <c r="B985" s="28" t="s">
        <v>321</v>
      </c>
      <c r="C985" s="30">
        <v>44428</v>
      </c>
      <c r="D985" s="28">
        <v>508.1</v>
      </c>
      <c r="E985" s="28">
        <v>487</v>
      </c>
      <c r="F985" s="28">
        <v>521.65</v>
      </c>
      <c r="G985" s="28">
        <v>498.25</v>
      </c>
      <c r="H985" s="28">
        <v>506.18</v>
      </c>
      <c r="I985" s="28">
        <v>95628</v>
      </c>
      <c r="J985" s="28">
        <v>45284</v>
      </c>
      <c r="K985" s="28">
        <v>47.35</v>
      </c>
      <c r="L985" s="29">
        <f>SUM(NSE_BhavCopy[[#This Row],[ CLOSE_PRICE]]-NSE_BhavCopy[[#This Row],[ PREV_CLOSE]])/NSE_BhavCopy[[#This Row],[ PREV_CLOSE]]*100</f>
        <v>-1.938594764810081</v>
      </c>
    </row>
    <row r="986" spans="1:12" hidden="1" x14ac:dyDescent="0.25">
      <c r="A986" s="28" t="s">
        <v>618</v>
      </c>
      <c r="B986" s="28" t="s">
        <v>321</v>
      </c>
      <c r="C986" s="30">
        <v>44428</v>
      </c>
      <c r="D986" s="28">
        <v>274.60000000000002</v>
      </c>
      <c r="E986" s="28">
        <v>279</v>
      </c>
      <c r="F986" s="28">
        <v>286</v>
      </c>
      <c r="G986" s="28">
        <v>267.60000000000002</v>
      </c>
      <c r="H986" s="28">
        <v>272.95</v>
      </c>
      <c r="I986" s="28">
        <v>78579</v>
      </c>
      <c r="J986" s="28">
        <v>37170</v>
      </c>
      <c r="K986" s="28">
        <v>47.3</v>
      </c>
      <c r="L986" s="29">
        <f>SUM(NSE_BhavCopy[[#This Row],[ CLOSE_PRICE]]-NSE_BhavCopy[[#This Row],[ PREV_CLOSE]])/NSE_BhavCopy[[#This Row],[ PREV_CLOSE]]*100</f>
        <v>-2.549162418062636</v>
      </c>
    </row>
    <row r="987" spans="1:12" hidden="1" x14ac:dyDescent="0.25">
      <c r="A987" s="28" t="s">
        <v>1499</v>
      </c>
      <c r="B987" s="28" t="s">
        <v>321</v>
      </c>
      <c r="C987" s="30">
        <v>44428</v>
      </c>
      <c r="D987" s="28">
        <v>834.9</v>
      </c>
      <c r="E987" s="28">
        <v>835</v>
      </c>
      <c r="F987" s="28">
        <v>841.7</v>
      </c>
      <c r="G987" s="28">
        <v>813.25</v>
      </c>
      <c r="H987" s="28">
        <v>824.58</v>
      </c>
      <c r="I987" s="28">
        <v>7074</v>
      </c>
      <c r="J987" s="28">
        <v>3338</v>
      </c>
      <c r="K987" s="28">
        <v>47.19</v>
      </c>
      <c r="L987" s="29">
        <f>SUM(NSE_BhavCopy[[#This Row],[ CLOSE_PRICE]]-NSE_BhavCopy[[#This Row],[ PREV_CLOSE]])/NSE_BhavCopy[[#This Row],[ PREV_CLOSE]]*100</f>
        <v>-2.5931249251407329</v>
      </c>
    </row>
    <row r="988" spans="1:12" hidden="1" x14ac:dyDescent="0.25">
      <c r="A988" s="28" t="s">
        <v>350</v>
      </c>
      <c r="B988" s="28" t="s">
        <v>321</v>
      </c>
      <c r="C988" s="30">
        <v>44428</v>
      </c>
      <c r="D988" s="28">
        <v>45.55</v>
      </c>
      <c r="E988" s="28">
        <v>46.45</v>
      </c>
      <c r="F988" s="28">
        <v>46.45</v>
      </c>
      <c r="G988" s="28">
        <v>43.4</v>
      </c>
      <c r="H988" s="28">
        <v>45.18</v>
      </c>
      <c r="I988" s="28">
        <v>18217</v>
      </c>
      <c r="J988" s="28">
        <v>8594</v>
      </c>
      <c r="K988" s="28">
        <v>47.18</v>
      </c>
      <c r="L988" s="29">
        <f>SUM(NSE_BhavCopy[[#This Row],[ CLOSE_PRICE]]-NSE_BhavCopy[[#This Row],[ PREV_CLOSE]])/NSE_BhavCopy[[#This Row],[ PREV_CLOSE]]*100</f>
        <v>-4.7200878155872639</v>
      </c>
    </row>
    <row r="989" spans="1:12" hidden="1" x14ac:dyDescent="0.25">
      <c r="A989" s="28" t="s">
        <v>1371</v>
      </c>
      <c r="B989" s="28" t="s">
        <v>321</v>
      </c>
      <c r="C989" s="30">
        <v>44428</v>
      </c>
      <c r="D989" s="28">
        <v>528.75</v>
      </c>
      <c r="E989" s="28">
        <v>525</v>
      </c>
      <c r="F989" s="28">
        <v>533.70000000000005</v>
      </c>
      <c r="G989" s="28">
        <v>515.4</v>
      </c>
      <c r="H989" s="28">
        <v>521.77</v>
      </c>
      <c r="I989" s="28">
        <v>22353</v>
      </c>
      <c r="J989" s="28">
        <v>10546</v>
      </c>
      <c r="K989" s="28">
        <v>47.18</v>
      </c>
      <c r="L989" s="29">
        <f>SUM(NSE_BhavCopy[[#This Row],[ CLOSE_PRICE]]-NSE_BhavCopy[[#This Row],[ PREV_CLOSE]])/NSE_BhavCopy[[#This Row],[ PREV_CLOSE]]*100</f>
        <v>-2.5248226950354651</v>
      </c>
    </row>
    <row r="990" spans="1:12" hidden="1" x14ac:dyDescent="0.25">
      <c r="A990" s="28" t="s">
        <v>1421</v>
      </c>
      <c r="B990" s="28" t="s">
        <v>321</v>
      </c>
      <c r="C990" s="30">
        <v>44428</v>
      </c>
      <c r="D990" s="28">
        <v>104.1</v>
      </c>
      <c r="E990" s="28">
        <v>102.7</v>
      </c>
      <c r="F990" s="28">
        <v>103.8</v>
      </c>
      <c r="G990" s="28">
        <v>100.15</v>
      </c>
      <c r="H990" s="28">
        <v>100.56</v>
      </c>
      <c r="I990" s="28">
        <v>1121733</v>
      </c>
      <c r="J990" s="28">
        <v>529246</v>
      </c>
      <c r="K990" s="28">
        <v>47.18</v>
      </c>
      <c r="L990" s="29">
        <f>SUM(NSE_BhavCopy[[#This Row],[ CLOSE_PRICE]]-NSE_BhavCopy[[#This Row],[ PREV_CLOSE]])/NSE_BhavCopy[[#This Row],[ PREV_CLOSE]]*100</f>
        <v>-3.7944284341978758</v>
      </c>
    </row>
    <row r="991" spans="1:12" hidden="1" x14ac:dyDescent="0.25">
      <c r="A991" s="28" t="s">
        <v>472</v>
      </c>
      <c r="B991" s="28" t="s">
        <v>321</v>
      </c>
      <c r="C991" s="30">
        <v>44428</v>
      </c>
      <c r="D991" s="28">
        <v>180.15</v>
      </c>
      <c r="E991" s="28">
        <v>175</v>
      </c>
      <c r="F991" s="28">
        <v>180</v>
      </c>
      <c r="G991" s="28">
        <v>172.65</v>
      </c>
      <c r="H991" s="28">
        <v>175.44</v>
      </c>
      <c r="I991" s="28">
        <v>977146</v>
      </c>
      <c r="J991" s="28">
        <v>460533</v>
      </c>
      <c r="K991" s="28">
        <v>47.13</v>
      </c>
      <c r="L991" s="29">
        <f>SUM(NSE_BhavCopy[[#This Row],[ CLOSE_PRICE]]-NSE_BhavCopy[[#This Row],[ PREV_CLOSE]])/NSE_BhavCopy[[#This Row],[ PREV_CLOSE]]*100</f>
        <v>-4.1631973355537051</v>
      </c>
    </row>
    <row r="992" spans="1:12" hidden="1" x14ac:dyDescent="0.25">
      <c r="A992" s="28" t="s">
        <v>1194</v>
      </c>
      <c r="B992" s="28" t="s">
        <v>321</v>
      </c>
      <c r="C992" s="30">
        <v>44428</v>
      </c>
      <c r="D992" s="28">
        <v>28.8</v>
      </c>
      <c r="E992" s="28">
        <v>28.3</v>
      </c>
      <c r="F992" s="28">
        <v>29.1</v>
      </c>
      <c r="G992" s="28">
        <v>27.95</v>
      </c>
      <c r="H992" s="28">
        <v>28.33</v>
      </c>
      <c r="I992" s="28">
        <v>1103383</v>
      </c>
      <c r="J992" s="28">
        <v>519677</v>
      </c>
      <c r="K992" s="28">
        <v>47.1</v>
      </c>
      <c r="L992" s="29">
        <f>SUM(NSE_BhavCopy[[#This Row],[ CLOSE_PRICE]]-NSE_BhavCopy[[#This Row],[ PREV_CLOSE]])/NSE_BhavCopy[[#This Row],[ PREV_CLOSE]]*100</f>
        <v>-2.9513888888888937</v>
      </c>
    </row>
    <row r="993" spans="1:12" hidden="1" x14ac:dyDescent="0.25">
      <c r="A993" s="28" t="s">
        <v>741</v>
      </c>
      <c r="B993" s="28" t="s">
        <v>321</v>
      </c>
      <c r="C993" s="30">
        <v>44428</v>
      </c>
      <c r="D993" s="28">
        <v>199.1</v>
      </c>
      <c r="E993" s="28">
        <v>193.95</v>
      </c>
      <c r="F993" s="28">
        <v>198</v>
      </c>
      <c r="G993" s="28">
        <v>188.3</v>
      </c>
      <c r="H993" s="28">
        <v>192.54</v>
      </c>
      <c r="I993" s="28">
        <v>898551</v>
      </c>
      <c r="J993" s="28">
        <v>423094</v>
      </c>
      <c r="K993" s="28">
        <v>47.09</v>
      </c>
      <c r="L993" s="29">
        <f>SUM(NSE_BhavCopy[[#This Row],[ CLOSE_PRICE]]-NSE_BhavCopy[[#This Row],[ PREV_CLOSE]])/NSE_BhavCopy[[#This Row],[ PREV_CLOSE]]*100</f>
        <v>-5.4244098442993387</v>
      </c>
    </row>
    <row r="994" spans="1:12" hidden="1" x14ac:dyDescent="0.25">
      <c r="A994" s="28" t="s">
        <v>1241</v>
      </c>
      <c r="B994" s="28" t="s">
        <v>321</v>
      </c>
      <c r="C994" s="30">
        <v>44428</v>
      </c>
      <c r="D994" s="28">
        <v>852.55</v>
      </c>
      <c r="E994" s="28">
        <v>835.8</v>
      </c>
      <c r="F994" s="28">
        <v>873</v>
      </c>
      <c r="G994" s="28">
        <v>847.7</v>
      </c>
      <c r="H994" s="28">
        <v>854.43</v>
      </c>
      <c r="I994" s="28">
        <v>79466</v>
      </c>
      <c r="J994" s="28">
        <v>37371</v>
      </c>
      <c r="K994" s="28">
        <v>47.03</v>
      </c>
      <c r="L994" s="29">
        <f>SUM(NSE_BhavCopy[[#This Row],[ CLOSE_PRICE]]-NSE_BhavCopy[[#This Row],[ PREV_CLOSE]])/NSE_BhavCopy[[#This Row],[ PREV_CLOSE]]*100</f>
        <v>-0.56888159052253939</v>
      </c>
    </row>
    <row r="995" spans="1:12" hidden="1" x14ac:dyDescent="0.25">
      <c r="A995" s="28" t="s">
        <v>1598</v>
      </c>
      <c r="B995" s="28" t="s">
        <v>321</v>
      </c>
      <c r="C995" s="30">
        <v>44428</v>
      </c>
      <c r="D995" s="28">
        <v>1810.15</v>
      </c>
      <c r="E995" s="28">
        <v>1780.6</v>
      </c>
      <c r="F995" s="28">
        <v>1807</v>
      </c>
      <c r="G995" s="28">
        <v>1749.85</v>
      </c>
      <c r="H995" s="28">
        <v>1760.31</v>
      </c>
      <c r="I995" s="28">
        <v>49966</v>
      </c>
      <c r="J995" s="28">
        <v>23442</v>
      </c>
      <c r="K995" s="28">
        <v>46.92</v>
      </c>
      <c r="L995" s="29">
        <f>SUM(NSE_BhavCopy[[#This Row],[ CLOSE_PRICE]]-NSE_BhavCopy[[#This Row],[ PREV_CLOSE]])/NSE_BhavCopy[[#This Row],[ PREV_CLOSE]]*100</f>
        <v>-3.3312156451122932</v>
      </c>
    </row>
    <row r="996" spans="1:12" hidden="1" x14ac:dyDescent="0.25">
      <c r="A996" s="28" t="s">
        <v>1471</v>
      </c>
      <c r="B996" s="28" t="s">
        <v>321</v>
      </c>
      <c r="C996" s="30">
        <v>44428</v>
      </c>
      <c r="D996" s="28">
        <v>938.05</v>
      </c>
      <c r="E996" s="28">
        <v>938</v>
      </c>
      <c r="F996" s="28">
        <v>938</v>
      </c>
      <c r="G996" s="28">
        <v>911.25</v>
      </c>
      <c r="H996" s="28">
        <v>920.6</v>
      </c>
      <c r="I996" s="28">
        <v>47059</v>
      </c>
      <c r="J996" s="28">
        <v>22053</v>
      </c>
      <c r="K996" s="28">
        <v>46.86</v>
      </c>
      <c r="L996" s="29">
        <f>SUM(NSE_BhavCopy[[#This Row],[ CLOSE_PRICE]]-NSE_BhavCopy[[#This Row],[ PREV_CLOSE]])/NSE_BhavCopy[[#This Row],[ PREV_CLOSE]]*100</f>
        <v>-2.8569905655348817</v>
      </c>
    </row>
    <row r="997" spans="1:12" hidden="1" x14ac:dyDescent="0.25">
      <c r="A997" s="28" t="s">
        <v>1565</v>
      </c>
      <c r="B997" s="28" t="s">
        <v>321</v>
      </c>
      <c r="C997" s="30">
        <v>44428</v>
      </c>
      <c r="D997" s="28">
        <v>286.10000000000002</v>
      </c>
      <c r="E997" s="28">
        <v>286.10000000000002</v>
      </c>
      <c r="F997" s="28">
        <v>286.10000000000002</v>
      </c>
      <c r="G997" s="28">
        <v>274.3</v>
      </c>
      <c r="H997" s="28">
        <v>276.68</v>
      </c>
      <c r="I997" s="28">
        <v>282376</v>
      </c>
      <c r="J997" s="28">
        <v>132219</v>
      </c>
      <c r="K997" s="28">
        <v>46.82</v>
      </c>
      <c r="L997" s="29">
        <f>SUM(NSE_BhavCopy[[#This Row],[ CLOSE_PRICE]]-NSE_BhavCopy[[#This Row],[ PREV_CLOSE]])/NSE_BhavCopy[[#This Row],[ PREV_CLOSE]]*100</f>
        <v>-4.1244320167773543</v>
      </c>
    </row>
    <row r="998" spans="1:12" hidden="1" x14ac:dyDescent="0.25">
      <c r="A998" s="28" t="s">
        <v>589</v>
      </c>
      <c r="B998" s="28" t="s">
        <v>321</v>
      </c>
      <c r="C998" s="30">
        <v>44428</v>
      </c>
      <c r="D998" s="28">
        <v>731.45</v>
      </c>
      <c r="E998" s="28">
        <v>720</v>
      </c>
      <c r="F998" s="28">
        <v>745.5</v>
      </c>
      <c r="G998" s="28">
        <v>711</v>
      </c>
      <c r="H998" s="28">
        <v>721.82</v>
      </c>
      <c r="I998" s="28">
        <v>142796</v>
      </c>
      <c r="J998" s="28">
        <v>66808</v>
      </c>
      <c r="K998" s="28">
        <v>46.79</v>
      </c>
      <c r="L998" s="29">
        <f>SUM(NSE_BhavCopy[[#This Row],[ CLOSE_PRICE]]-NSE_BhavCopy[[#This Row],[ PREV_CLOSE]])/NSE_BhavCopy[[#This Row],[ PREV_CLOSE]]*100</f>
        <v>-2.7958165288126384</v>
      </c>
    </row>
    <row r="999" spans="1:12" hidden="1" x14ac:dyDescent="0.25">
      <c r="A999" s="28" t="s">
        <v>1408</v>
      </c>
      <c r="B999" s="28" t="s">
        <v>321</v>
      </c>
      <c r="C999" s="30">
        <v>44428</v>
      </c>
      <c r="D999" s="28">
        <v>1697.35</v>
      </c>
      <c r="E999" s="28">
        <v>1663</v>
      </c>
      <c r="F999" s="28">
        <v>1699</v>
      </c>
      <c r="G999" s="28">
        <v>1653.85</v>
      </c>
      <c r="H999" s="28">
        <v>1642.25</v>
      </c>
      <c r="I999" s="28">
        <v>173222</v>
      </c>
      <c r="J999" s="28">
        <v>80993</v>
      </c>
      <c r="K999" s="28">
        <v>46.76</v>
      </c>
      <c r="L999" s="29">
        <f>SUM(NSE_BhavCopy[[#This Row],[ CLOSE_PRICE]]-NSE_BhavCopy[[#This Row],[ PREV_CLOSE]])/NSE_BhavCopy[[#This Row],[ PREV_CLOSE]]*100</f>
        <v>-2.5628185112086492</v>
      </c>
    </row>
    <row r="1000" spans="1:12" hidden="1" x14ac:dyDescent="0.25">
      <c r="A1000" s="28" t="s">
        <v>382</v>
      </c>
      <c r="B1000" s="28" t="s">
        <v>321</v>
      </c>
      <c r="C1000" s="30">
        <v>44428</v>
      </c>
      <c r="D1000" s="28">
        <v>233.85</v>
      </c>
      <c r="E1000" s="28">
        <v>232.2</v>
      </c>
      <c r="F1000" s="28">
        <v>235.15</v>
      </c>
      <c r="G1000" s="28">
        <v>227.25</v>
      </c>
      <c r="H1000" s="28">
        <v>229.73</v>
      </c>
      <c r="I1000" s="28">
        <v>24285</v>
      </c>
      <c r="J1000" s="28">
        <v>11342</v>
      </c>
      <c r="K1000" s="28">
        <v>46.7</v>
      </c>
      <c r="L1000" s="29">
        <f>SUM(NSE_BhavCopy[[#This Row],[ CLOSE_PRICE]]-NSE_BhavCopy[[#This Row],[ PREV_CLOSE]])/NSE_BhavCopy[[#This Row],[ PREV_CLOSE]]*100</f>
        <v>-2.8223220012828714</v>
      </c>
    </row>
    <row r="1001" spans="1:12" hidden="1" x14ac:dyDescent="0.25">
      <c r="A1001" s="28" t="s">
        <v>610</v>
      </c>
      <c r="B1001" s="28" t="s">
        <v>321</v>
      </c>
      <c r="C1001" s="30">
        <v>44428</v>
      </c>
      <c r="D1001" s="28">
        <v>364.05</v>
      </c>
      <c r="E1001" s="28">
        <v>360</v>
      </c>
      <c r="F1001" s="28">
        <v>369</v>
      </c>
      <c r="G1001" s="28">
        <v>347.3</v>
      </c>
      <c r="H1001" s="28">
        <v>354.2</v>
      </c>
      <c r="I1001" s="28">
        <v>156545</v>
      </c>
      <c r="J1001" s="28">
        <v>73083</v>
      </c>
      <c r="K1001" s="28">
        <v>46.68</v>
      </c>
      <c r="L1001" s="29">
        <f>SUM(NSE_BhavCopy[[#This Row],[ CLOSE_PRICE]]-NSE_BhavCopy[[#This Row],[ PREV_CLOSE]])/NSE_BhavCopy[[#This Row],[ PREV_CLOSE]]*100</f>
        <v>-4.6010163439088032</v>
      </c>
    </row>
    <row r="1002" spans="1:12" hidden="1" x14ac:dyDescent="0.25">
      <c r="A1002" s="28" t="s">
        <v>1508</v>
      </c>
      <c r="B1002" s="28" t="s">
        <v>321</v>
      </c>
      <c r="C1002" s="30">
        <v>44428</v>
      </c>
      <c r="D1002" s="28">
        <v>72.25</v>
      </c>
      <c r="E1002" s="28">
        <v>73.5</v>
      </c>
      <c r="F1002" s="28">
        <v>75.599999999999994</v>
      </c>
      <c r="G1002" s="28">
        <v>72.75</v>
      </c>
      <c r="H1002" s="28">
        <v>73.849999999999994</v>
      </c>
      <c r="I1002" s="28">
        <v>892032</v>
      </c>
      <c r="J1002" s="28">
        <v>416146</v>
      </c>
      <c r="K1002" s="28">
        <v>46.65</v>
      </c>
      <c r="L1002" s="29">
        <f>SUM(NSE_BhavCopy[[#This Row],[ CLOSE_PRICE]]-NSE_BhavCopy[[#This Row],[ PREV_CLOSE]])/NSE_BhavCopy[[#This Row],[ PREV_CLOSE]]*100</f>
        <v>0.69204152249134954</v>
      </c>
    </row>
    <row r="1003" spans="1:12" hidden="1" x14ac:dyDescent="0.25">
      <c r="A1003" s="28" t="s">
        <v>476</v>
      </c>
      <c r="B1003" s="28" t="s">
        <v>321</v>
      </c>
      <c r="C1003" s="30">
        <v>44428</v>
      </c>
      <c r="D1003" s="28">
        <v>418.7</v>
      </c>
      <c r="E1003" s="28">
        <v>413.4</v>
      </c>
      <c r="F1003" s="28">
        <v>421.35</v>
      </c>
      <c r="G1003" s="28">
        <v>394.1</v>
      </c>
      <c r="H1003" s="28">
        <v>405.65</v>
      </c>
      <c r="I1003" s="28">
        <v>316829</v>
      </c>
      <c r="J1003" s="28">
        <v>147753</v>
      </c>
      <c r="K1003" s="28">
        <v>46.63</v>
      </c>
      <c r="L1003" s="29">
        <f>SUM(NSE_BhavCopy[[#This Row],[ CLOSE_PRICE]]-NSE_BhavCopy[[#This Row],[ PREV_CLOSE]])/NSE_BhavCopy[[#This Row],[ PREV_CLOSE]]*100</f>
        <v>-5.8753283974205797</v>
      </c>
    </row>
    <row r="1004" spans="1:12" hidden="1" x14ac:dyDescent="0.25">
      <c r="A1004" s="28" t="s">
        <v>1062</v>
      </c>
      <c r="B1004" s="28" t="s">
        <v>321</v>
      </c>
      <c r="C1004" s="30">
        <v>44428</v>
      </c>
      <c r="D1004" s="28">
        <v>2592.0500000000002</v>
      </c>
      <c r="E1004" s="28">
        <v>2590</v>
      </c>
      <c r="F1004" s="28">
        <v>2668</v>
      </c>
      <c r="G1004" s="28">
        <v>2596.75</v>
      </c>
      <c r="H1004" s="28">
        <v>2614.59</v>
      </c>
      <c r="I1004" s="28">
        <v>200000</v>
      </c>
      <c r="J1004" s="28">
        <v>93226</v>
      </c>
      <c r="K1004" s="28">
        <v>46.61</v>
      </c>
      <c r="L1004" s="29">
        <f>SUM(NSE_BhavCopy[[#This Row],[ CLOSE_PRICE]]-NSE_BhavCopy[[#This Row],[ PREV_CLOSE]])/NSE_BhavCopy[[#This Row],[ PREV_CLOSE]]*100</f>
        <v>0.18132366273798028</v>
      </c>
    </row>
    <row r="1005" spans="1:12" hidden="1" x14ac:dyDescent="0.25">
      <c r="A1005" s="28" t="s">
        <v>417</v>
      </c>
      <c r="B1005" s="28" t="s">
        <v>321</v>
      </c>
      <c r="C1005" s="30">
        <v>44428</v>
      </c>
      <c r="D1005" s="28">
        <v>78.55</v>
      </c>
      <c r="E1005" s="28">
        <v>77.95</v>
      </c>
      <c r="F1005" s="28">
        <v>80</v>
      </c>
      <c r="G1005" s="28">
        <v>74.400000000000006</v>
      </c>
      <c r="H1005" s="28">
        <v>75.97</v>
      </c>
      <c r="I1005" s="28">
        <v>10459</v>
      </c>
      <c r="J1005" s="28">
        <v>4872</v>
      </c>
      <c r="K1005" s="28">
        <v>46.58</v>
      </c>
      <c r="L1005" s="29">
        <f>SUM(NSE_BhavCopy[[#This Row],[ CLOSE_PRICE]]-NSE_BhavCopy[[#This Row],[ PREV_CLOSE]])/NSE_BhavCopy[[#This Row],[ PREV_CLOSE]]*100</f>
        <v>-5.2832590706556228</v>
      </c>
    </row>
    <row r="1006" spans="1:12" hidden="1" x14ac:dyDescent="0.25">
      <c r="A1006" s="28" t="s">
        <v>20</v>
      </c>
      <c r="B1006" s="28" t="s">
        <v>321</v>
      </c>
      <c r="C1006" s="30">
        <v>44428</v>
      </c>
      <c r="D1006" s="28">
        <v>2589.65</v>
      </c>
      <c r="E1006" s="28">
        <v>2540</v>
      </c>
      <c r="F1006" s="28">
        <v>2631.8</v>
      </c>
      <c r="G1006" s="28">
        <v>2601.65</v>
      </c>
      <c r="H1006" s="28">
        <v>2585.36</v>
      </c>
      <c r="I1006" s="28">
        <v>2187864</v>
      </c>
      <c r="J1006" s="28">
        <v>1019014</v>
      </c>
      <c r="K1006" s="28">
        <v>46.58</v>
      </c>
      <c r="L1006" s="29">
        <f>SUM(NSE_BhavCopy[[#This Row],[ CLOSE_PRICE]]-NSE_BhavCopy[[#This Row],[ PREV_CLOSE]])/NSE_BhavCopy[[#This Row],[ PREV_CLOSE]]*100</f>
        <v>0.46338308265595735</v>
      </c>
    </row>
    <row r="1007" spans="1:12" hidden="1" x14ac:dyDescent="0.25">
      <c r="A1007" s="28" t="s">
        <v>882</v>
      </c>
      <c r="B1007" s="28" t="s">
        <v>321</v>
      </c>
      <c r="C1007" s="30">
        <v>44428</v>
      </c>
      <c r="D1007" s="28">
        <v>2444.35</v>
      </c>
      <c r="E1007" s="28">
        <v>2434.8000000000002</v>
      </c>
      <c r="F1007" s="28">
        <v>2548.9499999999998</v>
      </c>
      <c r="G1007" s="28">
        <v>2524.3000000000002</v>
      </c>
      <c r="H1007" s="28">
        <v>2504.94</v>
      </c>
      <c r="I1007" s="28">
        <v>420765</v>
      </c>
      <c r="J1007" s="28">
        <v>195814</v>
      </c>
      <c r="K1007" s="28">
        <v>46.54</v>
      </c>
      <c r="L1007" s="29">
        <f>SUM(NSE_BhavCopy[[#This Row],[ CLOSE_PRICE]]-NSE_BhavCopy[[#This Row],[ PREV_CLOSE]])/NSE_BhavCopy[[#This Row],[ PREV_CLOSE]]*100</f>
        <v>3.2708081903164552</v>
      </c>
    </row>
    <row r="1008" spans="1:12" hidden="1" x14ac:dyDescent="0.25">
      <c r="A1008" s="28" t="s">
        <v>515</v>
      </c>
      <c r="B1008" s="28" t="s">
        <v>321</v>
      </c>
      <c r="C1008" s="30">
        <v>44428</v>
      </c>
      <c r="D1008" s="28">
        <v>157.15</v>
      </c>
      <c r="E1008" s="28">
        <v>155</v>
      </c>
      <c r="F1008" s="28">
        <v>155.15</v>
      </c>
      <c r="G1008" s="28">
        <v>152.80000000000001</v>
      </c>
      <c r="H1008" s="28">
        <v>153.37</v>
      </c>
      <c r="I1008" s="28">
        <v>11571042</v>
      </c>
      <c r="J1008" s="28">
        <v>5381115</v>
      </c>
      <c r="K1008" s="28">
        <v>46.51</v>
      </c>
      <c r="L1008" s="29">
        <f>SUM(NSE_BhavCopy[[#This Row],[ CLOSE_PRICE]]-NSE_BhavCopy[[#This Row],[ PREV_CLOSE]])/NSE_BhavCopy[[#This Row],[ PREV_CLOSE]]*100</f>
        <v>-2.7680559974546575</v>
      </c>
    </row>
    <row r="1009" spans="1:12" hidden="1" x14ac:dyDescent="0.25">
      <c r="A1009" s="28" t="s">
        <v>56</v>
      </c>
      <c r="B1009" s="28" t="s">
        <v>321</v>
      </c>
      <c r="C1009" s="30">
        <v>44428</v>
      </c>
      <c r="D1009" s="28">
        <v>989.65</v>
      </c>
      <c r="E1009" s="28">
        <v>985</v>
      </c>
      <c r="F1009" s="28">
        <v>990.95</v>
      </c>
      <c r="G1009" s="28">
        <v>979.45</v>
      </c>
      <c r="H1009" s="28">
        <v>979.19</v>
      </c>
      <c r="I1009" s="28">
        <v>3465186</v>
      </c>
      <c r="J1009" s="28">
        <v>1610822</v>
      </c>
      <c r="K1009" s="28">
        <v>46.49</v>
      </c>
      <c r="L1009" s="29">
        <f>SUM(NSE_BhavCopy[[#This Row],[ CLOSE_PRICE]]-NSE_BhavCopy[[#This Row],[ PREV_CLOSE]])/NSE_BhavCopy[[#This Row],[ PREV_CLOSE]]*100</f>
        <v>-1.0306674076693711</v>
      </c>
    </row>
    <row r="1010" spans="1:12" hidden="1" x14ac:dyDescent="0.25">
      <c r="A1010" s="28" t="s">
        <v>1373</v>
      </c>
      <c r="B1010" s="28" t="s">
        <v>321</v>
      </c>
      <c r="C1010" s="30">
        <v>44428</v>
      </c>
      <c r="D1010" s="28">
        <v>547.35</v>
      </c>
      <c r="E1010" s="28">
        <v>539</v>
      </c>
      <c r="F1010" s="28">
        <v>584</v>
      </c>
      <c r="G1010" s="28">
        <v>573.85</v>
      </c>
      <c r="H1010" s="28">
        <v>536.75</v>
      </c>
      <c r="I1010" s="28">
        <v>5218785</v>
      </c>
      <c r="J1010" s="28">
        <v>2424721</v>
      </c>
      <c r="K1010" s="28">
        <v>46.46</v>
      </c>
      <c r="L1010" s="29">
        <f>SUM(NSE_BhavCopy[[#This Row],[ CLOSE_PRICE]]-NSE_BhavCopy[[#This Row],[ PREV_CLOSE]])/NSE_BhavCopy[[#This Row],[ PREV_CLOSE]]*100</f>
        <v>4.8415090892481958</v>
      </c>
    </row>
    <row r="1011" spans="1:12" hidden="1" x14ac:dyDescent="0.25">
      <c r="A1011" s="28" t="s">
        <v>1173</v>
      </c>
      <c r="B1011" s="28" t="s">
        <v>321</v>
      </c>
      <c r="C1011" s="30">
        <v>44428</v>
      </c>
      <c r="D1011" s="28">
        <v>566.04999999999995</v>
      </c>
      <c r="E1011" s="28">
        <v>564.1</v>
      </c>
      <c r="F1011" s="28">
        <v>564.1</v>
      </c>
      <c r="G1011" s="28">
        <v>535.75</v>
      </c>
      <c r="H1011" s="28">
        <v>544.24</v>
      </c>
      <c r="I1011" s="28">
        <v>119139</v>
      </c>
      <c r="J1011" s="28">
        <v>55248</v>
      </c>
      <c r="K1011" s="28">
        <v>46.37</v>
      </c>
      <c r="L1011" s="29">
        <f>SUM(NSE_BhavCopy[[#This Row],[ CLOSE_PRICE]]-NSE_BhavCopy[[#This Row],[ PREV_CLOSE]])/NSE_BhavCopy[[#This Row],[ PREV_CLOSE]]*100</f>
        <v>-5.3528840208462078</v>
      </c>
    </row>
    <row r="1012" spans="1:12" hidden="1" x14ac:dyDescent="0.25">
      <c r="A1012" s="28" t="s">
        <v>904</v>
      </c>
      <c r="B1012" s="28" t="s">
        <v>321</v>
      </c>
      <c r="C1012" s="30">
        <v>44428</v>
      </c>
      <c r="D1012" s="28">
        <v>242.95</v>
      </c>
      <c r="E1012" s="28">
        <v>239</v>
      </c>
      <c r="F1012" s="28">
        <v>242.5</v>
      </c>
      <c r="G1012" s="28">
        <v>233.15</v>
      </c>
      <c r="H1012" s="28">
        <v>234.94</v>
      </c>
      <c r="I1012" s="28">
        <v>85060</v>
      </c>
      <c r="J1012" s="28">
        <v>39361</v>
      </c>
      <c r="K1012" s="28">
        <v>46.27</v>
      </c>
      <c r="L1012" s="29">
        <f>SUM(NSE_BhavCopy[[#This Row],[ CLOSE_PRICE]]-NSE_BhavCopy[[#This Row],[ PREV_CLOSE]])/NSE_BhavCopy[[#This Row],[ PREV_CLOSE]]*100</f>
        <v>-4.0337518007820465</v>
      </c>
    </row>
    <row r="1013" spans="1:12" hidden="1" x14ac:dyDescent="0.25">
      <c r="A1013" s="28" t="s">
        <v>650</v>
      </c>
      <c r="B1013" s="28" t="s">
        <v>321</v>
      </c>
      <c r="C1013" s="30">
        <v>44428</v>
      </c>
      <c r="D1013" s="28">
        <v>60.8</v>
      </c>
      <c r="E1013" s="28">
        <v>60.8</v>
      </c>
      <c r="F1013" s="28">
        <v>61</v>
      </c>
      <c r="G1013" s="28">
        <v>58.35</v>
      </c>
      <c r="H1013" s="28">
        <v>59.3</v>
      </c>
      <c r="I1013" s="28">
        <v>728538</v>
      </c>
      <c r="J1013" s="28">
        <v>336951</v>
      </c>
      <c r="K1013" s="28">
        <v>46.25</v>
      </c>
      <c r="L1013" s="29">
        <f>SUM(NSE_BhavCopy[[#This Row],[ CLOSE_PRICE]]-NSE_BhavCopy[[#This Row],[ PREV_CLOSE]])/NSE_BhavCopy[[#This Row],[ PREV_CLOSE]]*100</f>
        <v>-4.0296052631578876</v>
      </c>
    </row>
    <row r="1014" spans="1:12" hidden="1" x14ac:dyDescent="0.25">
      <c r="A1014" s="28" t="s">
        <v>1441</v>
      </c>
      <c r="B1014" s="28" t="s">
        <v>321</v>
      </c>
      <c r="C1014" s="30">
        <v>44428</v>
      </c>
      <c r="D1014" s="28">
        <v>316.55</v>
      </c>
      <c r="E1014" s="28">
        <v>315</v>
      </c>
      <c r="F1014" s="28">
        <v>322.5</v>
      </c>
      <c r="G1014" s="28">
        <v>312.2</v>
      </c>
      <c r="H1014" s="28">
        <v>312.72000000000003</v>
      </c>
      <c r="I1014" s="28">
        <v>32211</v>
      </c>
      <c r="J1014" s="28">
        <v>14892</v>
      </c>
      <c r="K1014" s="28">
        <v>46.23</v>
      </c>
      <c r="L1014" s="29">
        <f>SUM(NSE_BhavCopy[[#This Row],[ CLOSE_PRICE]]-NSE_BhavCopy[[#This Row],[ PREV_CLOSE]])/NSE_BhavCopy[[#This Row],[ PREV_CLOSE]]*100</f>
        <v>-1.3741904912336196</v>
      </c>
    </row>
    <row r="1015" spans="1:12" hidden="1" x14ac:dyDescent="0.25">
      <c r="A1015" s="28" t="s">
        <v>1593</v>
      </c>
      <c r="B1015" s="28" t="s">
        <v>321</v>
      </c>
      <c r="C1015" s="30">
        <v>44428</v>
      </c>
      <c r="D1015" s="28">
        <v>988.6</v>
      </c>
      <c r="E1015" s="28">
        <v>985</v>
      </c>
      <c r="F1015" s="28">
        <v>989.8</v>
      </c>
      <c r="G1015" s="28">
        <v>977.7</v>
      </c>
      <c r="H1015" s="28">
        <v>977.57</v>
      </c>
      <c r="I1015" s="28">
        <v>752256</v>
      </c>
      <c r="J1015" s="28">
        <v>347625</v>
      </c>
      <c r="K1015" s="28">
        <v>46.21</v>
      </c>
      <c r="L1015" s="29">
        <f>SUM(NSE_BhavCopy[[#This Row],[ CLOSE_PRICE]]-NSE_BhavCopy[[#This Row],[ PREV_CLOSE]])/NSE_BhavCopy[[#This Row],[ PREV_CLOSE]]*100</f>
        <v>-1.1025692899049138</v>
      </c>
    </row>
    <row r="1016" spans="1:12" hidden="1" x14ac:dyDescent="0.25">
      <c r="A1016" s="28" t="s">
        <v>1524</v>
      </c>
      <c r="B1016" s="28" t="s">
        <v>321</v>
      </c>
      <c r="C1016" s="30">
        <v>44428</v>
      </c>
      <c r="D1016" s="28">
        <v>179.25</v>
      </c>
      <c r="E1016" s="28">
        <v>178.3</v>
      </c>
      <c r="F1016" s="28">
        <v>179.85</v>
      </c>
      <c r="G1016" s="28">
        <v>174.15</v>
      </c>
      <c r="H1016" s="28">
        <v>176.72</v>
      </c>
      <c r="I1016" s="28">
        <v>484150</v>
      </c>
      <c r="J1016" s="28">
        <v>223528</v>
      </c>
      <c r="K1016" s="28">
        <v>46.17</v>
      </c>
      <c r="L1016" s="29">
        <f>SUM(NSE_BhavCopy[[#This Row],[ CLOSE_PRICE]]-NSE_BhavCopy[[#This Row],[ PREV_CLOSE]])/NSE_BhavCopy[[#This Row],[ PREV_CLOSE]]*100</f>
        <v>-2.8451882845188252</v>
      </c>
    </row>
    <row r="1017" spans="1:12" hidden="1" x14ac:dyDescent="0.25">
      <c r="A1017" s="28" t="s">
        <v>622</v>
      </c>
      <c r="B1017" s="28" t="s">
        <v>321</v>
      </c>
      <c r="C1017" s="30">
        <v>44428</v>
      </c>
      <c r="D1017" s="28">
        <v>463.8</v>
      </c>
      <c r="E1017" s="28">
        <v>450.55</v>
      </c>
      <c r="F1017" s="28">
        <v>462.75</v>
      </c>
      <c r="G1017" s="28">
        <v>440.95</v>
      </c>
      <c r="H1017" s="28">
        <v>448.98</v>
      </c>
      <c r="I1017" s="28">
        <v>683241</v>
      </c>
      <c r="J1017" s="28">
        <v>315196</v>
      </c>
      <c r="K1017" s="28">
        <v>46.13</v>
      </c>
      <c r="L1017" s="29">
        <f>SUM(NSE_BhavCopy[[#This Row],[ CLOSE_PRICE]]-NSE_BhavCopy[[#This Row],[ PREV_CLOSE]])/NSE_BhavCopy[[#This Row],[ PREV_CLOSE]]*100</f>
        <v>-4.9266925398878874</v>
      </c>
    </row>
    <row r="1018" spans="1:12" hidden="1" x14ac:dyDescent="0.25">
      <c r="A1018" s="28" t="s">
        <v>1309</v>
      </c>
      <c r="B1018" s="28" t="s">
        <v>321</v>
      </c>
      <c r="C1018" s="30">
        <v>44428</v>
      </c>
      <c r="D1018" s="28">
        <v>155.5</v>
      </c>
      <c r="E1018" s="28">
        <v>153</v>
      </c>
      <c r="F1018" s="28">
        <v>158.44999999999999</v>
      </c>
      <c r="G1018" s="28">
        <v>148.55000000000001</v>
      </c>
      <c r="H1018" s="28">
        <v>151.30000000000001</v>
      </c>
      <c r="I1018" s="28">
        <v>141620</v>
      </c>
      <c r="J1018" s="28">
        <v>65322</v>
      </c>
      <c r="K1018" s="28">
        <v>46.12</v>
      </c>
      <c r="L1018" s="29">
        <f>SUM(NSE_BhavCopy[[#This Row],[ CLOSE_PRICE]]-NSE_BhavCopy[[#This Row],[ PREV_CLOSE]])/NSE_BhavCopy[[#This Row],[ PREV_CLOSE]]*100</f>
        <v>-4.4694533762057809</v>
      </c>
    </row>
    <row r="1019" spans="1:12" hidden="1" x14ac:dyDescent="0.25">
      <c r="A1019" s="28" t="s">
        <v>1595</v>
      </c>
      <c r="B1019" s="28" t="s">
        <v>321</v>
      </c>
      <c r="C1019" s="30">
        <v>44428</v>
      </c>
      <c r="D1019" s="28">
        <v>255.25</v>
      </c>
      <c r="E1019" s="28">
        <v>250</v>
      </c>
      <c r="F1019" s="28">
        <v>260.85000000000002</v>
      </c>
      <c r="G1019" s="28">
        <v>241.65</v>
      </c>
      <c r="H1019" s="28">
        <v>248.2</v>
      </c>
      <c r="I1019" s="28">
        <v>285475</v>
      </c>
      <c r="J1019" s="28">
        <v>131562</v>
      </c>
      <c r="K1019" s="28">
        <v>46.09</v>
      </c>
      <c r="L1019" s="29">
        <f>SUM(NSE_BhavCopy[[#This Row],[ CLOSE_PRICE]]-NSE_BhavCopy[[#This Row],[ PREV_CLOSE]])/NSE_BhavCopy[[#This Row],[ PREV_CLOSE]]*100</f>
        <v>-5.3281096963760994</v>
      </c>
    </row>
    <row r="1020" spans="1:12" hidden="1" x14ac:dyDescent="0.25">
      <c r="A1020" s="28" t="s">
        <v>498</v>
      </c>
      <c r="B1020" s="28" t="s">
        <v>321</v>
      </c>
      <c r="C1020" s="30">
        <v>44428</v>
      </c>
      <c r="D1020" s="28">
        <v>106.15</v>
      </c>
      <c r="E1020" s="28">
        <v>104.9</v>
      </c>
      <c r="F1020" s="28">
        <v>105.55</v>
      </c>
      <c r="G1020" s="28">
        <v>101.85</v>
      </c>
      <c r="H1020" s="28">
        <v>102.96</v>
      </c>
      <c r="I1020" s="28">
        <v>474811</v>
      </c>
      <c r="J1020" s="28">
        <v>218572</v>
      </c>
      <c r="K1020" s="28">
        <v>46.03</v>
      </c>
      <c r="L1020" s="29">
        <f>SUM(NSE_BhavCopy[[#This Row],[ CLOSE_PRICE]]-NSE_BhavCopy[[#This Row],[ PREV_CLOSE]])/NSE_BhavCopy[[#This Row],[ PREV_CLOSE]]*100</f>
        <v>-4.0508714083843724</v>
      </c>
    </row>
    <row r="1021" spans="1:12" hidden="1" x14ac:dyDescent="0.25">
      <c r="A1021" s="28" t="s">
        <v>335</v>
      </c>
      <c r="B1021" s="28" t="s">
        <v>321</v>
      </c>
      <c r="C1021" s="30">
        <v>44428</v>
      </c>
      <c r="D1021" s="28">
        <v>205.9</v>
      </c>
      <c r="E1021" s="28">
        <v>201</v>
      </c>
      <c r="F1021" s="28">
        <v>204.55</v>
      </c>
      <c r="G1021" s="28">
        <v>200.05</v>
      </c>
      <c r="H1021" s="28">
        <v>201.41</v>
      </c>
      <c r="I1021" s="28">
        <v>2650899</v>
      </c>
      <c r="J1021" s="28">
        <v>1219614</v>
      </c>
      <c r="K1021" s="28">
        <v>46.01</v>
      </c>
      <c r="L1021" s="29">
        <f>SUM(NSE_BhavCopy[[#This Row],[ CLOSE_PRICE]]-NSE_BhavCopy[[#This Row],[ PREV_CLOSE]])/NSE_BhavCopy[[#This Row],[ PREV_CLOSE]]*100</f>
        <v>-2.8411850412821731</v>
      </c>
    </row>
    <row r="1022" spans="1:12" hidden="1" x14ac:dyDescent="0.25">
      <c r="A1022" s="28" t="s">
        <v>712</v>
      </c>
      <c r="B1022" s="28" t="s">
        <v>321</v>
      </c>
      <c r="C1022" s="30">
        <v>44428</v>
      </c>
      <c r="D1022" s="28">
        <v>1575.15</v>
      </c>
      <c r="E1022" s="28">
        <v>1590</v>
      </c>
      <c r="F1022" s="28">
        <v>1605.1</v>
      </c>
      <c r="G1022" s="28">
        <v>1562.75</v>
      </c>
      <c r="H1022" s="28">
        <v>1577.16</v>
      </c>
      <c r="I1022" s="28">
        <v>41098</v>
      </c>
      <c r="J1022" s="28">
        <v>18880</v>
      </c>
      <c r="K1022" s="28">
        <v>45.94</v>
      </c>
      <c r="L1022" s="29">
        <f>SUM(NSE_BhavCopy[[#This Row],[ CLOSE_PRICE]]-NSE_BhavCopy[[#This Row],[ PREV_CLOSE]])/NSE_BhavCopy[[#This Row],[ PREV_CLOSE]]*100</f>
        <v>-0.78722661333841792</v>
      </c>
    </row>
    <row r="1023" spans="1:12" hidden="1" x14ac:dyDescent="0.25">
      <c r="A1023" s="28" t="s">
        <v>1191</v>
      </c>
      <c r="B1023" s="28" t="s">
        <v>321</v>
      </c>
      <c r="C1023" s="30">
        <v>44428</v>
      </c>
      <c r="D1023" s="28">
        <v>325.14999999999998</v>
      </c>
      <c r="E1023" s="28">
        <v>321</v>
      </c>
      <c r="F1023" s="28">
        <v>323</v>
      </c>
      <c r="G1023" s="28">
        <v>319.5</v>
      </c>
      <c r="H1023" s="28">
        <v>319.66000000000003</v>
      </c>
      <c r="I1023" s="28">
        <v>385668</v>
      </c>
      <c r="J1023" s="28">
        <v>176975</v>
      </c>
      <c r="K1023" s="28">
        <v>45.89</v>
      </c>
      <c r="L1023" s="29">
        <f>SUM(NSE_BhavCopy[[#This Row],[ CLOSE_PRICE]]-NSE_BhavCopy[[#This Row],[ PREV_CLOSE]])/NSE_BhavCopy[[#This Row],[ PREV_CLOSE]]*100</f>
        <v>-1.7376595417499547</v>
      </c>
    </row>
    <row r="1024" spans="1:12" hidden="1" x14ac:dyDescent="0.25">
      <c r="A1024" s="28" t="s">
        <v>109</v>
      </c>
      <c r="B1024" s="28" t="s">
        <v>321</v>
      </c>
      <c r="C1024" s="30">
        <v>44428</v>
      </c>
      <c r="D1024" s="28">
        <v>4687.05</v>
      </c>
      <c r="E1024" s="28">
        <v>4659.8999999999996</v>
      </c>
      <c r="F1024" s="28">
        <v>4659.8999999999996</v>
      </c>
      <c r="G1024" s="28">
        <v>4556</v>
      </c>
      <c r="H1024" s="28">
        <v>4569.13</v>
      </c>
      <c r="I1024" s="28">
        <v>826908</v>
      </c>
      <c r="J1024" s="28">
        <v>378774</v>
      </c>
      <c r="K1024" s="28">
        <v>45.81</v>
      </c>
      <c r="L1024" s="29">
        <f>SUM(NSE_BhavCopy[[#This Row],[ CLOSE_PRICE]]-NSE_BhavCopy[[#This Row],[ PREV_CLOSE]])/NSE_BhavCopy[[#This Row],[ PREV_CLOSE]]*100</f>
        <v>-2.796001749501289</v>
      </c>
    </row>
    <row r="1025" spans="1:12" hidden="1" x14ac:dyDescent="0.25">
      <c r="A1025" s="28" t="s">
        <v>1561</v>
      </c>
      <c r="B1025" s="28" t="s">
        <v>321</v>
      </c>
      <c r="C1025" s="30">
        <v>44428</v>
      </c>
      <c r="D1025" s="28">
        <v>40.75</v>
      </c>
      <c r="E1025" s="28">
        <v>41</v>
      </c>
      <c r="F1025" s="28">
        <v>41.9</v>
      </c>
      <c r="G1025" s="28">
        <v>39.75</v>
      </c>
      <c r="H1025" s="28">
        <v>40.090000000000003</v>
      </c>
      <c r="I1025" s="28">
        <v>128741</v>
      </c>
      <c r="J1025" s="28">
        <v>58980</v>
      </c>
      <c r="K1025" s="28">
        <v>45.81</v>
      </c>
      <c r="L1025" s="29">
        <f>SUM(NSE_BhavCopy[[#This Row],[ CLOSE_PRICE]]-NSE_BhavCopy[[#This Row],[ PREV_CLOSE]])/NSE_BhavCopy[[#This Row],[ PREV_CLOSE]]*100</f>
        <v>-2.4539877300613497</v>
      </c>
    </row>
    <row r="1026" spans="1:12" hidden="1" x14ac:dyDescent="0.25">
      <c r="A1026" s="28" t="s">
        <v>792</v>
      </c>
      <c r="B1026" s="28" t="s">
        <v>321</v>
      </c>
      <c r="C1026" s="30">
        <v>44428</v>
      </c>
      <c r="D1026" s="28">
        <v>253.8</v>
      </c>
      <c r="E1026" s="28">
        <v>251.95</v>
      </c>
      <c r="F1026" s="28">
        <v>252.75</v>
      </c>
      <c r="G1026" s="28">
        <v>247.2</v>
      </c>
      <c r="H1026" s="28">
        <v>248.55</v>
      </c>
      <c r="I1026" s="28">
        <v>2944433</v>
      </c>
      <c r="J1026" s="28">
        <v>1347848</v>
      </c>
      <c r="K1026" s="28">
        <v>45.78</v>
      </c>
      <c r="L1026" s="29">
        <f>SUM(NSE_BhavCopy[[#This Row],[ CLOSE_PRICE]]-NSE_BhavCopy[[#This Row],[ PREV_CLOSE]])/NSE_BhavCopy[[#This Row],[ PREV_CLOSE]]*100</f>
        <v>-2.6004728132387798</v>
      </c>
    </row>
    <row r="1027" spans="1:12" hidden="1" x14ac:dyDescent="0.25">
      <c r="A1027" s="28" t="s">
        <v>467</v>
      </c>
      <c r="B1027" s="28" t="s">
        <v>321</v>
      </c>
      <c r="C1027" s="30">
        <v>44428</v>
      </c>
      <c r="D1027" s="28">
        <v>227.4</v>
      </c>
      <c r="E1027" s="28">
        <v>224.9</v>
      </c>
      <c r="F1027" s="28">
        <v>230.95</v>
      </c>
      <c r="G1027" s="28">
        <v>220.95</v>
      </c>
      <c r="H1027" s="28">
        <v>220.76</v>
      </c>
      <c r="I1027" s="28">
        <v>207717</v>
      </c>
      <c r="J1027" s="28">
        <v>95066</v>
      </c>
      <c r="K1027" s="28">
        <v>45.77</v>
      </c>
      <c r="L1027" s="29">
        <f>SUM(NSE_BhavCopy[[#This Row],[ CLOSE_PRICE]]-NSE_BhavCopy[[#This Row],[ PREV_CLOSE]])/NSE_BhavCopy[[#This Row],[ PREV_CLOSE]]*100</f>
        <v>-2.836411609498688</v>
      </c>
    </row>
    <row r="1028" spans="1:12" hidden="1" x14ac:dyDescent="0.25">
      <c r="A1028" s="28" t="s">
        <v>1043</v>
      </c>
      <c r="B1028" s="28" t="s">
        <v>321</v>
      </c>
      <c r="C1028" s="30">
        <v>44428</v>
      </c>
      <c r="D1028" s="28">
        <v>79.099999999999994</v>
      </c>
      <c r="E1028" s="28">
        <v>79.099999999999994</v>
      </c>
      <c r="F1028" s="28">
        <v>87</v>
      </c>
      <c r="G1028" s="28">
        <v>87</v>
      </c>
      <c r="H1028" s="28">
        <v>85.41</v>
      </c>
      <c r="I1028" s="28">
        <v>723848</v>
      </c>
      <c r="J1028" s="28">
        <v>331086</v>
      </c>
      <c r="K1028" s="28">
        <v>45.74</v>
      </c>
      <c r="L1028" s="29">
        <f>SUM(NSE_BhavCopy[[#This Row],[ CLOSE_PRICE]]-NSE_BhavCopy[[#This Row],[ PREV_CLOSE]])/NSE_BhavCopy[[#This Row],[ PREV_CLOSE]]*100</f>
        <v>9.9873577749684035</v>
      </c>
    </row>
    <row r="1029" spans="1:12" hidden="1" x14ac:dyDescent="0.25">
      <c r="A1029" s="28" t="s">
        <v>1053</v>
      </c>
      <c r="B1029" s="28" t="s">
        <v>321</v>
      </c>
      <c r="C1029" s="30">
        <v>44428</v>
      </c>
      <c r="D1029" s="28">
        <v>122.9</v>
      </c>
      <c r="E1029" s="28">
        <v>122.7</v>
      </c>
      <c r="F1029" s="28">
        <v>122.7</v>
      </c>
      <c r="G1029" s="28">
        <v>116.25</v>
      </c>
      <c r="H1029" s="28">
        <v>118.74</v>
      </c>
      <c r="I1029" s="28">
        <v>381169</v>
      </c>
      <c r="J1029" s="28">
        <v>174355</v>
      </c>
      <c r="K1029" s="28">
        <v>45.74</v>
      </c>
      <c r="L1029" s="29">
        <f>SUM(NSE_BhavCopy[[#This Row],[ CLOSE_PRICE]]-NSE_BhavCopy[[#This Row],[ PREV_CLOSE]])/NSE_BhavCopy[[#This Row],[ PREV_CLOSE]]*100</f>
        <v>-5.4109031733116399</v>
      </c>
    </row>
    <row r="1030" spans="1:12" hidden="1" x14ac:dyDescent="0.25">
      <c r="A1030" s="28" t="s">
        <v>796</v>
      </c>
      <c r="B1030" s="28" t="s">
        <v>321</v>
      </c>
      <c r="C1030" s="30">
        <v>44428</v>
      </c>
      <c r="D1030" s="28">
        <v>549.29999999999995</v>
      </c>
      <c r="E1030" s="28">
        <v>551</v>
      </c>
      <c r="F1030" s="28">
        <v>558.85</v>
      </c>
      <c r="G1030" s="28">
        <v>528.15</v>
      </c>
      <c r="H1030" s="28">
        <v>533.21</v>
      </c>
      <c r="I1030" s="28">
        <v>90225</v>
      </c>
      <c r="J1030" s="28">
        <v>41263</v>
      </c>
      <c r="K1030" s="28">
        <v>45.73</v>
      </c>
      <c r="L1030" s="29">
        <f>SUM(NSE_BhavCopy[[#This Row],[ CLOSE_PRICE]]-NSE_BhavCopy[[#This Row],[ PREV_CLOSE]])/NSE_BhavCopy[[#This Row],[ PREV_CLOSE]]*100</f>
        <v>-3.8503549972692479</v>
      </c>
    </row>
    <row r="1031" spans="1:12" hidden="1" x14ac:dyDescent="0.25">
      <c r="A1031" s="28" t="s">
        <v>1021</v>
      </c>
      <c r="B1031" s="28" t="s">
        <v>321</v>
      </c>
      <c r="C1031" s="30">
        <v>44428</v>
      </c>
      <c r="D1031" s="28">
        <v>972.8</v>
      </c>
      <c r="E1031" s="28">
        <v>963.95</v>
      </c>
      <c r="F1031" s="28">
        <v>967.75</v>
      </c>
      <c r="G1031" s="28">
        <v>926.6</v>
      </c>
      <c r="H1031" s="28">
        <v>942.24</v>
      </c>
      <c r="I1031" s="28">
        <v>3344255</v>
      </c>
      <c r="J1031" s="28">
        <v>1524631</v>
      </c>
      <c r="K1031" s="28">
        <v>45.59</v>
      </c>
      <c r="L1031" s="29">
        <f>SUM(NSE_BhavCopy[[#This Row],[ CLOSE_PRICE]]-NSE_BhavCopy[[#This Row],[ PREV_CLOSE]])/NSE_BhavCopy[[#This Row],[ PREV_CLOSE]]*100</f>
        <v>-4.7491776315789407</v>
      </c>
    </row>
    <row r="1032" spans="1:12" hidden="1" x14ac:dyDescent="0.25">
      <c r="A1032" s="28" t="s">
        <v>1469</v>
      </c>
      <c r="B1032" s="28" t="s">
        <v>321</v>
      </c>
      <c r="C1032" s="30">
        <v>44428</v>
      </c>
      <c r="D1032" s="28">
        <v>215.5</v>
      </c>
      <c r="E1032" s="28">
        <v>218.5</v>
      </c>
      <c r="F1032" s="28">
        <v>222.9</v>
      </c>
      <c r="G1032" s="28">
        <v>219.2</v>
      </c>
      <c r="H1032" s="28">
        <v>218.54</v>
      </c>
      <c r="I1032" s="28">
        <v>38122</v>
      </c>
      <c r="J1032" s="28">
        <v>17377</v>
      </c>
      <c r="K1032" s="28">
        <v>45.58</v>
      </c>
      <c r="L1032" s="29">
        <f>SUM(NSE_BhavCopy[[#This Row],[ CLOSE_PRICE]]-NSE_BhavCopy[[#This Row],[ PREV_CLOSE]])/NSE_BhavCopy[[#This Row],[ PREV_CLOSE]]*100</f>
        <v>1.7169373549883939</v>
      </c>
    </row>
    <row r="1033" spans="1:12" hidden="1" x14ac:dyDescent="0.25">
      <c r="A1033" s="28" t="s">
        <v>495</v>
      </c>
      <c r="B1033" s="28" t="s">
        <v>321</v>
      </c>
      <c r="C1033" s="30">
        <v>44428</v>
      </c>
      <c r="D1033" s="28">
        <v>148.30000000000001</v>
      </c>
      <c r="E1033" s="28">
        <v>146.25</v>
      </c>
      <c r="F1033" s="28">
        <v>148.65</v>
      </c>
      <c r="G1033" s="28">
        <v>144</v>
      </c>
      <c r="H1033" s="28">
        <v>145.59</v>
      </c>
      <c r="I1033" s="28">
        <v>171220</v>
      </c>
      <c r="J1033" s="28">
        <v>78000</v>
      </c>
      <c r="K1033" s="28">
        <v>45.56</v>
      </c>
      <c r="L1033" s="29">
        <f>SUM(NSE_BhavCopy[[#This Row],[ CLOSE_PRICE]]-NSE_BhavCopy[[#This Row],[ PREV_CLOSE]])/NSE_BhavCopy[[#This Row],[ PREV_CLOSE]]*100</f>
        <v>-2.8995279838165957</v>
      </c>
    </row>
    <row r="1034" spans="1:12" hidden="1" x14ac:dyDescent="0.25">
      <c r="A1034" s="28" t="s">
        <v>956</v>
      </c>
      <c r="B1034" s="28" t="s">
        <v>321</v>
      </c>
      <c r="C1034" s="30">
        <v>44428</v>
      </c>
      <c r="D1034" s="28">
        <v>47.2</v>
      </c>
      <c r="E1034" s="28">
        <v>45.5</v>
      </c>
      <c r="F1034" s="28">
        <v>46</v>
      </c>
      <c r="G1034" s="28">
        <v>43.35</v>
      </c>
      <c r="H1034" s="28">
        <v>43.81</v>
      </c>
      <c r="I1034" s="28">
        <v>2689477</v>
      </c>
      <c r="J1034" s="28">
        <v>1225135</v>
      </c>
      <c r="K1034" s="28">
        <v>45.55</v>
      </c>
      <c r="L1034" s="29">
        <f>SUM(NSE_BhavCopy[[#This Row],[ CLOSE_PRICE]]-NSE_BhavCopy[[#This Row],[ PREV_CLOSE]])/NSE_BhavCopy[[#This Row],[ PREV_CLOSE]]*100</f>
        <v>-8.1567796610169516</v>
      </c>
    </row>
    <row r="1035" spans="1:12" hidden="1" x14ac:dyDescent="0.25">
      <c r="A1035" s="28" t="s">
        <v>987</v>
      </c>
      <c r="B1035" s="28" t="s">
        <v>321</v>
      </c>
      <c r="C1035" s="30">
        <v>44428</v>
      </c>
      <c r="D1035" s="28">
        <v>251.95</v>
      </c>
      <c r="E1035" s="28">
        <v>249</v>
      </c>
      <c r="F1035" s="28">
        <v>249.9</v>
      </c>
      <c r="G1035" s="28">
        <v>237.9</v>
      </c>
      <c r="H1035" s="28">
        <v>242.39</v>
      </c>
      <c r="I1035" s="28">
        <v>630341</v>
      </c>
      <c r="J1035" s="28">
        <v>286999</v>
      </c>
      <c r="K1035" s="28">
        <v>45.53</v>
      </c>
      <c r="L1035" s="29">
        <f>SUM(NSE_BhavCopy[[#This Row],[ CLOSE_PRICE]]-NSE_BhavCopy[[#This Row],[ PREV_CLOSE]])/NSE_BhavCopy[[#This Row],[ PREV_CLOSE]]*100</f>
        <v>-5.5765032744592116</v>
      </c>
    </row>
    <row r="1036" spans="1:12" hidden="1" x14ac:dyDescent="0.25">
      <c r="A1036" s="28" t="s">
        <v>928</v>
      </c>
      <c r="B1036" s="28" t="s">
        <v>321</v>
      </c>
      <c r="C1036" s="30">
        <v>44428</v>
      </c>
      <c r="D1036" s="28">
        <v>148.05000000000001</v>
      </c>
      <c r="E1036" s="28">
        <v>144.80000000000001</v>
      </c>
      <c r="F1036" s="28">
        <v>146.25</v>
      </c>
      <c r="G1036" s="28">
        <v>136.80000000000001</v>
      </c>
      <c r="H1036" s="28">
        <v>140.47999999999999</v>
      </c>
      <c r="I1036" s="28">
        <v>2849283</v>
      </c>
      <c r="J1036" s="28">
        <v>1296654</v>
      </c>
      <c r="K1036" s="28">
        <v>45.51</v>
      </c>
      <c r="L1036" s="29">
        <f>SUM(NSE_BhavCopy[[#This Row],[ CLOSE_PRICE]]-NSE_BhavCopy[[#This Row],[ PREV_CLOSE]])/NSE_BhavCopy[[#This Row],[ PREV_CLOSE]]*100</f>
        <v>-7.598784194528875</v>
      </c>
    </row>
    <row r="1037" spans="1:12" hidden="1" x14ac:dyDescent="0.25">
      <c r="A1037" s="28" t="s">
        <v>1513</v>
      </c>
      <c r="B1037" s="28" t="s">
        <v>321</v>
      </c>
      <c r="C1037" s="30">
        <v>44428</v>
      </c>
      <c r="D1037" s="28">
        <v>142.4</v>
      </c>
      <c r="E1037" s="28">
        <v>140.1</v>
      </c>
      <c r="F1037" s="28">
        <v>142.4</v>
      </c>
      <c r="G1037" s="28">
        <v>136.30000000000001</v>
      </c>
      <c r="H1037" s="28">
        <v>138.47</v>
      </c>
      <c r="I1037" s="28">
        <v>152788</v>
      </c>
      <c r="J1037" s="28">
        <v>69445</v>
      </c>
      <c r="K1037" s="28">
        <v>45.45</v>
      </c>
      <c r="L1037" s="29">
        <f>SUM(NSE_BhavCopy[[#This Row],[ CLOSE_PRICE]]-NSE_BhavCopy[[#This Row],[ PREV_CLOSE]])/NSE_BhavCopy[[#This Row],[ PREV_CLOSE]]*100</f>
        <v>-4.2837078651685356</v>
      </c>
    </row>
    <row r="1038" spans="1:12" hidden="1" x14ac:dyDescent="0.25">
      <c r="A1038" s="28" t="s">
        <v>997</v>
      </c>
      <c r="B1038" s="28" t="s">
        <v>321</v>
      </c>
      <c r="C1038" s="30">
        <v>44428</v>
      </c>
      <c r="D1038" s="28">
        <v>275.10000000000002</v>
      </c>
      <c r="E1038" s="28">
        <v>273</v>
      </c>
      <c r="F1038" s="28">
        <v>277.45</v>
      </c>
      <c r="G1038" s="28">
        <v>269.55</v>
      </c>
      <c r="H1038" s="28">
        <v>273.27</v>
      </c>
      <c r="I1038" s="28">
        <v>134991</v>
      </c>
      <c r="J1038" s="28">
        <v>61346</v>
      </c>
      <c r="K1038" s="28">
        <v>45.44</v>
      </c>
      <c r="L1038" s="29">
        <f>SUM(NSE_BhavCopy[[#This Row],[ CLOSE_PRICE]]-NSE_BhavCopy[[#This Row],[ PREV_CLOSE]])/NSE_BhavCopy[[#This Row],[ PREV_CLOSE]]*100</f>
        <v>-2.0174482006543113</v>
      </c>
    </row>
    <row r="1039" spans="1:12" hidden="1" x14ac:dyDescent="0.25">
      <c r="A1039" s="28" t="s">
        <v>955</v>
      </c>
      <c r="B1039" s="28" t="s">
        <v>321</v>
      </c>
      <c r="C1039" s="30">
        <v>44428</v>
      </c>
      <c r="D1039" s="28">
        <v>723.65</v>
      </c>
      <c r="E1039" s="28">
        <v>720</v>
      </c>
      <c r="F1039" s="28">
        <v>721.3</v>
      </c>
      <c r="G1039" s="28">
        <v>708.4</v>
      </c>
      <c r="H1039" s="28">
        <v>711.71</v>
      </c>
      <c r="I1039" s="28">
        <v>168520</v>
      </c>
      <c r="J1039" s="28">
        <v>76551</v>
      </c>
      <c r="K1039" s="28">
        <v>45.43</v>
      </c>
      <c r="L1039" s="29">
        <f>SUM(NSE_BhavCopy[[#This Row],[ CLOSE_PRICE]]-NSE_BhavCopy[[#This Row],[ PREV_CLOSE]])/NSE_BhavCopy[[#This Row],[ PREV_CLOSE]]*100</f>
        <v>-2.1073723485110203</v>
      </c>
    </row>
    <row r="1040" spans="1:12" hidden="1" x14ac:dyDescent="0.25">
      <c r="A1040" s="28" t="s">
        <v>824</v>
      </c>
      <c r="B1040" s="28" t="s">
        <v>321</v>
      </c>
      <c r="C1040" s="30">
        <v>44428</v>
      </c>
      <c r="D1040" s="28">
        <v>105.1</v>
      </c>
      <c r="E1040" s="28">
        <v>104.99</v>
      </c>
      <c r="F1040" s="28">
        <v>105.09</v>
      </c>
      <c r="G1040" s="28">
        <v>103.98</v>
      </c>
      <c r="H1040" s="28">
        <v>104.48</v>
      </c>
      <c r="I1040" s="28">
        <v>15296</v>
      </c>
      <c r="J1040" s="28">
        <v>6940</v>
      </c>
      <c r="K1040" s="28">
        <v>45.37</v>
      </c>
      <c r="L1040" s="29">
        <f>SUM(NSE_BhavCopy[[#This Row],[ CLOSE_PRICE]]-NSE_BhavCopy[[#This Row],[ PREV_CLOSE]])/NSE_BhavCopy[[#This Row],[ PREV_CLOSE]]*100</f>
        <v>-1.0656517602283448</v>
      </c>
    </row>
    <row r="1041" spans="1:12" hidden="1" x14ac:dyDescent="0.25">
      <c r="A1041" s="28" t="s">
        <v>939</v>
      </c>
      <c r="B1041" s="28" t="s">
        <v>321</v>
      </c>
      <c r="C1041" s="30">
        <v>44428</v>
      </c>
      <c r="D1041" s="28">
        <v>165.4</v>
      </c>
      <c r="E1041" s="28">
        <v>164</v>
      </c>
      <c r="F1041" s="28">
        <v>166.8</v>
      </c>
      <c r="G1041" s="28">
        <v>161.35</v>
      </c>
      <c r="H1041" s="28">
        <v>163.84</v>
      </c>
      <c r="I1041" s="28">
        <v>318472</v>
      </c>
      <c r="J1041" s="28">
        <v>144142</v>
      </c>
      <c r="K1041" s="28">
        <v>45.26</v>
      </c>
      <c r="L1041" s="29">
        <f>SUM(NSE_BhavCopy[[#This Row],[ CLOSE_PRICE]]-NSE_BhavCopy[[#This Row],[ PREV_CLOSE]])/NSE_BhavCopy[[#This Row],[ PREV_CLOSE]]*100</f>
        <v>-2.4486094316807807</v>
      </c>
    </row>
    <row r="1042" spans="1:12" hidden="1" x14ac:dyDescent="0.25">
      <c r="A1042" s="28" t="s">
        <v>754</v>
      </c>
      <c r="B1042" s="28" t="s">
        <v>321</v>
      </c>
      <c r="C1042" s="30">
        <v>44428</v>
      </c>
      <c r="D1042" s="28">
        <v>225.2</v>
      </c>
      <c r="E1042" s="28">
        <v>223</v>
      </c>
      <c r="F1042" s="28">
        <v>225.2</v>
      </c>
      <c r="G1042" s="28">
        <v>217.3</v>
      </c>
      <c r="H1042" s="28">
        <v>219.66</v>
      </c>
      <c r="I1042" s="28">
        <v>128652</v>
      </c>
      <c r="J1042" s="28">
        <v>58216</v>
      </c>
      <c r="K1042" s="28">
        <v>45.25</v>
      </c>
      <c r="L1042" s="29">
        <f>SUM(NSE_BhavCopy[[#This Row],[ CLOSE_PRICE]]-NSE_BhavCopy[[#This Row],[ PREV_CLOSE]])/NSE_BhavCopy[[#This Row],[ PREV_CLOSE]]*100</f>
        <v>-3.5079928952042532</v>
      </c>
    </row>
    <row r="1043" spans="1:12" hidden="1" x14ac:dyDescent="0.25">
      <c r="A1043" s="28" t="s">
        <v>1300</v>
      </c>
      <c r="B1043" s="28" t="s">
        <v>321</v>
      </c>
      <c r="C1043" s="30">
        <v>44428</v>
      </c>
      <c r="D1043" s="28">
        <v>640.4</v>
      </c>
      <c r="E1043" s="28">
        <v>633</v>
      </c>
      <c r="F1043" s="28">
        <v>636.65</v>
      </c>
      <c r="G1043" s="28">
        <v>609.25</v>
      </c>
      <c r="H1043" s="28">
        <v>620.46</v>
      </c>
      <c r="I1043" s="28">
        <v>96193</v>
      </c>
      <c r="J1043" s="28">
        <v>43522</v>
      </c>
      <c r="K1043" s="28">
        <v>45.24</v>
      </c>
      <c r="L1043" s="29">
        <f>SUM(NSE_BhavCopy[[#This Row],[ CLOSE_PRICE]]-NSE_BhavCopy[[#This Row],[ PREV_CLOSE]])/NSE_BhavCopy[[#This Row],[ PREV_CLOSE]]*100</f>
        <v>-4.8641474078700782</v>
      </c>
    </row>
    <row r="1044" spans="1:12" hidden="1" x14ac:dyDescent="0.25">
      <c r="A1044" s="28" t="s">
        <v>51</v>
      </c>
      <c r="B1044" s="28" t="s">
        <v>321</v>
      </c>
      <c r="C1044" s="30">
        <v>44428</v>
      </c>
      <c r="D1044" s="28">
        <v>908.85</v>
      </c>
      <c r="E1044" s="28">
        <v>908.9</v>
      </c>
      <c r="F1044" s="28">
        <v>909.05</v>
      </c>
      <c r="G1044" s="28">
        <v>890.85</v>
      </c>
      <c r="H1044" s="28">
        <v>896.11</v>
      </c>
      <c r="I1044" s="28">
        <v>2354874</v>
      </c>
      <c r="J1044" s="28">
        <v>1065090</v>
      </c>
      <c r="K1044" s="28">
        <v>45.23</v>
      </c>
      <c r="L1044" s="29">
        <f>SUM(NSE_BhavCopy[[#This Row],[ CLOSE_PRICE]]-NSE_BhavCopy[[#This Row],[ PREV_CLOSE]])/NSE_BhavCopy[[#This Row],[ PREV_CLOSE]]*100</f>
        <v>-1.9805248390823569</v>
      </c>
    </row>
    <row r="1045" spans="1:12" hidden="1" x14ac:dyDescent="0.25">
      <c r="A1045" s="28" t="s">
        <v>723</v>
      </c>
      <c r="B1045" s="28" t="s">
        <v>321</v>
      </c>
      <c r="C1045" s="30">
        <v>44428</v>
      </c>
      <c r="D1045" s="28">
        <v>1023.4</v>
      </c>
      <c r="E1045" s="28">
        <v>1016</v>
      </c>
      <c r="F1045" s="28">
        <v>1020</v>
      </c>
      <c r="G1045" s="28">
        <v>1000.35</v>
      </c>
      <c r="H1045" s="28">
        <v>1006.59</v>
      </c>
      <c r="I1045" s="28">
        <v>27413</v>
      </c>
      <c r="J1045" s="28">
        <v>12377</v>
      </c>
      <c r="K1045" s="28">
        <v>45.15</v>
      </c>
      <c r="L1045" s="29">
        <f>SUM(NSE_BhavCopy[[#This Row],[ CLOSE_PRICE]]-NSE_BhavCopy[[#This Row],[ PREV_CLOSE]])/NSE_BhavCopy[[#This Row],[ PREV_CLOSE]]*100</f>
        <v>-2.2522962673441427</v>
      </c>
    </row>
    <row r="1046" spans="1:12" hidden="1" x14ac:dyDescent="0.25">
      <c r="A1046" s="28" t="s">
        <v>592</v>
      </c>
      <c r="B1046" s="28" t="s">
        <v>321</v>
      </c>
      <c r="C1046" s="30">
        <v>44428</v>
      </c>
      <c r="D1046" s="28">
        <v>177.45</v>
      </c>
      <c r="E1046" s="28">
        <v>177</v>
      </c>
      <c r="F1046" s="28">
        <v>177</v>
      </c>
      <c r="G1046" s="28">
        <v>172.7</v>
      </c>
      <c r="H1046" s="28">
        <v>174.17</v>
      </c>
      <c r="I1046" s="28">
        <v>967051</v>
      </c>
      <c r="J1046" s="28">
        <v>436180</v>
      </c>
      <c r="K1046" s="28">
        <v>45.1</v>
      </c>
      <c r="L1046" s="29">
        <f>SUM(NSE_BhavCopy[[#This Row],[ CLOSE_PRICE]]-NSE_BhavCopy[[#This Row],[ PREV_CLOSE]])/NSE_BhavCopy[[#This Row],[ PREV_CLOSE]]*100</f>
        <v>-2.6768103691180616</v>
      </c>
    </row>
    <row r="1047" spans="1:12" hidden="1" x14ac:dyDescent="0.25">
      <c r="A1047" s="28" t="s">
        <v>1383</v>
      </c>
      <c r="B1047" s="28" t="s">
        <v>321</v>
      </c>
      <c r="C1047" s="30">
        <v>44428</v>
      </c>
      <c r="D1047" s="28">
        <v>262.5</v>
      </c>
      <c r="E1047" s="28">
        <v>262.39999999999998</v>
      </c>
      <c r="F1047" s="28">
        <v>275.60000000000002</v>
      </c>
      <c r="G1047" s="28">
        <v>275.60000000000002</v>
      </c>
      <c r="H1047" s="28">
        <v>269</v>
      </c>
      <c r="I1047" s="28">
        <v>608238</v>
      </c>
      <c r="J1047" s="28">
        <v>274334</v>
      </c>
      <c r="K1047" s="28">
        <v>45.1</v>
      </c>
      <c r="L1047" s="29">
        <f>SUM(NSE_BhavCopy[[#This Row],[ CLOSE_PRICE]]-NSE_BhavCopy[[#This Row],[ PREV_CLOSE]])/NSE_BhavCopy[[#This Row],[ PREV_CLOSE]]*100</f>
        <v>4.9904761904761994</v>
      </c>
    </row>
    <row r="1048" spans="1:12" hidden="1" x14ac:dyDescent="0.25">
      <c r="A1048" s="28" t="s">
        <v>1127</v>
      </c>
      <c r="B1048" s="28" t="s">
        <v>321</v>
      </c>
      <c r="C1048" s="30">
        <v>44428</v>
      </c>
      <c r="D1048" s="28">
        <v>103</v>
      </c>
      <c r="E1048" s="28">
        <v>102.95</v>
      </c>
      <c r="F1048" s="28">
        <v>104.4</v>
      </c>
      <c r="G1048" s="28">
        <v>100.65</v>
      </c>
      <c r="H1048" s="28">
        <v>102.44</v>
      </c>
      <c r="I1048" s="28">
        <v>299552</v>
      </c>
      <c r="J1048" s="28">
        <v>135004</v>
      </c>
      <c r="K1048" s="28">
        <v>45.07</v>
      </c>
      <c r="L1048" s="29">
        <f>SUM(NSE_BhavCopy[[#This Row],[ CLOSE_PRICE]]-NSE_BhavCopy[[#This Row],[ PREV_CLOSE]])/NSE_BhavCopy[[#This Row],[ PREV_CLOSE]]*100</f>
        <v>-2.281553398058247</v>
      </c>
    </row>
    <row r="1049" spans="1:12" hidden="1" x14ac:dyDescent="0.25">
      <c r="A1049" s="28" t="s">
        <v>1139</v>
      </c>
      <c r="B1049" s="28" t="s">
        <v>321</v>
      </c>
      <c r="C1049" s="30">
        <v>44428</v>
      </c>
      <c r="D1049" s="28">
        <v>517.35</v>
      </c>
      <c r="E1049" s="28">
        <v>525</v>
      </c>
      <c r="F1049" s="28">
        <v>543.20000000000005</v>
      </c>
      <c r="G1049" s="28">
        <v>543.20000000000005</v>
      </c>
      <c r="H1049" s="28">
        <v>536.34</v>
      </c>
      <c r="I1049" s="28">
        <v>994781</v>
      </c>
      <c r="J1049" s="28">
        <v>448153</v>
      </c>
      <c r="K1049" s="28">
        <v>45.05</v>
      </c>
      <c r="L1049" s="29">
        <f>SUM(NSE_BhavCopy[[#This Row],[ CLOSE_PRICE]]-NSE_BhavCopy[[#This Row],[ PREV_CLOSE]])/NSE_BhavCopy[[#This Row],[ PREV_CLOSE]]*100</f>
        <v>4.9966173770174978</v>
      </c>
    </row>
    <row r="1050" spans="1:12" hidden="1" x14ac:dyDescent="0.25">
      <c r="A1050" s="28" t="s">
        <v>619</v>
      </c>
      <c r="B1050" s="28" t="s">
        <v>321</v>
      </c>
      <c r="C1050" s="30">
        <v>44428</v>
      </c>
      <c r="D1050" s="28">
        <v>71.5</v>
      </c>
      <c r="E1050" s="28">
        <v>70</v>
      </c>
      <c r="F1050" s="28">
        <v>71.8</v>
      </c>
      <c r="G1050" s="28">
        <v>68.650000000000006</v>
      </c>
      <c r="H1050" s="28">
        <v>69.95</v>
      </c>
      <c r="I1050" s="28">
        <v>1540351</v>
      </c>
      <c r="J1050" s="28">
        <v>693155</v>
      </c>
      <c r="K1050" s="28">
        <v>45</v>
      </c>
      <c r="L1050" s="29">
        <f>SUM(NSE_BhavCopy[[#This Row],[ CLOSE_PRICE]]-NSE_BhavCopy[[#This Row],[ PREV_CLOSE]])/NSE_BhavCopy[[#This Row],[ PREV_CLOSE]]*100</f>
        <v>-3.9860139860139783</v>
      </c>
    </row>
    <row r="1051" spans="1:12" hidden="1" x14ac:dyDescent="0.25">
      <c r="A1051" s="28" t="s">
        <v>704</v>
      </c>
      <c r="B1051" s="28" t="s">
        <v>321</v>
      </c>
      <c r="C1051" s="30">
        <v>44428</v>
      </c>
      <c r="D1051" s="28">
        <v>341.15</v>
      </c>
      <c r="E1051" s="28">
        <v>337.4</v>
      </c>
      <c r="F1051" s="28">
        <v>345.2</v>
      </c>
      <c r="G1051" s="28">
        <v>334.55</v>
      </c>
      <c r="H1051" s="28">
        <v>336.35</v>
      </c>
      <c r="I1051" s="28">
        <v>146734</v>
      </c>
      <c r="J1051" s="28">
        <v>66012</v>
      </c>
      <c r="K1051" s="28">
        <v>44.99</v>
      </c>
      <c r="L1051" s="29">
        <f>SUM(NSE_BhavCopy[[#This Row],[ CLOSE_PRICE]]-NSE_BhavCopy[[#This Row],[ PREV_CLOSE]])/NSE_BhavCopy[[#This Row],[ PREV_CLOSE]]*100</f>
        <v>-1.9346328594459818</v>
      </c>
    </row>
    <row r="1052" spans="1:12" hidden="1" x14ac:dyDescent="0.25">
      <c r="A1052" s="28" t="s">
        <v>386</v>
      </c>
      <c r="B1052" s="28" t="s">
        <v>321</v>
      </c>
      <c r="C1052" s="30">
        <v>44428</v>
      </c>
      <c r="D1052" s="28">
        <v>185.95</v>
      </c>
      <c r="E1052" s="28">
        <v>204</v>
      </c>
      <c r="F1052" s="28">
        <v>204</v>
      </c>
      <c r="G1052" s="28">
        <v>180.5</v>
      </c>
      <c r="H1052" s="28">
        <v>189.99</v>
      </c>
      <c r="I1052" s="28">
        <v>8918</v>
      </c>
      <c r="J1052" s="28">
        <v>4010</v>
      </c>
      <c r="K1052" s="28">
        <v>44.97</v>
      </c>
      <c r="L1052" s="29">
        <f>SUM(NSE_BhavCopy[[#This Row],[ CLOSE_PRICE]]-NSE_BhavCopy[[#This Row],[ PREV_CLOSE]])/NSE_BhavCopy[[#This Row],[ PREV_CLOSE]]*100</f>
        <v>-2.9308954019897762</v>
      </c>
    </row>
    <row r="1053" spans="1:12" hidden="1" x14ac:dyDescent="0.25">
      <c r="A1053" s="28" t="s">
        <v>924</v>
      </c>
      <c r="B1053" s="28" t="s">
        <v>321</v>
      </c>
      <c r="C1053" s="30">
        <v>44428</v>
      </c>
      <c r="D1053" s="28">
        <v>92.2</v>
      </c>
      <c r="E1053" s="28">
        <v>90.25</v>
      </c>
      <c r="F1053" s="28">
        <v>91.9</v>
      </c>
      <c r="G1053" s="28">
        <v>90.1</v>
      </c>
      <c r="H1053" s="28">
        <v>90.38</v>
      </c>
      <c r="I1053" s="28">
        <v>1938160</v>
      </c>
      <c r="J1053" s="28">
        <v>871671</v>
      </c>
      <c r="K1053" s="28">
        <v>44.97</v>
      </c>
      <c r="L1053" s="29">
        <f>SUM(NSE_BhavCopy[[#This Row],[ CLOSE_PRICE]]-NSE_BhavCopy[[#This Row],[ PREV_CLOSE]])/NSE_BhavCopy[[#This Row],[ PREV_CLOSE]]*100</f>
        <v>-2.2776572668112891</v>
      </c>
    </row>
    <row r="1054" spans="1:12" hidden="1" x14ac:dyDescent="0.25">
      <c r="A1054" s="28" t="s">
        <v>1198</v>
      </c>
      <c r="B1054" s="28" t="s">
        <v>321</v>
      </c>
      <c r="C1054" s="30">
        <v>44428</v>
      </c>
      <c r="D1054" s="28">
        <v>30823.9</v>
      </c>
      <c r="E1054" s="28">
        <v>30200</v>
      </c>
      <c r="F1054" s="28">
        <v>31300</v>
      </c>
      <c r="G1054" s="28">
        <v>31116.55</v>
      </c>
      <c r="H1054" s="28">
        <v>30851.279999999999</v>
      </c>
      <c r="I1054" s="28">
        <v>22129</v>
      </c>
      <c r="J1054" s="28">
        <v>9947</v>
      </c>
      <c r="K1054" s="28">
        <v>44.95</v>
      </c>
      <c r="L1054" s="29">
        <f>SUM(NSE_BhavCopy[[#This Row],[ CLOSE_PRICE]]-NSE_BhavCopy[[#This Row],[ PREV_CLOSE]])/NSE_BhavCopy[[#This Row],[ PREV_CLOSE]]*100</f>
        <v>0.94942560805088838</v>
      </c>
    </row>
    <row r="1055" spans="1:12" hidden="1" x14ac:dyDescent="0.25">
      <c r="A1055" s="28" t="s">
        <v>1510</v>
      </c>
      <c r="B1055" s="28" t="s">
        <v>321</v>
      </c>
      <c r="C1055" s="30">
        <v>44428</v>
      </c>
      <c r="D1055" s="28">
        <v>243.2</v>
      </c>
      <c r="E1055" s="28">
        <v>240.75</v>
      </c>
      <c r="F1055" s="28">
        <v>242.35</v>
      </c>
      <c r="G1055" s="28">
        <v>229.5</v>
      </c>
      <c r="H1055" s="28">
        <v>234.24</v>
      </c>
      <c r="I1055" s="28">
        <v>624080</v>
      </c>
      <c r="J1055" s="28">
        <v>280510</v>
      </c>
      <c r="K1055" s="28">
        <v>44.95</v>
      </c>
      <c r="L1055" s="29">
        <f>SUM(NSE_BhavCopy[[#This Row],[ CLOSE_PRICE]]-NSE_BhavCopy[[#This Row],[ PREV_CLOSE]])/NSE_BhavCopy[[#This Row],[ PREV_CLOSE]]*100</f>
        <v>-5.6332236842105221</v>
      </c>
    </row>
    <row r="1056" spans="1:12" hidden="1" x14ac:dyDescent="0.25">
      <c r="A1056" s="28" t="s">
        <v>1335</v>
      </c>
      <c r="B1056" s="28" t="s">
        <v>321</v>
      </c>
      <c r="C1056" s="30">
        <v>44428</v>
      </c>
      <c r="D1056" s="28">
        <v>188.55</v>
      </c>
      <c r="E1056" s="28">
        <v>185.2</v>
      </c>
      <c r="F1056" s="28">
        <v>193.95</v>
      </c>
      <c r="G1056" s="28">
        <v>180</v>
      </c>
      <c r="H1056" s="28">
        <v>182.91</v>
      </c>
      <c r="I1056" s="28">
        <v>88332</v>
      </c>
      <c r="J1056" s="28">
        <v>39642</v>
      </c>
      <c r="K1056" s="28">
        <v>44.88</v>
      </c>
      <c r="L1056" s="29">
        <f>SUM(NSE_BhavCopy[[#This Row],[ CLOSE_PRICE]]-NSE_BhavCopy[[#This Row],[ PREV_CLOSE]])/NSE_BhavCopy[[#This Row],[ PREV_CLOSE]]*100</f>
        <v>-4.5346062052506024</v>
      </c>
    </row>
    <row r="1057" spans="1:12" hidden="1" x14ac:dyDescent="0.25">
      <c r="A1057" s="28" t="s">
        <v>1618</v>
      </c>
      <c r="B1057" s="28" t="s">
        <v>321</v>
      </c>
      <c r="C1057" s="30">
        <v>44428</v>
      </c>
      <c r="D1057" s="28">
        <v>245.5</v>
      </c>
      <c r="E1057" s="28">
        <v>242</v>
      </c>
      <c r="F1057" s="28">
        <v>247.4</v>
      </c>
      <c r="G1057" s="28">
        <v>234.25</v>
      </c>
      <c r="H1057" s="28">
        <v>239.38</v>
      </c>
      <c r="I1057" s="28">
        <v>250740</v>
      </c>
      <c r="J1057" s="28">
        <v>112531</v>
      </c>
      <c r="K1057" s="28">
        <v>44.88</v>
      </c>
      <c r="L1057" s="29">
        <f>SUM(NSE_BhavCopy[[#This Row],[ CLOSE_PRICE]]-NSE_BhavCopy[[#This Row],[ PREV_CLOSE]])/NSE_BhavCopy[[#This Row],[ PREV_CLOSE]]*100</f>
        <v>-4.5824847250509162</v>
      </c>
    </row>
    <row r="1058" spans="1:12" hidden="1" x14ac:dyDescent="0.25">
      <c r="A1058" s="28" t="s">
        <v>424</v>
      </c>
      <c r="B1058" s="28" t="s">
        <v>321</v>
      </c>
      <c r="C1058" s="30">
        <v>44428</v>
      </c>
      <c r="D1058" s="28">
        <v>3102.55</v>
      </c>
      <c r="E1058" s="28">
        <v>3084</v>
      </c>
      <c r="F1058" s="28">
        <v>3119</v>
      </c>
      <c r="G1058" s="28">
        <v>3081.4</v>
      </c>
      <c r="H1058" s="28">
        <v>3077.81</v>
      </c>
      <c r="I1058" s="28">
        <v>19327</v>
      </c>
      <c r="J1058" s="28">
        <v>8651</v>
      </c>
      <c r="K1058" s="28">
        <v>44.76</v>
      </c>
      <c r="L1058" s="29">
        <f>SUM(NSE_BhavCopy[[#This Row],[ CLOSE_PRICE]]-NSE_BhavCopy[[#This Row],[ PREV_CLOSE]])/NSE_BhavCopy[[#This Row],[ PREV_CLOSE]]*100</f>
        <v>-0.68169731350018825</v>
      </c>
    </row>
    <row r="1059" spans="1:12" hidden="1" x14ac:dyDescent="0.25">
      <c r="A1059" s="28" t="s">
        <v>511</v>
      </c>
      <c r="B1059" s="28" t="s">
        <v>321</v>
      </c>
      <c r="C1059" s="30">
        <v>44428</v>
      </c>
      <c r="D1059" s="28">
        <v>163.35</v>
      </c>
      <c r="E1059" s="28">
        <v>160</v>
      </c>
      <c r="F1059" s="28">
        <v>163</v>
      </c>
      <c r="G1059" s="28">
        <v>158.5</v>
      </c>
      <c r="H1059" s="28">
        <v>159.26</v>
      </c>
      <c r="I1059" s="28">
        <v>1836423</v>
      </c>
      <c r="J1059" s="28">
        <v>821189</v>
      </c>
      <c r="K1059" s="28">
        <v>44.72</v>
      </c>
      <c r="L1059" s="29">
        <f>SUM(NSE_BhavCopy[[#This Row],[ CLOSE_PRICE]]-NSE_BhavCopy[[#This Row],[ PREV_CLOSE]])/NSE_BhavCopy[[#This Row],[ PREV_CLOSE]]*100</f>
        <v>-2.9690847872666022</v>
      </c>
    </row>
    <row r="1060" spans="1:12" hidden="1" x14ac:dyDescent="0.25">
      <c r="A1060" s="28" t="s">
        <v>373</v>
      </c>
      <c r="B1060" s="28" t="s">
        <v>321</v>
      </c>
      <c r="C1060" s="30">
        <v>44428</v>
      </c>
      <c r="D1060" s="28">
        <v>340.7</v>
      </c>
      <c r="E1060" s="28">
        <v>336</v>
      </c>
      <c r="F1060" s="28">
        <v>349</v>
      </c>
      <c r="G1060" s="28">
        <v>342.15</v>
      </c>
      <c r="H1060" s="28">
        <v>341.04</v>
      </c>
      <c r="I1060" s="28">
        <v>69151</v>
      </c>
      <c r="J1060" s="28">
        <v>30907</v>
      </c>
      <c r="K1060" s="28">
        <v>44.69</v>
      </c>
      <c r="L1060" s="29">
        <f>SUM(NSE_BhavCopy[[#This Row],[ CLOSE_PRICE]]-NSE_BhavCopy[[#This Row],[ PREV_CLOSE]])/NSE_BhavCopy[[#This Row],[ PREV_CLOSE]]*100</f>
        <v>0.4255943645435834</v>
      </c>
    </row>
    <row r="1061" spans="1:12" hidden="1" x14ac:dyDescent="0.25">
      <c r="A1061" s="28" t="s">
        <v>1130</v>
      </c>
      <c r="B1061" s="28" t="s">
        <v>321</v>
      </c>
      <c r="C1061" s="30">
        <v>44428</v>
      </c>
      <c r="D1061" s="28">
        <v>2845.4</v>
      </c>
      <c r="E1061" s="28">
        <v>2711</v>
      </c>
      <c r="F1061" s="28">
        <v>2774.95</v>
      </c>
      <c r="G1061" s="28">
        <v>2753.7</v>
      </c>
      <c r="H1061" s="28">
        <v>2741.42</v>
      </c>
      <c r="I1061" s="28">
        <v>1492</v>
      </c>
      <c r="J1061" s="28">
        <v>666</v>
      </c>
      <c r="K1061" s="28">
        <v>44.64</v>
      </c>
      <c r="L1061" s="29">
        <f>SUM(NSE_BhavCopy[[#This Row],[ CLOSE_PRICE]]-NSE_BhavCopy[[#This Row],[ PREV_CLOSE]])/NSE_BhavCopy[[#This Row],[ PREV_CLOSE]]*100</f>
        <v>-3.2227454839389988</v>
      </c>
    </row>
    <row r="1062" spans="1:12" hidden="1" x14ac:dyDescent="0.25">
      <c r="A1062" s="28" t="s">
        <v>1424</v>
      </c>
      <c r="B1062" s="28" t="s">
        <v>321</v>
      </c>
      <c r="C1062" s="30">
        <v>44428</v>
      </c>
      <c r="D1062" s="28">
        <v>53.4</v>
      </c>
      <c r="E1062" s="28">
        <v>53.65</v>
      </c>
      <c r="F1062" s="28">
        <v>54.2</v>
      </c>
      <c r="G1062" s="28">
        <v>52.9</v>
      </c>
      <c r="H1062" s="28">
        <v>53.18</v>
      </c>
      <c r="I1062" s="28">
        <v>88726</v>
      </c>
      <c r="J1062" s="28">
        <v>39536</v>
      </c>
      <c r="K1062" s="28">
        <v>44.56</v>
      </c>
      <c r="L1062" s="29">
        <f>SUM(NSE_BhavCopy[[#This Row],[ CLOSE_PRICE]]-NSE_BhavCopy[[#This Row],[ PREV_CLOSE]])/NSE_BhavCopy[[#This Row],[ PREV_CLOSE]]*100</f>
        <v>-0.93632958801498134</v>
      </c>
    </row>
    <row r="1063" spans="1:12" hidden="1" x14ac:dyDescent="0.25">
      <c r="A1063" s="28" t="s">
        <v>588</v>
      </c>
      <c r="B1063" s="28" t="s">
        <v>321</v>
      </c>
      <c r="C1063" s="30">
        <v>44428</v>
      </c>
      <c r="D1063" s="28">
        <v>34.700000000000003</v>
      </c>
      <c r="E1063" s="28">
        <v>34.200000000000003</v>
      </c>
      <c r="F1063" s="28">
        <v>34.950000000000003</v>
      </c>
      <c r="G1063" s="28">
        <v>33.700000000000003</v>
      </c>
      <c r="H1063" s="28">
        <v>34.020000000000003</v>
      </c>
      <c r="I1063" s="28">
        <v>1100709</v>
      </c>
      <c r="J1063" s="28">
        <v>489602</v>
      </c>
      <c r="K1063" s="28">
        <v>44.48</v>
      </c>
      <c r="L1063" s="29">
        <f>SUM(NSE_BhavCopy[[#This Row],[ CLOSE_PRICE]]-NSE_BhavCopy[[#This Row],[ PREV_CLOSE]])/NSE_BhavCopy[[#This Row],[ PREV_CLOSE]]*100</f>
        <v>-2.8818443804034581</v>
      </c>
    </row>
    <row r="1064" spans="1:12" hidden="1" x14ac:dyDescent="0.25">
      <c r="A1064" s="28" t="s">
        <v>692</v>
      </c>
      <c r="B1064" s="28" t="s">
        <v>321</v>
      </c>
      <c r="C1064" s="30">
        <v>44428</v>
      </c>
      <c r="D1064" s="28">
        <v>141.75</v>
      </c>
      <c r="E1064" s="28">
        <v>141.75</v>
      </c>
      <c r="F1064" s="28">
        <v>142.19999999999999</v>
      </c>
      <c r="G1064" s="28">
        <v>134.80000000000001</v>
      </c>
      <c r="H1064" s="28">
        <v>137.51</v>
      </c>
      <c r="I1064" s="28">
        <v>580927</v>
      </c>
      <c r="J1064" s="28">
        <v>258377</v>
      </c>
      <c r="K1064" s="28">
        <v>44.48</v>
      </c>
      <c r="L1064" s="29">
        <f>SUM(NSE_BhavCopy[[#This Row],[ CLOSE_PRICE]]-NSE_BhavCopy[[#This Row],[ PREV_CLOSE]])/NSE_BhavCopy[[#This Row],[ PREV_CLOSE]]*100</f>
        <v>-4.9029982363315616</v>
      </c>
    </row>
    <row r="1065" spans="1:12" hidden="1" x14ac:dyDescent="0.25">
      <c r="A1065" s="28" t="s">
        <v>1237</v>
      </c>
      <c r="B1065" s="28" t="s">
        <v>321</v>
      </c>
      <c r="C1065" s="30">
        <v>44428</v>
      </c>
      <c r="D1065" s="28">
        <v>1904.85</v>
      </c>
      <c r="E1065" s="28">
        <v>1872</v>
      </c>
      <c r="F1065" s="28">
        <v>1905.2</v>
      </c>
      <c r="G1065" s="28">
        <v>1882.95</v>
      </c>
      <c r="H1065" s="28">
        <v>1886.26</v>
      </c>
      <c r="I1065" s="28">
        <v>196888</v>
      </c>
      <c r="J1065" s="28">
        <v>87551</v>
      </c>
      <c r="K1065" s="28">
        <v>44.47</v>
      </c>
      <c r="L1065" s="29">
        <f>SUM(NSE_BhavCopy[[#This Row],[ CLOSE_PRICE]]-NSE_BhavCopy[[#This Row],[ PREV_CLOSE]])/NSE_BhavCopy[[#This Row],[ PREV_CLOSE]]*100</f>
        <v>-1.1496968265217662</v>
      </c>
    </row>
    <row r="1066" spans="1:12" hidden="1" x14ac:dyDescent="0.25">
      <c r="A1066" s="28" t="s">
        <v>1061</v>
      </c>
      <c r="B1066" s="28" t="s">
        <v>321</v>
      </c>
      <c r="C1066" s="30">
        <v>44428</v>
      </c>
      <c r="D1066" s="28">
        <v>756.35</v>
      </c>
      <c r="E1066" s="28">
        <v>759.75</v>
      </c>
      <c r="F1066" s="28">
        <v>759.75</v>
      </c>
      <c r="G1066" s="28">
        <v>739</v>
      </c>
      <c r="H1066" s="28">
        <v>741.22</v>
      </c>
      <c r="I1066" s="28">
        <v>31614</v>
      </c>
      <c r="J1066" s="28">
        <v>14049</v>
      </c>
      <c r="K1066" s="28">
        <v>44.44</v>
      </c>
      <c r="L1066" s="29">
        <f>SUM(NSE_BhavCopy[[#This Row],[ CLOSE_PRICE]]-NSE_BhavCopy[[#This Row],[ PREV_CLOSE]])/NSE_BhavCopy[[#This Row],[ PREV_CLOSE]]*100</f>
        <v>-2.2939115488861006</v>
      </c>
    </row>
    <row r="1067" spans="1:12" hidden="1" x14ac:dyDescent="0.25">
      <c r="A1067" s="28" t="s">
        <v>811</v>
      </c>
      <c r="B1067" s="28" t="s">
        <v>321</v>
      </c>
      <c r="C1067" s="30">
        <v>44428</v>
      </c>
      <c r="D1067" s="28">
        <v>160.11000000000001</v>
      </c>
      <c r="E1067" s="28">
        <v>161.9</v>
      </c>
      <c r="F1067" s="28">
        <v>163.80000000000001</v>
      </c>
      <c r="G1067" s="28">
        <v>156.85</v>
      </c>
      <c r="H1067" s="28">
        <v>159.30000000000001</v>
      </c>
      <c r="I1067" s="28">
        <v>1113</v>
      </c>
      <c r="J1067" s="28">
        <v>494</v>
      </c>
      <c r="K1067" s="28">
        <v>44.38</v>
      </c>
      <c r="L1067" s="29">
        <f>SUM(NSE_BhavCopy[[#This Row],[ CLOSE_PRICE]]-NSE_BhavCopy[[#This Row],[ PREV_CLOSE]])/NSE_BhavCopy[[#This Row],[ PREV_CLOSE]]*100</f>
        <v>-2.0361001811254882</v>
      </c>
    </row>
    <row r="1068" spans="1:12" hidden="1" x14ac:dyDescent="0.25">
      <c r="A1068" s="28" t="s">
        <v>1156</v>
      </c>
      <c r="B1068" s="28" t="s">
        <v>321</v>
      </c>
      <c r="C1068" s="30">
        <v>44428</v>
      </c>
      <c r="D1068" s="28">
        <v>137.85</v>
      </c>
      <c r="E1068" s="28">
        <v>137.85</v>
      </c>
      <c r="F1068" s="28">
        <v>139.69999999999999</v>
      </c>
      <c r="G1068" s="28">
        <v>135.44999999999999</v>
      </c>
      <c r="H1068" s="28">
        <v>137.09</v>
      </c>
      <c r="I1068" s="28">
        <v>474777</v>
      </c>
      <c r="J1068" s="28">
        <v>210623</v>
      </c>
      <c r="K1068" s="28">
        <v>44.36</v>
      </c>
      <c r="L1068" s="29">
        <f>SUM(NSE_BhavCopy[[#This Row],[ CLOSE_PRICE]]-NSE_BhavCopy[[#This Row],[ PREV_CLOSE]])/NSE_BhavCopy[[#This Row],[ PREV_CLOSE]]*100</f>
        <v>-1.7410228509249226</v>
      </c>
    </row>
    <row r="1069" spans="1:12" hidden="1" x14ac:dyDescent="0.25">
      <c r="A1069" s="28" t="s">
        <v>562</v>
      </c>
      <c r="B1069" s="28" t="s">
        <v>321</v>
      </c>
      <c r="C1069" s="30">
        <v>44428</v>
      </c>
      <c r="D1069" s="28">
        <v>848.7</v>
      </c>
      <c r="E1069" s="28">
        <v>839.95</v>
      </c>
      <c r="F1069" s="28">
        <v>845.95</v>
      </c>
      <c r="G1069" s="28">
        <v>821.1</v>
      </c>
      <c r="H1069" s="28">
        <v>825.38</v>
      </c>
      <c r="I1069" s="28">
        <v>575895</v>
      </c>
      <c r="J1069" s="28">
        <v>254543</v>
      </c>
      <c r="K1069" s="28">
        <v>44.2</v>
      </c>
      <c r="L1069" s="29">
        <f>SUM(NSE_BhavCopy[[#This Row],[ CLOSE_PRICE]]-NSE_BhavCopy[[#This Row],[ PREV_CLOSE]])/NSE_BhavCopy[[#This Row],[ PREV_CLOSE]]*100</f>
        <v>-3.2520325203252058</v>
      </c>
    </row>
    <row r="1070" spans="1:12" hidden="1" x14ac:dyDescent="0.25">
      <c r="A1070" s="28" t="s">
        <v>1379</v>
      </c>
      <c r="B1070" s="28" t="s">
        <v>321</v>
      </c>
      <c r="C1070" s="30">
        <v>44428</v>
      </c>
      <c r="D1070" s="28">
        <v>84.3</v>
      </c>
      <c r="E1070" s="28">
        <v>83.45</v>
      </c>
      <c r="F1070" s="28">
        <v>83.45</v>
      </c>
      <c r="G1070" s="28">
        <v>81.95</v>
      </c>
      <c r="H1070" s="28">
        <v>82.14</v>
      </c>
      <c r="I1070" s="28">
        <v>324399</v>
      </c>
      <c r="J1070" s="28">
        <v>143278</v>
      </c>
      <c r="K1070" s="28">
        <v>44.17</v>
      </c>
      <c r="L1070" s="29">
        <f>SUM(NSE_BhavCopy[[#This Row],[ CLOSE_PRICE]]-NSE_BhavCopy[[#This Row],[ PREV_CLOSE]])/NSE_BhavCopy[[#This Row],[ PREV_CLOSE]]*100</f>
        <v>-2.7876631079477989</v>
      </c>
    </row>
    <row r="1071" spans="1:12" hidden="1" x14ac:dyDescent="0.25">
      <c r="A1071" s="28" t="s">
        <v>401</v>
      </c>
      <c r="B1071" s="28" t="s">
        <v>321</v>
      </c>
      <c r="C1071" s="30">
        <v>44428</v>
      </c>
      <c r="D1071" s="28">
        <v>248.35</v>
      </c>
      <c r="E1071" s="28">
        <v>247.95</v>
      </c>
      <c r="F1071" s="28">
        <v>253.55</v>
      </c>
      <c r="G1071" s="28">
        <v>244.9</v>
      </c>
      <c r="H1071" s="28">
        <v>248.31</v>
      </c>
      <c r="I1071" s="28">
        <v>280293</v>
      </c>
      <c r="J1071" s="28">
        <v>123736</v>
      </c>
      <c r="K1071" s="28">
        <v>44.15</v>
      </c>
      <c r="L1071" s="29">
        <f>SUM(NSE_BhavCopy[[#This Row],[ CLOSE_PRICE]]-NSE_BhavCopy[[#This Row],[ PREV_CLOSE]])/NSE_BhavCopy[[#This Row],[ PREV_CLOSE]]*100</f>
        <v>-1.3891685121803858</v>
      </c>
    </row>
    <row r="1072" spans="1:12" hidden="1" x14ac:dyDescent="0.25">
      <c r="A1072" s="28" t="s">
        <v>13</v>
      </c>
      <c r="B1072" s="28" t="s">
        <v>321</v>
      </c>
      <c r="C1072" s="30">
        <v>44428</v>
      </c>
      <c r="D1072" s="28">
        <v>426.95</v>
      </c>
      <c r="E1072" s="28">
        <v>416</v>
      </c>
      <c r="F1072" s="28">
        <v>416</v>
      </c>
      <c r="G1072" s="28">
        <v>403.65</v>
      </c>
      <c r="H1072" s="28">
        <v>406.72</v>
      </c>
      <c r="I1072" s="28">
        <v>23309477</v>
      </c>
      <c r="J1072" s="28">
        <v>10290534</v>
      </c>
      <c r="K1072" s="28">
        <v>44.15</v>
      </c>
      <c r="L1072" s="29">
        <f>SUM(NSE_BhavCopy[[#This Row],[ CLOSE_PRICE]]-NSE_BhavCopy[[#This Row],[ PREV_CLOSE]])/NSE_BhavCopy[[#This Row],[ PREV_CLOSE]]*100</f>
        <v>-5.4573135027520809</v>
      </c>
    </row>
    <row r="1073" spans="1:12" hidden="1" x14ac:dyDescent="0.25">
      <c r="A1073" s="28" t="s">
        <v>1233</v>
      </c>
      <c r="B1073" s="28" t="s">
        <v>321</v>
      </c>
      <c r="C1073" s="30">
        <v>44428</v>
      </c>
      <c r="D1073" s="28">
        <v>301.7</v>
      </c>
      <c r="E1073" s="28">
        <v>298</v>
      </c>
      <c r="F1073" s="28">
        <v>303.5</v>
      </c>
      <c r="G1073" s="28">
        <v>290.60000000000002</v>
      </c>
      <c r="H1073" s="28">
        <v>296.01</v>
      </c>
      <c r="I1073" s="28">
        <v>221304</v>
      </c>
      <c r="J1073" s="28">
        <v>97697</v>
      </c>
      <c r="K1073" s="28">
        <v>44.15</v>
      </c>
      <c r="L1073" s="29">
        <f>SUM(NSE_BhavCopy[[#This Row],[ CLOSE_PRICE]]-NSE_BhavCopy[[#This Row],[ PREV_CLOSE]])/NSE_BhavCopy[[#This Row],[ PREV_CLOSE]]*100</f>
        <v>-3.67915147497513</v>
      </c>
    </row>
    <row r="1074" spans="1:12" hidden="1" x14ac:dyDescent="0.25">
      <c r="A1074" s="28" t="s">
        <v>286</v>
      </c>
      <c r="B1074" s="28" t="s">
        <v>321</v>
      </c>
      <c r="C1074" s="30">
        <v>44428</v>
      </c>
      <c r="D1074" s="28">
        <v>128.4</v>
      </c>
      <c r="E1074" s="28">
        <v>125.2</v>
      </c>
      <c r="F1074" s="28">
        <v>125.2</v>
      </c>
      <c r="G1074" s="28">
        <v>119</v>
      </c>
      <c r="H1074" s="28">
        <v>121.79</v>
      </c>
      <c r="I1074" s="28">
        <v>66573892</v>
      </c>
      <c r="J1074" s="28">
        <v>29390837</v>
      </c>
      <c r="K1074" s="28">
        <v>44.15</v>
      </c>
      <c r="L1074" s="29">
        <f>SUM(NSE_BhavCopy[[#This Row],[ CLOSE_PRICE]]-NSE_BhavCopy[[#This Row],[ PREV_CLOSE]])/NSE_BhavCopy[[#This Row],[ PREV_CLOSE]]*100</f>
        <v>-7.3208722741433059</v>
      </c>
    </row>
    <row r="1075" spans="1:12" hidden="1" x14ac:dyDescent="0.25">
      <c r="A1075" s="28" t="s">
        <v>1433</v>
      </c>
      <c r="B1075" s="28" t="s">
        <v>321</v>
      </c>
      <c r="C1075" s="30">
        <v>44428</v>
      </c>
      <c r="D1075" s="28">
        <v>105.6</v>
      </c>
      <c r="E1075" s="28">
        <v>104.8</v>
      </c>
      <c r="F1075" s="28">
        <v>105.55</v>
      </c>
      <c r="G1075" s="28">
        <v>101.75</v>
      </c>
      <c r="H1075" s="28">
        <v>103.2</v>
      </c>
      <c r="I1075" s="28">
        <v>45710</v>
      </c>
      <c r="J1075" s="28">
        <v>20154</v>
      </c>
      <c r="K1075" s="28">
        <v>44.09</v>
      </c>
      <c r="L1075" s="29">
        <f>SUM(NSE_BhavCopy[[#This Row],[ CLOSE_PRICE]]-NSE_BhavCopy[[#This Row],[ PREV_CLOSE]])/NSE_BhavCopy[[#This Row],[ PREV_CLOSE]]*100</f>
        <v>-3.6458333333333282</v>
      </c>
    </row>
    <row r="1076" spans="1:12" hidden="1" x14ac:dyDescent="0.25">
      <c r="A1076" s="28" t="s">
        <v>1796</v>
      </c>
      <c r="B1076" s="28" t="s">
        <v>321</v>
      </c>
      <c r="C1076" s="30">
        <v>44428</v>
      </c>
      <c r="D1076" s="28">
        <v>1098.3499999999999</v>
      </c>
      <c r="E1076" s="28">
        <v>1072.0999999999999</v>
      </c>
      <c r="F1076" s="28">
        <v>1099</v>
      </c>
      <c r="G1076" s="28">
        <v>1091.4000000000001</v>
      </c>
      <c r="H1076" s="28">
        <v>1078.31</v>
      </c>
      <c r="I1076" s="28">
        <v>221804</v>
      </c>
      <c r="J1076" s="28">
        <v>97726</v>
      </c>
      <c r="K1076" s="28">
        <v>44.06</v>
      </c>
      <c r="L1076" s="29">
        <f>SUM(NSE_BhavCopy[[#This Row],[ CLOSE_PRICE]]-NSE_BhavCopy[[#This Row],[ PREV_CLOSE]])/NSE_BhavCopy[[#This Row],[ PREV_CLOSE]]*100</f>
        <v>-0.63276733281739139</v>
      </c>
    </row>
    <row r="1077" spans="1:12" hidden="1" x14ac:dyDescent="0.25">
      <c r="A1077" s="28" t="s">
        <v>1458</v>
      </c>
      <c r="B1077" s="28" t="s">
        <v>321</v>
      </c>
      <c r="C1077" s="30">
        <v>44428</v>
      </c>
      <c r="D1077" s="28">
        <v>545.35</v>
      </c>
      <c r="E1077" s="28">
        <v>537.15</v>
      </c>
      <c r="F1077" s="28">
        <v>544.25</v>
      </c>
      <c r="G1077" s="28">
        <v>526.75</v>
      </c>
      <c r="H1077" s="28">
        <v>529.11</v>
      </c>
      <c r="I1077" s="28">
        <v>154510</v>
      </c>
      <c r="J1077" s="28">
        <v>67973</v>
      </c>
      <c r="K1077" s="28">
        <v>43.99</v>
      </c>
      <c r="L1077" s="29">
        <f>SUM(NSE_BhavCopy[[#This Row],[ CLOSE_PRICE]]-NSE_BhavCopy[[#This Row],[ PREV_CLOSE]])/NSE_BhavCopy[[#This Row],[ PREV_CLOSE]]*100</f>
        <v>-3.4106537086274908</v>
      </c>
    </row>
    <row r="1078" spans="1:12" hidden="1" x14ac:dyDescent="0.25">
      <c r="A1078" s="28" t="s">
        <v>1529</v>
      </c>
      <c r="B1078" s="28" t="s">
        <v>321</v>
      </c>
      <c r="C1078" s="30">
        <v>44428</v>
      </c>
      <c r="D1078" s="28">
        <v>525</v>
      </c>
      <c r="E1078" s="28">
        <v>523</v>
      </c>
      <c r="F1078" s="28">
        <v>524.5</v>
      </c>
      <c r="G1078" s="28">
        <v>510.5</v>
      </c>
      <c r="H1078" s="28">
        <v>513.15</v>
      </c>
      <c r="I1078" s="28">
        <v>1591038</v>
      </c>
      <c r="J1078" s="28">
        <v>698846</v>
      </c>
      <c r="K1078" s="28">
        <v>43.92</v>
      </c>
      <c r="L1078" s="29">
        <f>SUM(NSE_BhavCopy[[#This Row],[ CLOSE_PRICE]]-NSE_BhavCopy[[#This Row],[ PREV_CLOSE]])/NSE_BhavCopy[[#This Row],[ PREV_CLOSE]]*100</f>
        <v>-2.7619047619047619</v>
      </c>
    </row>
    <row r="1079" spans="1:12" hidden="1" x14ac:dyDescent="0.25">
      <c r="A1079" s="28" t="s">
        <v>450</v>
      </c>
      <c r="B1079" s="28" t="s">
        <v>321</v>
      </c>
      <c r="C1079" s="30">
        <v>44428</v>
      </c>
      <c r="D1079" s="28">
        <v>2276.6999999999998</v>
      </c>
      <c r="E1079" s="28">
        <v>2259.9499999999998</v>
      </c>
      <c r="F1079" s="28">
        <v>2268.35</v>
      </c>
      <c r="G1079" s="28">
        <v>2236.1999999999998</v>
      </c>
      <c r="H1079" s="28">
        <v>2235.02</v>
      </c>
      <c r="I1079" s="28">
        <v>368653</v>
      </c>
      <c r="J1079" s="28">
        <v>161787</v>
      </c>
      <c r="K1079" s="28">
        <v>43.89</v>
      </c>
      <c r="L1079" s="29">
        <f>SUM(NSE_BhavCopy[[#This Row],[ CLOSE_PRICE]]-NSE_BhavCopy[[#This Row],[ PREV_CLOSE]])/NSE_BhavCopy[[#This Row],[ PREV_CLOSE]]*100</f>
        <v>-1.7788904994070365</v>
      </c>
    </row>
    <row r="1080" spans="1:12" hidden="1" x14ac:dyDescent="0.25">
      <c r="A1080" s="28" t="s">
        <v>1382</v>
      </c>
      <c r="B1080" s="28" t="s">
        <v>321</v>
      </c>
      <c r="C1080" s="30">
        <v>44428</v>
      </c>
      <c r="D1080" s="28">
        <v>125.85</v>
      </c>
      <c r="E1080" s="28">
        <v>124</v>
      </c>
      <c r="F1080" s="28">
        <v>124.9</v>
      </c>
      <c r="G1080" s="28">
        <v>123.45</v>
      </c>
      <c r="H1080" s="28">
        <v>122.11</v>
      </c>
      <c r="I1080" s="28">
        <v>70752</v>
      </c>
      <c r="J1080" s="28">
        <v>31052</v>
      </c>
      <c r="K1080" s="28">
        <v>43.89</v>
      </c>
      <c r="L1080" s="29">
        <f>SUM(NSE_BhavCopy[[#This Row],[ CLOSE_PRICE]]-NSE_BhavCopy[[#This Row],[ PREV_CLOSE]])/NSE_BhavCopy[[#This Row],[ PREV_CLOSE]]*100</f>
        <v>-1.9070321811680506</v>
      </c>
    </row>
    <row r="1081" spans="1:12" hidden="1" x14ac:dyDescent="0.25">
      <c r="A1081" s="28" t="s">
        <v>377</v>
      </c>
      <c r="B1081" s="28" t="s">
        <v>321</v>
      </c>
      <c r="C1081" s="30">
        <v>44428</v>
      </c>
      <c r="D1081" s="28">
        <v>1522.1</v>
      </c>
      <c r="E1081" s="28">
        <v>1500</v>
      </c>
      <c r="F1081" s="28">
        <v>1546</v>
      </c>
      <c r="G1081" s="28">
        <v>1502.2</v>
      </c>
      <c r="H1081" s="28">
        <v>1507.98</v>
      </c>
      <c r="I1081" s="28">
        <v>46567</v>
      </c>
      <c r="J1081" s="28">
        <v>20424</v>
      </c>
      <c r="K1081" s="28">
        <v>43.86</v>
      </c>
      <c r="L1081" s="29">
        <f>SUM(NSE_BhavCopy[[#This Row],[ CLOSE_PRICE]]-NSE_BhavCopy[[#This Row],[ PREV_CLOSE]])/NSE_BhavCopy[[#This Row],[ PREV_CLOSE]]*100</f>
        <v>-1.3074042441363816</v>
      </c>
    </row>
    <row r="1082" spans="1:12" hidden="1" x14ac:dyDescent="0.25">
      <c r="A1082" s="28" t="s">
        <v>166</v>
      </c>
      <c r="B1082" s="28" t="s">
        <v>321</v>
      </c>
      <c r="C1082" s="30">
        <v>44428</v>
      </c>
      <c r="D1082" s="28">
        <v>145.6</v>
      </c>
      <c r="E1082" s="28">
        <v>140</v>
      </c>
      <c r="F1082" s="28">
        <v>144.4</v>
      </c>
      <c r="G1082" s="28">
        <v>140.35</v>
      </c>
      <c r="H1082" s="28">
        <v>142.1</v>
      </c>
      <c r="I1082" s="28">
        <v>14354380</v>
      </c>
      <c r="J1082" s="28">
        <v>6293146</v>
      </c>
      <c r="K1082" s="28">
        <v>43.84</v>
      </c>
      <c r="L1082" s="29">
        <f>SUM(NSE_BhavCopy[[#This Row],[ CLOSE_PRICE]]-NSE_BhavCopy[[#This Row],[ PREV_CLOSE]])/NSE_BhavCopy[[#This Row],[ PREV_CLOSE]]*100</f>
        <v>-3.6057692307692313</v>
      </c>
    </row>
    <row r="1083" spans="1:12" hidden="1" x14ac:dyDescent="0.25">
      <c r="A1083" s="28" t="s">
        <v>1011</v>
      </c>
      <c r="B1083" s="28" t="s">
        <v>321</v>
      </c>
      <c r="C1083" s="30">
        <v>44428</v>
      </c>
      <c r="D1083" s="28">
        <v>355.25</v>
      </c>
      <c r="E1083" s="28">
        <v>346.95</v>
      </c>
      <c r="F1083" s="28">
        <v>354</v>
      </c>
      <c r="G1083" s="28">
        <v>342.8</v>
      </c>
      <c r="H1083" s="28">
        <v>346.89</v>
      </c>
      <c r="I1083" s="28">
        <v>56925</v>
      </c>
      <c r="J1083" s="28">
        <v>24949</v>
      </c>
      <c r="K1083" s="28">
        <v>43.83</v>
      </c>
      <c r="L1083" s="29">
        <f>SUM(NSE_BhavCopy[[#This Row],[ CLOSE_PRICE]]-NSE_BhavCopy[[#This Row],[ PREV_CLOSE]])/NSE_BhavCopy[[#This Row],[ PREV_CLOSE]]*100</f>
        <v>-3.5045742434904965</v>
      </c>
    </row>
    <row r="1084" spans="1:12" hidden="1" x14ac:dyDescent="0.25">
      <c r="A1084" s="28" t="s">
        <v>357</v>
      </c>
      <c r="B1084" s="28" t="s">
        <v>321</v>
      </c>
      <c r="C1084" s="30">
        <v>44428</v>
      </c>
      <c r="D1084" s="28">
        <v>2297.75</v>
      </c>
      <c r="E1084" s="28">
        <v>2272.1</v>
      </c>
      <c r="F1084" s="28">
        <v>2289.85</v>
      </c>
      <c r="G1084" s="28">
        <v>2240.4</v>
      </c>
      <c r="H1084" s="28">
        <v>2254.11</v>
      </c>
      <c r="I1084" s="28">
        <v>40537</v>
      </c>
      <c r="J1084" s="28">
        <v>17733</v>
      </c>
      <c r="K1084" s="28">
        <v>43.75</v>
      </c>
      <c r="L1084" s="29">
        <f>SUM(NSE_BhavCopy[[#This Row],[ CLOSE_PRICE]]-NSE_BhavCopy[[#This Row],[ PREV_CLOSE]])/NSE_BhavCopy[[#This Row],[ PREV_CLOSE]]*100</f>
        <v>-2.4959199216624919</v>
      </c>
    </row>
    <row r="1085" spans="1:12" hidden="1" x14ac:dyDescent="0.25">
      <c r="A1085" s="28" t="s">
        <v>1540</v>
      </c>
      <c r="B1085" s="28" t="s">
        <v>321</v>
      </c>
      <c r="C1085" s="30">
        <v>44428</v>
      </c>
      <c r="D1085" s="28">
        <v>24.25</v>
      </c>
      <c r="E1085" s="28">
        <v>23.05</v>
      </c>
      <c r="F1085" s="28">
        <v>23.25</v>
      </c>
      <c r="G1085" s="28">
        <v>19.7</v>
      </c>
      <c r="H1085" s="28">
        <v>20.89</v>
      </c>
      <c r="I1085" s="28">
        <v>44407619</v>
      </c>
      <c r="J1085" s="28">
        <v>19422209</v>
      </c>
      <c r="K1085" s="28">
        <v>43.74</v>
      </c>
      <c r="L1085" s="29">
        <f>SUM(NSE_BhavCopy[[#This Row],[ CLOSE_PRICE]]-NSE_BhavCopy[[#This Row],[ PREV_CLOSE]])/NSE_BhavCopy[[#This Row],[ PREV_CLOSE]]*100</f>
        <v>-18.762886597938149</v>
      </c>
    </row>
    <row r="1086" spans="1:12" hidden="1" x14ac:dyDescent="0.25">
      <c r="A1086" s="28" t="s">
        <v>1179</v>
      </c>
      <c r="B1086" s="28" t="s">
        <v>321</v>
      </c>
      <c r="C1086" s="30">
        <v>44428</v>
      </c>
      <c r="D1086" s="28">
        <v>4524.6499999999996</v>
      </c>
      <c r="E1086" s="28">
        <v>4490.45</v>
      </c>
      <c r="F1086" s="28">
        <v>4513.6499999999996</v>
      </c>
      <c r="G1086" s="28">
        <v>4438.95</v>
      </c>
      <c r="H1086" s="28">
        <v>4429.8900000000003</v>
      </c>
      <c r="I1086" s="28">
        <v>157011</v>
      </c>
      <c r="J1086" s="28">
        <v>68651</v>
      </c>
      <c r="K1086" s="28">
        <v>43.72</v>
      </c>
      <c r="L1086" s="29">
        <f>SUM(NSE_BhavCopy[[#This Row],[ CLOSE_PRICE]]-NSE_BhavCopy[[#This Row],[ PREV_CLOSE]])/NSE_BhavCopy[[#This Row],[ PREV_CLOSE]]*100</f>
        <v>-1.8940691545202351</v>
      </c>
    </row>
    <row r="1087" spans="1:12" hidden="1" x14ac:dyDescent="0.25">
      <c r="A1087" s="28" t="s">
        <v>1520</v>
      </c>
      <c r="B1087" s="28" t="s">
        <v>321</v>
      </c>
      <c r="C1087" s="30">
        <v>44428</v>
      </c>
      <c r="D1087" s="28">
        <v>20.65</v>
      </c>
      <c r="E1087" s="28">
        <v>20.25</v>
      </c>
      <c r="F1087" s="28">
        <v>20.75</v>
      </c>
      <c r="G1087" s="28">
        <v>20.2</v>
      </c>
      <c r="H1087" s="28">
        <v>20.34</v>
      </c>
      <c r="I1087" s="28">
        <v>18607996</v>
      </c>
      <c r="J1087" s="28">
        <v>8134298</v>
      </c>
      <c r="K1087" s="28">
        <v>43.71</v>
      </c>
      <c r="L1087" s="29">
        <f>SUM(NSE_BhavCopy[[#This Row],[ CLOSE_PRICE]]-NSE_BhavCopy[[#This Row],[ PREV_CLOSE]])/NSE_BhavCopy[[#This Row],[ PREV_CLOSE]]*100</f>
        <v>-2.1791767554479384</v>
      </c>
    </row>
    <row r="1088" spans="1:12" hidden="1" x14ac:dyDescent="0.25">
      <c r="A1088" s="28" t="s">
        <v>1355</v>
      </c>
      <c r="B1088" s="28" t="s">
        <v>321</v>
      </c>
      <c r="C1088" s="30">
        <v>44428</v>
      </c>
      <c r="D1088" s="28">
        <v>185.05</v>
      </c>
      <c r="E1088" s="28">
        <v>185</v>
      </c>
      <c r="F1088" s="28">
        <v>185</v>
      </c>
      <c r="G1088" s="28">
        <v>176.55</v>
      </c>
      <c r="H1088" s="28">
        <v>179.53</v>
      </c>
      <c r="I1088" s="28">
        <v>54198</v>
      </c>
      <c r="J1088" s="28">
        <v>23663</v>
      </c>
      <c r="K1088" s="28">
        <v>43.66</v>
      </c>
      <c r="L1088" s="29">
        <f>SUM(NSE_BhavCopy[[#This Row],[ CLOSE_PRICE]]-NSE_BhavCopy[[#This Row],[ PREV_CLOSE]])/NSE_BhavCopy[[#This Row],[ PREV_CLOSE]]*100</f>
        <v>-4.5933531477978917</v>
      </c>
    </row>
    <row r="1089" spans="1:12" hidden="1" x14ac:dyDescent="0.25">
      <c r="A1089" s="28" t="s">
        <v>1016</v>
      </c>
      <c r="B1089" s="28" t="s">
        <v>321</v>
      </c>
      <c r="C1089" s="30">
        <v>44428</v>
      </c>
      <c r="D1089" s="28">
        <v>861.35</v>
      </c>
      <c r="E1089" s="28">
        <v>846.05</v>
      </c>
      <c r="F1089" s="28">
        <v>882.25</v>
      </c>
      <c r="G1089" s="28">
        <v>852.85</v>
      </c>
      <c r="H1089" s="28">
        <v>860.85</v>
      </c>
      <c r="I1089" s="28">
        <v>232913</v>
      </c>
      <c r="J1089" s="28">
        <v>101669</v>
      </c>
      <c r="K1089" s="28">
        <v>43.65</v>
      </c>
      <c r="L1089" s="29">
        <f>SUM(NSE_BhavCopy[[#This Row],[ CLOSE_PRICE]]-NSE_BhavCopy[[#This Row],[ PREV_CLOSE]])/NSE_BhavCopy[[#This Row],[ PREV_CLOSE]]*100</f>
        <v>-0.98682301039066578</v>
      </c>
    </row>
    <row r="1090" spans="1:12" hidden="1" x14ac:dyDescent="0.25">
      <c r="A1090" s="28" t="s">
        <v>37</v>
      </c>
      <c r="B1090" s="28" t="s">
        <v>321</v>
      </c>
      <c r="C1090" s="30">
        <v>44428</v>
      </c>
      <c r="D1090" s="28">
        <v>113.2</v>
      </c>
      <c r="E1090" s="28">
        <v>110.65</v>
      </c>
      <c r="F1090" s="28">
        <v>111.75</v>
      </c>
      <c r="G1090" s="28">
        <v>110.2</v>
      </c>
      <c r="H1090" s="28">
        <v>110.24</v>
      </c>
      <c r="I1090" s="28">
        <v>23878081</v>
      </c>
      <c r="J1090" s="28">
        <v>10400963</v>
      </c>
      <c r="K1090" s="28">
        <v>43.56</v>
      </c>
      <c r="L1090" s="29">
        <f>SUM(NSE_BhavCopy[[#This Row],[ CLOSE_PRICE]]-NSE_BhavCopy[[#This Row],[ PREV_CLOSE]])/NSE_BhavCopy[[#This Row],[ PREV_CLOSE]]*100</f>
        <v>-2.6501766784452299</v>
      </c>
    </row>
    <row r="1091" spans="1:12" hidden="1" x14ac:dyDescent="0.25">
      <c r="A1091" s="28" t="s">
        <v>1307</v>
      </c>
      <c r="B1091" s="28" t="s">
        <v>321</v>
      </c>
      <c r="C1091" s="30">
        <v>44428</v>
      </c>
      <c r="D1091" s="28">
        <v>63.8</v>
      </c>
      <c r="E1091" s="28">
        <v>67</v>
      </c>
      <c r="F1091" s="28">
        <v>67</v>
      </c>
      <c r="G1091" s="28">
        <v>59.95</v>
      </c>
      <c r="H1091" s="28">
        <v>57.55</v>
      </c>
      <c r="I1091" s="28">
        <v>34824</v>
      </c>
      <c r="J1091" s="28">
        <v>15156</v>
      </c>
      <c r="K1091" s="28">
        <v>43.52</v>
      </c>
      <c r="L1091" s="29">
        <f>SUM(NSE_BhavCopy[[#This Row],[ CLOSE_PRICE]]-NSE_BhavCopy[[#This Row],[ PREV_CLOSE]])/NSE_BhavCopy[[#This Row],[ PREV_CLOSE]]*100</f>
        <v>-6.0344827586206806</v>
      </c>
    </row>
    <row r="1092" spans="1:12" hidden="1" x14ac:dyDescent="0.25">
      <c r="A1092" s="28" t="s">
        <v>752</v>
      </c>
      <c r="B1092" s="28" t="s">
        <v>321</v>
      </c>
      <c r="C1092" s="30">
        <v>44428</v>
      </c>
      <c r="D1092" s="28">
        <v>372.8</v>
      </c>
      <c r="E1092" s="28">
        <v>372</v>
      </c>
      <c r="F1092" s="28">
        <v>379.2</v>
      </c>
      <c r="G1092" s="28">
        <v>374.25</v>
      </c>
      <c r="H1092" s="28">
        <v>373.98</v>
      </c>
      <c r="I1092" s="28">
        <v>1464399</v>
      </c>
      <c r="J1092" s="28">
        <v>637063</v>
      </c>
      <c r="K1092" s="28">
        <v>43.5</v>
      </c>
      <c r="L1092" s="29">
        <f>SUM(NSE_BhavCopy[[#This Row],[ CLOSE_PRICE]]-NSE_BhavCopy[[#This Row],[ PREV_CLOSE]])/NSE_BhavCopy[[#This Row],[ PREV_CLOSE]]*100</f>
        <v>0.3889484978540742</v>
      </c>
    </row>
    <row r="1093" spans="1:12" hidden="1" x14ac:dyDescent="0.25">
      <c r="A1093" s="28" t="s">
        <v>41</v>
      </c>
      <c r="B1093" s="28" t="s">
        <v>321</v>
      </c>
      <c r="C1093" s="30">
        <v>44428</v>
      </c>
      <c r="D1093" s="28">
        <v>762.2</v>
      </c>
      <c r="E1093" s="28">
        <v>751</v>
      </c>
      <c r="F1093" s="28">
        <v>757.8</v>
      </c>
      <c r="G1093" s="28">
        <v>728.25</v>
      </c>
      <c r="H1093" s="28">
        <v>735.84</v>
      </c>
      <c r="I1093" s="28">
        <v>4257864</v>
      </c>
      <c r="J1093" s="28">
        <v>1852344</v>
      </c>
      <c r="K1093" s="28">
        <v>43.5</v>
      </c>
      <c r="L1093" s="29">
        <f>SUM(NSE_BhavCopy[[#This Row],[ CLOSE_PRICE]]-NSE_BhavCopy[[#This Row],[ PREV_CLOSE]])/NSE_BhavCopy[[#This Row],[ PREV_CLOSE]]*100</f>
        <v>-4.4542114930464507</v>
      </c>
    </row>
    <row r="1094" spans="1:12" hidden="1" x14ac:dyDescent="0.25">
      <c r="A1094" s="28" t="s">
        <v>727</v>
      </c>
      <c r="B1094" s="28" t="s">
        <v>321</v>
      </c>
      <c r="C1094" s="30">
        <v>44428</v>
      </c>
      <c r="D1094" s="28">
        <v>1507.1</v>
      </c>
      <c r="E1094" s="28">
        <v>1505</v>
      </c>
      <c r="F1094" s="28">
        <v>1510.9</v>
      </c>
      <c r="G1094" s="28">
        <v>1484.95</v>
      </c>
      <c r="H1094" s="28">
        <v>1488.98</v>
      </c>
      <c r="I1094" s="28">
        <v>787847</v>
      </c>
      <c r="J1094" s="28">
        <v>342557</v>
      </c>
      <c r="K1094" s="28">
        <v>43.48</v>
      </c>
      <c r="L1094" s="29">
        <f>SUM(NSE_BhavCopy[[#This Row],[ CLOSE_PRICE]]-NSE_BhavCopy[[#This Row],[ PREV_CLOSE]])/NSE_BhavCopy[[#This Row],[ PREV_CLOSE]]*100</f>
        <v>-1.4697100391480236</v>
      </c>
    </row>
    <row r="1095" spans="1:12" hidden="1" x14ac:dyDescent="0.25">
      <c r="A1095" s="28" t="s">
        <v>881</v>
      </c>
      <c r="B1095" s="28" t="s">
        <v>321</v>
      </c>
      <c r="C1095" s="30">
        <v>44428</v>
      </c>
      <c r="D1095" s="28">
        <v>591.4</v>
      </c>
      <c r="E1095" s="28">
        <v>585.70000000000005</v>
      </c>
      <c r="F1095" s="28">
        <v>588.20000000000005</v>
      </c>
      <c r="G1095" s="28">
        <v>579.95000000000005</v>
      </c>
      <c r="H1095" s="28">
        <v>582.05999999999995</v>
      </c>
      <c r="I1095" s="28">
        <v>302647</v>
      </c>
      <c r="J1095" s="28">
        <v>131549</v>
      </c>
      <c r="K1095" s="28">
        <v>43.47</v>
      </c>
      <c r="L1095" s="29">
        <f>SUM(NSE_BhavCopy[[#This Row],[ CLOSE_PRICE]]-NSE_BhavCopy[[#This Row],[ PREV_CLOSE]])/NSE_BhavCopy[[#This Row],[ PREV_CLOSE]]*100</f>
        <v>-1.9360838687859201</v>
      </c>
    </row>
    <row r="1096" spans="1:12" hidden="1" x14ac:dyDescent="0.25">
      <c r="A1096" s="28" t="s">
        <v>637</v>
      </c>
      <c r="B1096" s="28" t="s">
        <v>321</v>
      </c>
      <c r="C1096" s="30">
        <v>44428</v>
      </c>
      <c r="D1096" s="28">
        <v>36.85</v>
      </c>
      <c r="E1096" s="28">
        <v>39</v>
      </c>
      <c r="F1096" s="28">
        <v>39</v>
      </c>
      <c r="G1096" s="28">
        <v>36.700000000000003</v>
      </c>
      <c r="H1096" s="28">
        <v>37.700000000000003</v>
      </c>
      <c r="I1096" s="28">
        <v>69211</v>
      </c>
      <c r="J1096" s="28">
        <v>30075</v>
      </c>
      <c r="K1096" s="28">
        <v>43.45</v>
      </c>
      <c r="L1096" s="29">
        <f>SUM(NSE_BhavCopy[[#This Row],[ CLOSE_PRICE]]-NSE_BhavCopy[[#This Row],[ PREV_CLOSE]])/NSE_BhavCopy[[#This Row],[ PREV_CLOSE]]*100</f>
        <v>-0.4070556309362241</v>
      </c>
    </row>
    <row r="1097" spans="1:12" hidden="1" x14ac:dyDescent="0.25">
      <c r="A1097" s="28" t="s">
        <v>985</v>
      </c>
      <c r="B1097" s="28" t="s">
        <v>321</v>
      </c>
      <c r="C1097" s="30">
        <v>44428</v>
      </c>
      <c r="D1097" s="28">
        <v>360.9</v>
      </c>
      <c r="E1097" s="28">
        <v>359.9</v>
      </c>
      <c r="F1097" s="28">
        <v>359.9</v>
      </c>
      <c r="G1097" s="28">
        <v>332.15</v>
      </c>
      <c r="H1097" s="28">
        <v>338.15</v>
      </c>
      <c r="I1097" s="28">
        <v>3614664</v>
      </c>
      <c r="J1097" s="28">
        <v>1570297</v>
      </c>
      <c r="K1097" s="28">
        <v>43.44</v>
      </c>
      <c r="L1097" s="29">
        <f>SUM(NSE_BhavCopy[[#This Row],[ CLOSE_PRICE]]-NSE_BhavCopy[[#This Row],[ PREV_CLOSE]])/NSE_BhavCopy[[#This Row],[ PREV_CLOSE]]*100</f>
        <v>-7.966195622055972</v>
      </c>
    </row>
    <row r="1098" spans="1:12" hidden="1" x14ac:dyDescent="0.25">
      <c r="A1098" s="28" t="s">
        <v>427</v>
      </c>
      <c r="B1098" s="28" t="s">
        <v>321</v>
      </c>
      <c r="C1098" s="30">
        <v>44428</v>
      </c>
      <c r="D1098" s="28">
        <v>9322.25</v>
      </c>
      <c r="E1098" s="28">
        <v>9222.25</v>
      </c>
      <c r="F1098" s="28">
        <v>9294.65</v>
      </c>
      <c r="G1098" s="28">
        <v>9141.6</v>
      </c>
      <c r="H1098" s="28">
        <v>9133.5400000000009</v>
      </c>
      <c r="I1098" s="28">
        <v>15936</v>
      </c>
      <c r="J1098" s="28">
        <v>6915</v>
      </c>
      <c r="K1098" s="28">
        <v>43.39</v>
      </c>
      <c r="L1098" s="29">
        <f>SUM(NSE_BhavCopy[[#This Row],[ CLOSE_PRICE]]-NSE_BhavCopy[[#This Row],[ PREV_CLOSE]])/NSE_BhavCopy[[#This Row],[ PREV_CLOSE]]*100</f>
        <v>-1.9378368955992344</v>
      </c>
    </row>
    <row r="1099" spans="1:12" hidden="1" x14ac:dyDescent="0.25">
      <c r="A1099" s="28" t="s">
        <v>1354</v>
      </c>
      <c r="B1099" s="28" t="s">
        <v>321</v>
      </c>
      <c r="C1099" s="30">
        <v>44428</v>
      </c>
      <c r="D1099" s="28">
        <v>240.55</v>
      </c>
      <c r="E1099" s="28">
        <v>240</v>
      </c>
      <c r="F1099" s="28">
        <v>248.85</v>
      </c>
      <c r="G1099" s="28">
        <v>245.35</v>
      </c>
      <c r="H1099" s="28">
        <v>242.95</v>
      </c>
      <c r="I1099" s="28">
        <v>2028947</v>
      </c>
      <c r="J1099" s="28">
        <v>879063</v>
      </c>
      <c r="K1099" s="28">
        <v>43.33</v>
      </c>
      <c r="L1099" s="29">
        <f>SUM(NSE_BhavCopy[[#This Row],[ CLOSE_PRICE]]-NSE_BhavCopy[[#This Row],[ PREV_CLOSE]])/NSE_BhavCopy[[#This Row],[ PREV_CLOSE]]*100</f>
        <v>1.9954271461234598</v>
      </c>
    </row>
    <row r="1100" spans="1:12" hidden="1" x14ac:dyDescent="0.25">
      <c r="A1100" s="28" t="s">
        <v>992</v>
      </c>
      <c r="B1100" s="28" t="s">
        <v>321</v>
      </c>
      <c r="C1100" s="30">
        <v>44428</v>
      </c>
      <c r="D1100" s="28">
        <v>397.15</v>
      </c>
      <c r="E1100" s="28">
        <v>393</v>
      </c>
      <c r="F1100" s="28">
        <v>394.9</v>
      </c>
      <c r="G1100" s="28">
        <v>384.05</v>
      </c>
      <c r="H1100" s="28">
        <v>388.08</v>
      </c>
      <c r="I1100" s="28">
        <v>95730</v>
      </c>
      <c r="J1100" s="28">
        <v>41463</v>
      </c>
      <c r="K1100" s="28">
        <v>43.31</v>
      </c>
      <c r="L1100" s="29">
        <f>SUM(NSE_BhavCopy[[#This Row],[ CLOSE_PRICE]]-NSE_BhavCopy[[#This Row],[ PREV_CLOSE]])/NSE_BhavCopy[[#This Row],[ PREV_CLOSE]]*100</f>
        <v>-3.2985018255067269</v>
      </c>
    </row>
    <row r="1101" spans="1:12" hidden="1" x14ac:dyDescent="0.25">
      <c r="A1101" s="28" t="s">
        <v>510</v>
      </c>
      <c r="B1101" s="28" t="s">
        <v>321</v>
      </c>
      <c r="C1101" s="30">
        <v>44428</v>
      </c>
      <c r="D1101" s="28">
        <v>421.9</v>
      </c>
      <c r="E1101" s="28">
        <v>416.6</v>
      </c>
      <c r="F1101" s="28">
        <v>423.6</v>
      </c>
      <c r="G1101" s="28">
        <v>414.7</v>
      </c>
      <c r="H1101" s="28">
        <v>416.67</v>
      </c>
      <c r="I1101" s="28">
        <v>1470276</v>
      </c>
      <c r="J1101" s="28">
        <v>636482</v>
      </c>
      <c r="K1101" s="28">
        <v>43.29</v>
      </c>
      <c r="L1101" s="29">
        <f>SUM(NSE_BhavCopy[[#This Row],[ CLOSE_PRICE]]-NSE_BhavCopy[[#This Row],[ PREV_CLOSE]])/NSE_BhavCopy[[#This Row],[ PREV_CLOSE]]*100</f>
        <v>-1.7065655368570725</v>
      </c>
    </row>
    <row r="1102" spans="1:12" hidden="1" x14ac:dyDescent="0.25">
      <c r="A1102" s="28" t="s">
        <v>918</v>
      </c>
      <c r="B1102" s="28" t="s">
        <v>321</v>
      </c>
      <c r="C1102" s="30">
        <v>44428</v>
      </c>
      <c r="D1102" s="28">
        <v>212</v>
      </c>
      <c r="E1102" s="28">
        <v>209</v>
      </c>
      <c r="F1102" s="28">
        <v>211</v>
      </c>
      <c r="G1102" s="28">
        <v>206.35</v>
      </c>
      <c r="H1102" s="28">
        <v>208.02</v>
      </c>
      <c r="I1102" s="28">
        <v>213397</v>
      </c>
      <c r="J1102" s="28">
        <v>92367</v>
      </c>
      <c r="K1102" s="28">
        <v>43.28</v>
      </c>
      <c r="L1102" s="29">
        <f>SUM(NSE_BhavCopy[[#This Row],[ CLOSE_PRICE]]-NSE_BhavCopy[[#This Row],[ PREV_CLOSE]])/NSE_BhavCopy[[#This Row],[ PREV_CLOSE]]*100</f>
        <v>-2.6650943396226441</v>
      </c>
    </row>
    <row r="1103" spans="1:12" hidden="1" x14ac:dyDescent="0.25">
      <c r="A1103" s="28" t="s">
        <v>1490</v>
      </c>
      <c r="B1103" s="28" t="s">
        <v>321</v>
      </c>
      <c r="C1103" s="30">
        <v>44428</v>
      </c>
      <c r="D1103" s="28">
        <v>564.6</v>
      </c>
      <c r="E1103" s="28">
        <v>550</v>
      </c>
      <c r="F1103" s="28">
        <v>572</v>
      </c>
      <c r="G1103" s="28">
        <v>557.54999999999995</v>
      </c>
      <c r="H1103" s="28">
        <v>558.96</v>
      </c>
      <c r="I1103" s="28">
        <v>26086</v>
      </c>
      <c r="J1103" s="28">
        <v>11289</v>
      </c>
      <c r="K1103" s="28">
        <v>43.28</v>
      </c>
      <c r="L1103" s="29">
        <f>SUM(NSE_BhavCopy[[#This Row],[ CLOSE_PRICE]]-NSE_BhavCopy[[#This Row],[ PREV_CLOSE]])/NSE_BhavCopy[[#This Row],[ PREV_CLOSE]]*100</f>
        <v>-1.2486716259298738</v>
      </c>
    </row>
    <row r="1104" spans="1:12" hidden="1" x14ac:dyDescent="0.25">
      <c r="A1104" s="28" t="s">
        <v>1229</v>
      </c>
      <c r="B1104" s="28" t="s">
        <v>321</v>
      </c>
      <c r="C1104" s="30">
        <v>44428</v>
      </c>
      <c r="D1104" s="28">
        <v>62.5</v>
      </c>
      <c r="E1104" s="28">
        <v>62.5</v>
      </c>
      <c r="F1104" s="28">
        <v>64.599999999999994</v>
      </c>
      <c r="G1104" s="28">
        <v>61.65</v>
      </c>
      <c r="H1104" s="28">
        <v>62.33</v>
      </c>
      <c r="I1104" s="28">
        <v>133569</v>
      </c>
      <c r="J1104" s="28">
        <v>57770</v>
      </c>
      <c r="K1104" s="28">
        <v>43.25</v>
      </c>
      <c r="L1104" s="29">
        <f>SUM(NSE_BhavCopy[[#This Row],[ CLOSE_PRICE]]-NSE_BhavCopy[[#This Row],[ PREV_CLOSE]])/NSE_BhavCopy[[#This Row],[ PREV_CLOSE]]*100</f>
        <v>-1.3600000000000023</v>
      </c>
    </row>
    <row r="1105" spans="1:12" hidden="1" x14ac:dyDescent="0.25">
      <c r="A1105" s="28" t="s">
        <v>544</v>
      </c>
      <c r="B1105" s="28" t="s">
        <v>321</v>
      </c>
      <c r="C1105" s="30">
        <v>44428</v>
      </c>
      <c r="D1105" s="28">
        <v>506.75</v>
      </c>
      <c r="E1105" s="28">
        <v>504.7</v>
      </c>
      <c r="F1105" s="28">
        <v>506.5</v>
      </c>
      <c r="G1105" s="28">
        <v>485.1</v>
      </c>
      <c r="H1105" s="28">
        <v>494.88</v>
      </c>
      <c r="I1105" s="28">
        <v>2782529</v>
      </c>
      <c r="J1105" s="28">
        <v>1202731</v>
      </c>
      <c r="K1105" s="28">
        <v>43.22</v>
      </c>
      <c r="L1105" s="29">
        <f>SUM(NSE_BhavCopy[[#This Row],[ CLOSE_PRICE]]-NSE_BhavCopy[[#This Row],[ PREV_CLOSE]])/NSE_BhavCopy[[#This Row],[ PREV_CLOSE]]*100</f>
        <v>-4.2723236309817416</v>
      </c>
    </row>
    <row r="1106" spans="1:12" hidden="1" x14ac:dyDescent="0.25">
      <c r="A1106" s="28" t="s">
        <v>898</v>
      </c>
      <c r="B1106" s="28" t="s">
        <v>321</v>
      </c>
      <c r="C1106" s="30">
        <v>44428</v>
      </c>
      <c r="D1106" s="28">
        <v>59.05</v>
      </c>
      <c r="E1106" s="28">
        <v>58.1</v>
      </c>
      <c r="F1106" s="28">
        <v>59.05</v>
      </c>
      <c r="G1106" s="28">
        <v>57.8</v>
      </c>
      <c r="H1106" s="28">
        <v>57.82</v>
      </c>
      <c r="I1106" s="28">
        <v>200873</v>
      </c>
      <c r="J1106" s="28">
        <v>86821</v>
      </c>
      <c r="K1106" s="28">
        <v>43.22</v>
      </c>
      <c r="L1106" s="29">
        <f>SUM(NSE_BhavCopy[[#This Row],[ CLOSE_PRICE]]-NSE_BhavCopy[[#This Row],[ PREV_CLOSE]])/NSE_BhavCopy[[#This Row],[ PREV_CLOSE]]*100</f>
        <v>-2.1168501270110074</v>
      </c>
    </row>
    <row r="1107" spans="1:12" hidden="1" x14ac:dyDescent="0.25">
      <c r="A1107" s="28" t="s">
        <v>39</v>
      </c>
      <c r="B1107" s="28" t="s">
        <v>321</v>
      </c>
      <c r="C1107" s="30">
        <v>44428</v>
      </c>
      <c r="D1107" s="28">
        <v>2486.0500000000002</v>
      </c>
      <c r="E1107" s="28">
        <v>2490</v>
      </c>
      <c r="F1107" s="28">
        <v>2630</v>
      </c>
      <c r="G1107" s="28">
        <v>2619.4</v>
      </c>
      <c r="H1107" s="28">
        <v>2574.7600000000002</v>
      </c>
      <c r="I1107" s="28">
        <v>5779927</v>
      </c>
      <c r="J1107" s="28">
        <v>2496893</v>
      </c>
      <c r="K1107" s="28">
        <v>43.2</v>
      </c>
      <c r="L1107" s="29">
        <f>SUM(NSE_BhavCopy[[#This Row],[ CLOSE_PRICE]]-NSE_BhavCopy[[#This Row],[ PREV_CLOSE]])/NSE_BhavCopy[[#This Row],[ PREV_CLOSE]]*100</f>
        <v>5.3639307334928858</v>
      </c>
    </row>
    <row r="1108" spans="1:12" hidden="1" x14ac:dyDescent="0.25">
      <c r="A1108" s="28" t="s">
        <v>1523</v>
      </c>
      <c r="B1108" s="28" t="s">
        <v>321</v>
      </c>
      <c r="C1108" s="30">
        <v>44428</v>
      </c>
      <c r="D1108" s="28">
        <v>131.35</v>
      </c>
      <c r="E1108" s="28">
        <v>130.05000000000001</v>
      </c>
      <c r="F1108" s="28">
        <v>131.35</v>
      </c>
      <c r="G1108" s="28">
        <v>125.9</v>
      </c>
      <c r="H1108" s="28">
        <v>128.35</v>
      </c>
      <c r="I1108" s="28">
        <v>391893</v>
      </c>
      <c r="J1108" s="28">
        <v>169240</v>
      </c>
      <c r="K1108" s="28">
        <v>43.19</v>
      </c>
      <c r="L1108" s="29">
        <f>SUM(NSE_BhavCopy[[#This Row],[ CLOSE_PRICE]]-NSE_BhavCopy[[#This Row],[ PREV_CLOSE]])/NSE_BhavCopy[[#This Row],[ PREV_CLOSE]]*100</f>
        <v>-4.1492196421773802</v>
      </c>
    </row>
    <row r="1109" spans="1:12" hidden="1" x14ac:dyDescent="0.25">
      <c r="A1109" s="28" t="s">
        <v>1000</v>
      </c>
      <c r="B1109" s="28" t="s">
        <v>321</v>
      </c>
      <c r="C1109" s="30">
        <v>44428</v>
      </c>
      <c r="D1109" s="28">
        <v>8024.4</v>
      </c>
      <c r="E1109" s="28">
        <v>7923</v>
      </c>
      <c r="F1109" s="28">
        <v>7981.2</v>
      </c>
      <c r="G1109" s="28">
        <v>7756.5</v>
      </c>
      <c r="H1109" s="28">
        <v>7817.11</v>
      </c>
      <c r="I1109" s="28">
        <v>8403</v>
      </c>
      <c r="J1109" s="28">
        <v>3628</v>
      </c>
      <c r="K1109" s="28">
        <v>43.18</v>
      </c>
      <c r="L1109" s="29">
        <f>SUM(NSE_BhavCopy[[#This Row],[ CLOSE_PRICE]]-NSE_BhavCopy[[#This Row],[ PREV_CLOSE]])/NSE_BhavCopy[[#This Row],[ PREV_CLOSE]]*100</f>
        <v>-3.3385673695229503</v>
      </c>
    </row>
    <row r="1110" spans="1:12" hidden="1" x14ac:dyDescent="0.25">
      <c r="A1110" s="28" t="s">
        <v>16</v>
      </c>
      <c r="B1110" s="28" t="s">
        <v>321</v>
      </c>
      <c r="C1110" s="30">
        <v>44428</v>
      </c>
      <c r="D1110" s="28">
        <v>2172.65</v>
      </c>
      <c r="E1110" s="28">
        <v>2143</v>
      </c>
      <c r="F1110" s="28">
        <v>2172</v>
      </c>
      <c r="G1110" s="28">
        <v>2148.25</v>
      </c>
      <c r="H1110" s="28">
        <v>2155.63</v>
      </c>
      <c r="I1110" s="28">
        <v>4350228</v>
      </c>
      <c r="J1110" s="28">
        <v>1877339</v>
      </c>
      <c r="K1110" s="28">
        <v>43.15</v>
      </c>
      <c r="L1110" s="29">
        <f>SUM(NSE_BhavCopy[[#This Row],[ CLOSE_PRICE]]-NSE_BhavCopy[[#This Row],[ PREV_CLOSE]])/NSE_BhavCopy[[#This Row],[ PREV_CLOSE]]*100</f>
        <v>-1.1230524934987269</v>
      </c>
    </row>
    <row r="1111" spans="1:12" hidden="1" x14ac:dyDescent="0.25">
      <c r="A1111" s="28" t="s">
        <v>873</v>
      </c>
      <c r="B1111" s="28" t="s">
        <v>321</v>
      </c>
      <c r="C1111" s="30">
        <v>44428</v>
      </c>
      <c r="D1111" s="28">
        <v>954.75</v>
      </c>
      <c r="E1111" s="28">
        <v>961</v>
      </c>
      <c r="F1111" s="28">
        <v>961</v>
      </c>
      <c r="G1111" s="28">
        <v>934.95</v>
      </c>
      <c r="H1111" s="28">
        <v>941.73</v>
      </c>
      <c r="I1111" s="28">
        <v>13624</v>
      </c>
      <c r="J1111" s="28">
        <v>5874</v>
      </c>
      <c r="K1111" s="28">
        <v>43.12</v>
      </c>
      <c r="L1111" s="29">
        <f>SUM(NSE_BhavCopy[[#This Row],[ CLOSE_PRICE]]-NSE_BhavCopy[[#This Row],[ PREV_CLOSE]])/NSE_BhavCopy[[#This Row],[ PREV_CLOSE]]*100</f>
        <v>-2.0738413197171988</v>
      </c>
    </row>
    <row r="1112" spans="1:12" hidden="1" x14ac:dyDescent="0.25">
      <c r="A1112" s="28" t="s">
        <v>847</v>
      </c>
      <c r="B1112" s="28" t="s">
        <v>321</v>
      </c>
      <c r="C1112" s="30">
        <v>44428</v>
      </c>
      <c r="D1112" s="28">
        <v>438.85</v>
      </c>
      <c r="E1112" s="28">
        <v>433.25</v>
      </c>
      <c r="F1112" s="28">
        <v>468.35</v>
      </c>
      <c r="G1112" s="28">
        <v>462.55</v>
      </c>
      <c r="H1112" s="28">
        <v>451.48</v>
      </c>
      <c r="I1112" s="28">
        <v>217451</v>
      </c>
      <c r="J1112" s="28">
        <v>93727</v>
      </c>
      <c r="K1112" s="28">
        <v>43.1</v>
      </c>
      <c r="L1112" s="29">
        <f>SUM(NSE_BhavCopy[[#This Row],[ CLOSE_PRICE]]-NSE_BhavCopy[[#This Row],[ PREV_CLOSE]])/NSE_BhavCopy[[#This Row],[ PREV_CLOSE]]*100</f>
        <v>5.4004785234134642</v>
      </c>
    </row>
    <row r="1113" spans="1:12" hidden="1" x14ac:dyDescent="0.25">
      <c r="A1113" s="28" t="s">
        <v>840</v>
      </c>
      <c r="B1113" s="28" t="s">
        <v>321</v>
      </c>
      <c r="C1113" s="30">
        <v>44428</v>
      </c>
      <c r="D1113" s="28">
        <v>44.65</v>
      </c>
      <c r="E1113" s="28">
        <v>43.95</v>
      </c>
      <c r="F1113" s="28">
        <v>44.15</v>
      </c>
      <c r="G1113" s="28">
        <v>41.8</v>
      </c>
      <c r="H1113" s="28">
        <v>42.69</v>
      </c>
      <c r="I1113" s="28">
        <v>48646738</v>
      </c>
      <c r="J1113" s="28">
        <v>20944643</v>
      </c>
      <c r="K1113" s="28">
        <v>43.05</v>
      </c>
      <c r="L1113" s="29">
        <f>SUM(NSE_BhavCopy[[#This Row],[ CLOSE_PRICE]]-NSE_BhavCopy[[#This Row],[ PREV_CLOSE]])/NSE_BhavCopy[[#This Row],[ PREV_CLOSE]]*100</f>
        <v>-6.3829787234042588</v>
      </c>
    </row>
    <row r="1114" spans="1:12" hidden="1" x14ac:dyDescent="0.25">
      <c r="A1114" s="28" t="s">
        <v>864</v>
      </c>
      <c r="B1114" s="28" t="s">
        <v>321</v>
      </c>
      <c r="C1114" s="30">
        <v>44428</v>
      </c>
      <c r="D1114" s="28">
        <v>463.05</v>
      </c>
      <c r="E1114" s="28">
        <v>459.9</v>
      </c>
      <c r="F1114" s="28">
        <v>463.65</v>
      </c>
      <c r="G1114" s="28">
        <v>456.9</v>
      </c>
      <c r="H1114" s="28">
        <v>456.65</v>
      </c>
      <c r="I1114" s="28">
        <v>306911</v>
      </c>
      <c r="J1114" s="28">
        <v>132064</v>
      </c>
      <c r="K1114" s="28">
        <v>43.03</v>
      </c>
      <c r="L1114" s="29">
        <f>SUM(NSE_BhavCopy[[#This Row],[ CLOSE_PRICE]]-NSE_BhavCopy[[#This Row],[ PREV_CLOSE]])/NSE_BhavCopy[[#This Row],[ PREV_CLOSE]]*100</f>
        <v>-1.3281503077421519</v>
      </c>
    </row>
    <row r="1115" spans="1:12" hidden="1" x14ac:dyDescent="0.25">
      <c r="A1115" s="28" t="s">
        <v>361</v>
      </c>
      <c r="B1115" s="28" t="s">
        <v>321</v>
      </c>
      <c r="C1115" s="30">
        <v>44428</v>
      </c>
      <c r="D1115" s="28">
        <v>2225.15</v>
      </c>
      <c r="E1115" s="28">
        <v>2230</v>
      </c>
      <c r="F1115" s="28">
        <v>2230</v>
      </c>
      <c r="G1115" s="28">
        <v>2214.4</v>
      </c>
      <c r="H1115" s="28">
        <v>2215.04</v>
      </c>
      <c r="I1115" s="28">
        <v>6873</v>
      </c>
      <c r="J1115" s="28">
        <v>2956</v>
      </c>
      <c r="K1115" s="28">
        <v>43.01</v>
      </c>
      <c r="L1115" s="29">
        <f>SUM(NSE_BhavCopy[[#This Row],[ CLOSE_PRICE]]-NSE_BhavCopy[[#This Row],[ PREV_CLOSE]])/NSE_BhavCopy[[#This Row],[ PREV_CLOSE]]*100</f>
        <v>-0.48311349796642922</v>
      </c>
    </row>
    <row r="1116" spans="1:12" hidden="1" x14ac:dyDescent="0.25">
      <c r="A1116" s="28" t="s">
        <v>606</v>
      </c>
      <c r="B1116" s="28" t="s">
        <v>321</v>
      </c>
      <c r="C1116" s="30">
        <v>44428</v>
      </c>
      <c r="D1116" s="28">
        <v>3650.6</v>
      </c>
      <c r="E1116" s="28">
        <v>3650</v>
      </c>
      <c r="F1116" s="28">
        <v>3707.15</v>
      </c>
      <c r="G1116" s="28">
        <v>3643.1</v>
      </c>
      <c r="H1116" s="28">
        <v>3657.47</v>
      </c>
      <c r="I1116" s="28">
        <v>232756</v>
      </c>
      <c r="J1116" s="28">
        <v>99932</v>
      </c>
      <c r="K1116" s="28">
        <v>42.93</v>
      </c>
      <c r="L1116" s="29">
        <f>SUM(NSE_BhavCopy[[#This Row],[ CLOSE_PRICE]]-NSE_BhavCopy[[#This Row],[ PREV_CLOSE]])/NSE_BhavCopy[[#This Row],[ PREV_CLOSE]]*100</f>
        <v>-0.20544568016216511</v>
      </c>
    </row>
    <row r="1117" spans="1:12" hidden="1" x14ac:dyDescent="0.25">
      <c r="A1117" s="28" t="s">
        <v>1363</v>
      </c>
      <c r="B1117" s="28" t="s">
        <v>321</v>
      </c>
      <c r="C1117" s="30">
        <v>44428</v>
      </c>
      <c r="D1117" s="28">
        <v>2343.6</v>
      </c>
      <c r="E1117" s="28">
        <v>2321.0500000000002</v>
      </c>
      <c r="F1117" s="28">
        <v>2339.9499999999998</v>
      </c>
      <c r="G1117" s="28">
        <v>2296.6999999999998</v>
      </c>
      <c r="H1117" s="28">
        <v>2306.31</v>
      </c>
      <c r="I1117" s="28">
        <v>6235</v>
      </c>
      <c r="J1117" s="28">
        <v>2673</v>
      </c>
      <c r="K1117" s="28">
        <v>42.87</v>
      </c>
      <c r="L1117" s="29">
        <f>SUM(NSE_BhavCopy[[#This Row],[ CLOSE_PRICE]]-NSE_BhavCopy[[#This Row],[ PREV_CLOSE]])/NSE_BhavCopy[[#This Row],[ PREV_CLOSE]]*100</f>
        <v>-2.001194743130231</v>
      </c>
    </row>
    <row r="1118" spans="1:12" hidden="1" x14ac:dyDescent="0.25">
      <c r="A1118" s="28" t="s">
        <v>456</v>
      </c>
      <c r="B1118" s="28" t="s">
        <v>321</v>
      </c>
      <c r="C1118" s="30">
        <v>44428</v>
      </c>
      <c r="D1118" s="28">
        <v>290.35000000000002</v>
      </c>
      <c r="E1118" s="28">
        <v>290</v>
      </c>
      <c r="F1118" s="28">
        <v>291.75</v>
      </c>
      <c r="G1118" s="28">
        <v>278.14999999999998</v>
      </c>
      <c r="H1118" s="28">
        <v>284.79000000000002</v>
      </c>
      <c r="I1118" s="28">
        <v>6386231</v>
      </c>
      <c r="J1118" s="28">
        <v>2737212</v>
      </c>
      <c r="K1118" s="28">
        <v>42.86</v>
      </c>
      <c r="L1118" s="29">
        <f>SUM(NSE_BhavCopy[[#This Row],[ CLOSE_PRICE]]-NSE_BhavCopy[[#This Row],[ PREV_CLOSE]])/NSE_BhavCopy[[#This Row],[ PREV_CLOSE]]*100</f>
        <v>-4.2018253831582726</v>
      </c>
    </row>
    <row r="1119" spans="1:12" hidden="1" x14ac:dyDescent="0.25">
      <c r="A1119" s="28" t="s">
        <v>460</v>
      </c>
      <c r="B1119" s="28" t="s">
        <v>321</v>
      </c>
      <c r="C1119" s="30">
        <v>44428</v>
      </c>
      <c r="D1119" s="28">
        <v>66.7</v>
      </c>
      <c r="E1119" s="28">
        <v>66</v>
      </c>
      <c r="F1119" s="28">
        <v>66.45</v>
      </c>
      <c r="G1119" s="28">
        <v>64.150000000000006</v>
      </c>
      <c r="H1119" s="28">
        <v>64.86</v>
      </c>
      <c r="I1119" s="28">
        <v>2067455</v>
      </c>
      <c r="J1119" s="28">
        <v>885841</v>
      </c>
      <c r="K1119" s="28">
        <v>42.85</v>
      </c>
      <c r="L1119" s="29">
        <f>SUM(NSE_BhavCopy[[#This Row],[ CLOSE_PRICE]]-NSE_BhavCopy[[#This Row],[ PREV_CLOSE]])/NSE_BhavCopy[[#This Row],[ PREV_CLOSE]]*100</f>
        <v>-3.8230884557721097</v>
      </c>
    </row>
    <row r="1120" spans="1:12" hidden="1" x14ac:dyDescent="0.25">
      <c r="A1120" s="28" t="s">
        <v>1605</v>
      </c>
      <c r="B1120" s="28" t="s">
        <v>321</v>
      </c>
      <c r="C1120" s="30">
        <v>44428</v>
      </c>
      <c r="D1120" s="28">
        <v>114.85</v>
      </c>
      <c r="E1120" s="28">
        <v>113.95</v>
      </c>
      <c r="F1120" s="28">
        <v>113.95</v>
      </c>
      <c r="G1120" s="28">
        <v>110.3</v>
      </c>
      <c r="H1120" s="28">
        <v>111.86</v>
      </c>
      <c r="I1120" s="28">
        <v>2064283</v>
      </c>
      <c r="J1120" s="28">
        <v>883678</v>
      </c>
      <c r="K1120" s="28">
        <v>42.81</v>
      </c>
      <c r="L1120" s="29">
        <f>SUM(NSE_BhavCopy[[#This Row],[ CLOSE_PRICE]]-NSE_BhavCopy[[#This Row],[ PREV_CLOSE]])/NSE_BhavCopy[[#This Row],[ PREV_CLOSE]]*100</f>
        <v>-3.9616891597736155</v>
      </c>
    </row>
    <row r="1121" spans="1:12" hidden="1" x14ac:dyDescent="0.25">
      <c r="A1121" s="28" t="s">
        <v>756</v>
      </c>
      <c r="B1121" s="28" t="s">
        <v>321</v>
      </c>
      <c r="C1121" s="30">
        <v>44428</v>
      </c>
      <c r="D1121" s="28">
        <v>463.4</v>
      </c>
      <c r="E1121" s="28">
        <v>458</v>
      </c>
      <c r="F1121" s="28">
        <v>464</v>
      </c>
      <c r="G1121" s="28">
        <v>451.3</v>
      </c>
      <c r="H1121" s="28">
        <v>456.07</v>
      </c>
      <c r="I1121" s="28">
        <v>223895</v>
      </c>
      <c r="J1121" s="28">
        <v>95622</v>
      </c>
      <c r="K1121" s="28">
        <v>42.71</v>
      </c>
      <c r="L1121" s="29">
        <f>SUM(NSE_BhavCopy[[#This Row],[ CLOSE_PRICE]]-NSE_BhavCopy[[#This Row],[ PREV_CLOSE]])/NSE_BhavCopy[[#This Row],[ PREV_CLOSE]]*100</f>
        <v>-2.611135088476471</v>
      </c>
    </row>
    <row r="1122" spans="1:12" hidden="1" x14ac:dyDescent="0.25">
      <c r="A1122" s="28" t="s">
        <v>1013</v>
      </c>
      <c r="B1122" s="28" t="s">
        <v>321</v>
      </c>
      <c r="C1122" s="30">
        <v>44428</v>
      </c>
      <c r="D1122" s="28">
        <v>1888.3</v>
      </c>
      <c r="E1122" s="28">
        <v>1908</v>
      </c>
      <c r="F1122" s="28">
        <v>1968</v>
      </c>
      <c r="G1122" s="28">
        <v>1953.9</v>
      </c>
      <c r="H1122" s="28">
        <v>1936.87</v>
      </c>
      <c r="I1122" s="28">
        <v>264149</v>
      </c>
      <c r="J1122" s="28">
        <v>112799</v>
      </c>
      <c r="K1122" s="28">
        <v>42.7</v>
      </c>
      <c r="L1122" s="29">
        <f>SUM(NSE_BhavCopy[[#This Row],[ CLOSE_PRICE]]-NSE_BhavCopy[[#This Row],[ PREV_CLOSE]])/NSE_BhavCopy[[#This Row],[ PREV_CLOSE]]*100</f>
        <v>3.4740242546205655</v>
      </c>
    </row>
    <row r="1123" spans="1:12" hidden="1" x14ac:dyDescent="0.25">
      <c r="A1123" s="28" t="s">
        <v>1575</v>
      </c>
      <c r="B1123" s="28" t="s">
        <v>321</v>
      </c>
      <c r="C1123" s="30">
        <v>44428</v>
      </c>
      <c r="D1123" s="28">
        <v>248.1</v>
      </c>
      <c r="E1123" s="28">
        <v>242.6</v>
      </c>
      <c r="F1123" s="28">
        <v>246.5</v>
      </c>
      <c r="G1123" s="28">
        <v>240.35</v>
      </c>
      <c r="H1123" s="28">
        <v>242.1</v>
      </c>
      <c r="I1123" s="28">
        <v>637097</v>
      </c>
      <c r="J1123" s="28">
        <v>272026</v>
      </c>
      <c r="K1123" s="28">
        <v>42.7</v>
      </c>
      <c r="L1123" s="29">
        <f>SUM(NSE_BhavCopy[[#This Row],[ CLOSE_PRICE]]-NSE_BhavCopy[[#This Row],[ PREV_CLOSE]])/NSE_BhavCopy[[#This Row],[ PREV_CLOSE]]*100</f>
        <v>-3.1237404272470779</v>
      </c>
    </row>
    <row r="1124" spans="1:12" hidden="1" x14ac:dyDescent="0.25">
      <c r="A1124" s="28" t="s">
        <v>12</v>
      </c>
      <c r="B1124" s="28" t="s">
        <v>321</v>
      </c>
      <c r="C1124" s="30">
        <v>44428</v>
      </c>
      <c r="D1124" s="28">
        <v>138.35</v>
      </c>
      <c r="E1124" s="28">
        <v>137.5</v>
      </c>
      <c r="F1124" s="28">
        <v>138.05000000000001</v>
      </c>
      <c r="G1124" s="28">
        <v>135.6</v>
      </c>
      <c r="H1124" s="28">
        <v>136.31</v>
      </c>
      <c r="I1124" s="28">
        <v>8877297</v>
      </c>
      <c r="J1124" s="28">
        <v>3788533</v>
      </c>
      <c r="K1124" s="28">
        <v>42.68</v>
      </c>
      <c r="L1124" s="29">
        <f>SUM(NSE_BhavCopy[[#This Row],[ CLOSE_PRICE]]-NSE_BhavCopy[[#This Row],[ PREV_CLOSE]])/NSE_BhavCopy[[#This Row],[ PREV_CLOSE]]*100</f>
        <v>-1.9877123238164078</v>
      </c>
    </row>
    <row r="1125" spans="1:12" hidden="1" x14ac:dyDescent="0.25">
      <c r="A1125" s="28" t="s">
        <v>764</v>
      </c>
      <c r="B1125" s="28" t="s">
        <v>321</v>
      </c>
      <c r="C1125" s="30">
        <v>44428</v>
      </c>
      <c r="D1125" s="28">
        <v>23.55</v>
      </c>
      <c r="E1125" s="28">
        <v>23.4</v>
      </c>
      <c r="F1125" s="28">
        <v>23.5</v>
      </c>
      <c r="G1125" s="28">
        <v>22.75</v>
      </c>
      <c r="H1125" s="28">
        <v>22.99</v>
      </c>
      <c r="I1125" s="28">
        <v>3409130</v>
      </c>
      <c r="J1125" s="28">
        <v>1453152</v>
      </c>
      <c r="K1125" s="28">
        <v>42.63</v>
      </c>
      <c r="L1125" s="29">
        <f>SUM(NSE_BhavCopy[[#This Row],[ CLOSE_PRICE]]-NSE_BhavCopy[[#This Row],[ PREV_CLOSE]])/NSE_BhavCopy[[#This Row],[ PREV_CLOSE]]*100</f>
        <v>-3.3970276008492597</v>
      </c>
    </row>
    <row r="1126" spans="1:12" hidden="1" x14ac:dyDescent="0.25">
      <c r="A1126" s="28" t="s">
        <v>1399</v>
      </c>
      <c r="B1126" s="28" t="s">
        <v>321</v>
      </c>
      <c r="C1126" s="30">
        <v>44428</v>
      </c>
      <c r="D1126" s="28">
        <v>79</v>
      </c>
      <c r="E1126" s="28">
        <v>77</v>
      </c>
      <c r="F1126" s="28">
        <v>81.900000000000006</v>
      </c>
      <c r="G1126" s="28">
        <v>79.45</v>
      </c>
      <c r="H1126" s="28">
        <v>79.5</v>
      </c>
      <c r="I1126" s="28">
        <v>417514</v>
      </c>
      <c r="J1126" s="28">
        <v>177935</v>
      </c>
      <c r="K1126" s="28">
        <v>42.62</v>
      </c>
      <c r="L1126" s="29">
        <f>SUM(NSE_BhavCopy[[#This Row],[ CLOSE_PRICE]]-NSE_BhavCopy[[#This Row],[ PREV_CLOSE]])/NSE_BhavCopy[[#This Row],[ PREV_CLOSE]]*100</f>
        <v>0.56962025316456055</v>
      </c>
    </row>
    <row r="1127" spans="1:12" hidden="1" x14ac:dyDescent="0.25">
      <c r="A1127" s="28" t="s">
        <v>530</v>
      </c>
      <c r="B1127" s="28" t="s">
        <v>321</v>
      </c>
      <c r="C1127" s="30">
        <v>44428</v>
      </c>
      <c r="D1127" s="28">
        <v>20.5</v>
      </c>
      <c r="E1127" s="28">
        <v>20</v>
      </c>
      <c r="F1127" s="28">
        <v>20.399999999999999</v>
      </c>
      <c r="G1127" s="28">
        <v>19.95</v>
      </c>
      <c r="H1127" s="28">
        <v>20.11</v>
      </c>
      <c r="I1127" s="28">
        <v>4447516</v>
      </c>
      <c r="J1127" s="28">
        <v>1888737</v>
      </c>
      <c r="K1127" s="28">
        <v>42.47</v>
      </c>
      <c r="L1127" s="29">
        <f>SUM(NSE_BhavCopy[[#This Row],[ CLOSE_PRICE]]-NSE_BhavCopy[[#This Row],[ PREV_CLOSE]])/NSE_BhavCopy[[#This Row],[ PREV_CLOSE]]*100</f>
        <v>-2.682926829268296</v>
      </c>
    </row>
    <row r="1128" spans="1:12" hidden="1" x14ac:dyDescent="0.25">
      <c r="A1128" s="28" t="s">
        <v>393</v>
      </c>
      <c r="B1128" s="28" t="s">
        <v>321</v>
      </c>
      <c r="C1128" s="30">
        <v>44428</v>
      </c>
      <c r="D1128" s="28">
        <v>263.05</v>
      </c>
      <c r="E1128" s="28">
        <v>257</v>
      </c>
      <c r="F1128" s="28">
        <v>266.55</v>
      </c>
      <c r="G1128" s="28">
        <v>252.85</v>
      </c>
      <c r="H1128" s="28">
        <v>257.2</v>
      </c>
      <c r="I1128" s="28">
        <v>169754</v>
      </c>
      <c r="J1128" s="28">
        <v>72072</v>
      </c>
      <c r="K1128" s="28">
        <v>42.46</v>
      </c>
      <c r="L1128" s="29">
        <f>SUM(NSE_BhavCopy[[#This Row],[ CLOSE_PRICE]]-NSE_BhavCopy[[#This Row],[ PREV_CLOSE]])/NSE_BhavCopy[[#This Row],[ PREV_CLOSE]]*100</f>
        <v>-3.8775898118228533</v>
      </c>
    </row>
    <row r="1129" spans="1:12" hidden="1" x14ac:dyDescent="0.25">
      <c r="A1129" s="28" t="s">
        <v>1222</v>
      </c>
      <c r="B1129" s="28" t="s">
        <v>321</v>
      </c>
      <c r="C1129" s="30">
        <v>44428</v>
      </c>
      <c r="D1129" s="28">
        <v>237.95</v>
      </c>
      <c r="E1129" s="28">
        <v>233.2</v>
      </c>
      <c r="F1129" s="28">
        <v>236.1</v>
      </c>
      <c r="G1129" s="28">
        <v>231.55</v>
      </c>
      <c r="H1129" s="28">
        <v>232.42</v>
      </c>
      <c r="I1129" s="28">
        <v>783992</v>
      </c>
      <c r="J1129" s="28">
        <v>332734</v>
      </c>
      <c r="K1129" s="28">
        <v>42.44</v>
      </c>
      <c r="L1129" s="29">
        <f>SUM(NSE_BhavCopy[[#This Row],[ CLOSE_PRICE]]-NSE_BhavCopy[[#This Row],[ PREV_CLOSE]])/NSE_BhavCopy[[#This Row],[ PREV_CLOSE]]*100</f>
        <v>-2.689640680815288</v>
      </c>
    </row>
    <row r="1130" spans="1:12" hidden="1" x14ac:dyDescent="0.25">
      <c r="A1130" s="28" t="s">
        <v>940</v>
      </c>
      <c r="B1130" s="28" t="s">
        <v>321</v>
      </c>
      <c r="C1130" s="30">
        <v>44428</v>
      </c>
      <c r="D1130" s="28">
        <v>239.3</v>
      </c>
      <c r="E1130" s="28">
        <v>236</v>
      </c>
      <c r="F1130" s="28">
        <v>240.75</v>
      </c>
      <c r="G1130" s="28">
        <v>223.05</v>
      </c>
      <c r="H1130" s="28">
        <v>230.02</v>
      </c>
      <c r="I1130" s="28">
        <v>482145</v>
      </c>
      <c r="J1130" s="28">
        <v>204455</v>
      </c>
      <c r="K1130" s="28">
        <v>42.41</v>
      </c>
      <c r="L1130" s="29">
        <f>SUM(NSE_BhavCopy[[#This Row],[ CLOSE_PRICE]]-NSE_BhavCopy[[#This Row],[ PREV_CLOSE]])/NSE_BhavCopy[[#This Row],[ PREV_CLOSE]]*100</f>
        <v>-6.7906393648140408</v>
      </c>
    </row>
    <row r="1131" spans="1:12" hidden="1" x14ac:dyDescent="0.25">
      <c r="A1131" s="28" t="s">
        <v>444</v>
      </c>
      <c r="B1131" s="28" t="s">
        <v>321</v>
      </c>
      <c r="C1131" s="30">
        <v>44428</v>
      </c>
      <c r="D1131" s="28">
        <v>247.15</v>
      </c>
      <c r="E1131" s="28">
        <v>243.6</v>
      </c>
      <c r="F1131" s="28">
        <v>251.45</v>
      </c>
      <c r="G1131" s="28">
        <v>244.5</v>
      </c>
      <c r="H1131" s="28">
        <v>247.71</v>
      </c>
      <c r="I1131" s="28">
        <v>632501</v>
      </c>
      <c r="J1131" s="28">
        <v>267955</v>
      </c>
      <c r="K1131" s="28">
        <v>42.36</v>
      </c>
      <c r="L1131" s="29">
        <f>SUM(NSE_BhavCopy[[#This Row],[ CLOSE_PRICE]]-NSE_BhavCopy[[#This Row],[ PREV_CLOSE]])/NSE_BhavCopy[[#This Row],[ PREV_CLOSE]]*100</f>
        <v>-1.0722233461460675</v>
      </c>
    </row>
    <row r="1132" spans="1:12" hidden="1" x14ac:dyDescent="0.25">
      <c r="A1132" s="28" t="s">
        <v>941</v>
      </c>
      <c r="B1132" s="28" t="s">
        <v>321</v>
      </c>
      <c r="C1132" s="30">
        <v>44428</v>
      </c>
      <c r="D1132" s="28">
        <v>1106.95</v>
      </c>
      <c r="E1132" s="28">
        <v>1115</v>
      </c>
      <c r="F1132" s="28">
        <v>1143.95</v>
      </c>
      <c r="G1132" s="28">
        <v>1075.2</v>
      </c>
      <c r="H1132" s="28">
        <v>1111.73</v>
      </c>
      <c r="I1132" s="28">
        <v>1013815</v>
      </c>
      <c r="J1132" s="28">
        <v>429498</v>
      </c>
      <c r="K1132" s="28">
        <v>42.36</v>
      </c>
      <c r="L1132" s="29">
        <f>SUM(NSE_BhavCopy[[#This Row],[ CLOSE_PRICE]]-NSE_BhavCopy[[#This Row],[ PREV_CLOSE]])/NSE_BhavCopy[[#This Row],[ PREV_CLOSE]]*100</f>
        <v>-2.86824156465965</v>
      </c>
    </row>
    <row r="1133" spans="1:12" hidden="1" x14ac:dyDescent="0.25">
      <c r="A1133" s="28" t="s">
        <v>1329</v>
      </c>
      <c r="B1133" s="28" t="s">
        <v>321</v>
      </c>
      <c r="C1133" s="30">
        <v>44428</v>
      </c>
      <c r="D1133" s="28">
        <v>201.2</v>
      </c>
      <c r="E1133" s="28">
        <v>195</v>
      </c>
      <c r="F1133" s="28">
        <v>210.65</v>
      </c>
      <c r="G1133" s="28">
        <v>202.05</v>
      </c>
      <c r="H1133" s="28">
        <v>201.14</v>
      </c>
      <c r="I1133" s="28">
        <v>19159</v>
      </c>
      <c r="J1133" s="28">
        <v>8113</v>
      </c>
      <c r="K1133" s="28">
        <v>42.35</v>
      </c>
      <c r="L1133" s="29">
        <f>SUM(NSE_BhavCopy[[#This Row],[ CLOSE_PRICE]]-NSE_BhavCopy[[#This Row],[ PREV_CLOSE]])/NSE_BhavCopy[[#This Row],[ PREV_CLOSE]]*100</f>
        <v>0.42246520874752619</v>
      </c>
    </row>
    <row r="1134" spans="1:12" hidden="1" x14ac:dyDescent="0.25">
      <c r="A1134" s="28" t="s">
        <v>34</v>
      </c>
      <c r="B1134" s="28" t="s">
        <v>321</v>
      </c>
      <c r="C1134" s="30">
        <v>44428</v>
      </c>
      <c r="D1134" s="28">
        <v>18911</v>
      </c>
      <c r="E1134" s="28">
        <v>18555.25</v>
      </c>
      <c r="F1134" s="28">
        <v>19641.099999999999</v>
      </c>
      <c r="G1134" s="28">
        <v>19571.25</v>
      </c>
      <c r="H1134" s="28">
        <v>19256.259999999998</v>
      </c>
      <c r="I1134" s="28">
        <v>143107</v>
      </c>
      <c r="J1134" s="28">
        <v>60568</v>
      </c>
      <c r="K1134" s="28">
        <v>42.32</v>
      </c>
      <c r="L1134" s="29">
        <f>SUM(NSE_BhavCopy[[#This Row],[ CLOSE_PRICE]]-NSE_BhavCopy[[#This Row],[ PREV_CLOSE]])/NSE_BhavCopy[[#This Row],[ PREV_CLOSE]]*100</f>
        <v>3.4913542382740208</v>
      </c>
    </row>
    <row r="1135" spans="1:12" hidden="1" x14ac:dyDescent="0.25">
      <c r="A1135" s="28" t="s">
        <v>579</v>
      </c>
      <c r="B1135" s="28" t="s">
        <v>321</v>
      </c>
      <c r="C1135" s="30">
        <v>44428</v>
      </c>
      <c r="D1135" s="28">
        <v>429</v>
      </c>
      <c r="E1135" s="28">
        <v>429</v>
      </c>
      <c r="F1135" s="28">
        <v>445</v>
      </c>
      <c r="G1135" s="28">
        <v>427.65</v>
      </c>
      <c r="H1135" s="28">
        <v>434.7</v>
      </c>
      <c r="I1135" s="28">
        <v>198433</v>
      </c>
      <c r="J1135" s="28">
        <v>83887</v>
      </c>
      <c r="K1135" s="28">
        <v>42.27</v>
      </c>
      <c r="L1135" s="29">
        <f>SUM(NSE_BhavCopy[[#This Row],[ CLOSE_PRICE]]-NSE_BhavCopy[[#This Row],[ PREV_CLOSE]])/NSE_BhavCopy[[#This Row],[ PREV_CLOSE]]*100</f>
        <v>-0.31468531468532002</v>
      </c>
    </row>
    <row r="1136" spans="1:12" hidden="1" x14ac:dyDescent="0.25">
      <c r="A1136" s="28" t="s">
        <v>33</v>
      </c>
      <c r="B1136" s="28" t="s">
        <v>321</v>
      </c>
      <c r="C1136" s="30">
        <v>44428</v>
      </c>
      <c r="D1136" s="28">
        <v>1501.2</v>
      </c>
      <c r="E1136" s="28">
        <v>1489.95</v>
      </c>
      <c r="F1136" s="28">
        <v>1503.3</v>
      </c>
      <c r="G1136" s="28">
        <v>1484.65</v>
      </c>
      <c r="H1136" s="28">
        <v>1486.25</v>
      </c>
      <c r="I1136" s="28">
        <v>774150</v>
      </c>
      <c r="J1136" s="28">
        <v>327244</v>
      </c>
      <c r="K1136" s="28">
        <v>42.27</v>
      </c>
      <c r="L1136" s="29">
        <f>SUM(NSE_BhavCopy[[#This Row],[ CLOSE_PRICE]]-NSE_BhavCopy[[#This Row],[ PREV_CLOSE]])/NSE_BhavCopy[[#This Row],[ PREV_CLOSE]]*100</f>
        <v>-1.1024513722355418</v>
      </c>
    </row>
    <row r="1137" spans="1:12" hidden="1" x14ac:dyDescent="0.25">
      <c r="A1137" s="28" t="s">
        <v>1463</v>
      </c>
      <c r="B1137" s="28" t="s">
        <v>321</v>
      </c>
      <c r="C1137" s="30">
        <v>44428</v>
      </c>
      <c r="D1137" s="28">
        <v>562.20000000000005</v>
      </c>
      <c r="E1137" s="28">
        <v>556</v>
      </c>
      <c r="F1137" s="28">
        <v>564.9</v>
      </c>
      <c r="G1137" s="28">
        <v>554.20000000000005</v>
      </c>
      <c r="H1137" s="28">
        <v>548.53</v>
      </c>
      <c r="I1137" s="28">
        <v>285869</v>
      </c>
      <c r="J1137" s="28">
        <v>120299</v>
      </c>
      <c r="K1137" s="28">
        <v>42.08</v>
      </c>
      <c r="L1137" s="29">
        <f>SUM(NSE_BhavCopy[[#This Row],[ CLOSE_PRICE]]-NSE_BhavCopy[[#This Row],[ PREV_CLOSE]])/NSE_BhavCopy[[#This Row],[ PREV_CLOSE]]*100</f>
        <v>-1.422981145499822</v>
      </c>
    </row>
    <row r="1138" spans="1:12" hidden="1" x14ac:dyDescent="0.25">
      <c r="A1138" s="28" t="s">
        <v>1532</v>
      </c>
      <c r="B1138" s="28" t="s">
        <v>321</v>
      </c>
      <c r="C1138" s="30">
        <v>44428</v>
      </c>
      <c r="D1138" s="28">
        <v>97.95</v>
      </c>
      <c r="E1138" s="28">
        <v>96.05</v>
      </c>
      <c r="F1138" s="28">
        <v>96.25</v>
      </c>
      <c r="G1138" s="28">
        <v>92.4</v>
      </c>
      <c r="H1138" s="28">
        <v>94.21</v>
      </c>
      <c r="I1138" s="28">
        <v>1423867</v>
      </c>
      <c r="J1138" s="28">
        <v>599070</v>
      </c>
      <c r="K1138" s="28">
        <v>42.07</v>
      </c>
      <c r="L1138" s="29">
        <f>SUM(NSE_BhavCopy[[#This Row],[ CLOSE_PRICE]]-NSE_BhavCopy[[#This Row],[ PREV_CLOSE]])/NSE_BhavCopy[[#This Row],[ PREV_CLOSE]]*100</f>
        <v>-5.6661562021439478</v>
      </c>
    </row>
    <row r="1139" spans="1:12" hidden="1" x14ac:dyDescent="0.25">
      <c r="A1139" s="28" t="s">
        <v>744</v>
      </c>
      <c r="B1139" s="28" t="s">
        <v>321</v>
      </c>
      <c r="C1139" s="30">
        <v>44428</v>
      </c>
      <c r="D1139" s="28">
        <v>183.05</v>
      </c>
      <c r="E1139" s="28">
        <v>181.65</v>
      </c>
      <c r="F1139" s="28">
        <v>183.3</v>
      </c>
      <c r="G1139" s="28">
        <v>176.4</v>
      </c>
      <c r="H1139" s="28">
        <v>178.75</v>
      </c>
      <c r="I1139" s="28">
        <v>227472</v>
      </c>
      <c r="J1139" s="28">
        <v>95683</v>
      </c>
      <c r="K1139" s="28">
        <v>42.06</v>
      </c>
      <c r="L1139" s="29">
        <f>SUM(NSE_BhavCopy[[#This Row],[ CLOSE_PRICE]]-NSE_BhavCopy[[#This Row],[ PREV_CLOSE]])/NSE_BhavCopy[[#This Row],[ PREV_CLOSE]]*100</f>
        <v>-3.6328871892925463</v>
      </c>
    </row>
    <row r="1140" spans="1:12" hidden="1" x14ac:dyDescent="0.25">
      <c r="A1140" s="28" t="s">
        <v>905</v>
      </c>
      <c r="B1140" s="28" t="s">
        <v>321</v>
      </c>
      <c r="C1140" s="30">
        <v>44428</v>
      </c>
      <c r="D1140" s="28">
        <v>189.3</v>
      </c>
      <c r="E1140" s="28">
        <v>188</v>
      </c>
      <c r="F1140" s="28">
        <v>189.55</v>
      </c>
      <c r="G1140" s="28">
        <v>183.2</v>
      </c>
      <c r="H1140" s="28">
        <v>184.85</v>
      </c>
      <c r="I1140" s="28">
        <v>50415</v>
      </c>
      <c r="J1140" s="28">
        <v>21197</v>
      </c>
      <c r="K1140" s="28">
        <v>42.05</v>
      </c>
      <c r="L1140" s="29">
        <f>SUM(NSE_BhavCopy[[#This Row],[ CLOSE_PRICE]]-NSE_BhavCopy[[#This Row],[ PREV_CLOSE]])/NSE_BhavCopy[[#This Row],[ PREV_CLOSE]]*100</f>
        <v>-3.2223983095615543</v>
      </c>
    </row>
    <row r="1141" spans="1:12" hidden="1" x14ac:dyDescent="0.25">
      <c r="A1141" s="28" t="s">
        <v>1282</v>
      </c>
      <c r="B1141" s="28" t="s">
        <v>321</v>
      </c>
      <c r="C1141" s="30">
        <v>44428</v>
      </c>
      <c r="D1141" s="28">
        <v>413.2</v>
      </c>
      <c r="E1141" s="28">
        <v>408.85</v>
      </c>
      <c r="F1141" s="28">
        <v>411.4</v>
      </c>
      <c r="G1141" s="28">
        <v>403.85</v>
      </c>
      <c r="H1141" s="28">
        <v>406.4</v>
      </c>
      <c r="I1141" s="28">
        <v>268537</v>
      </c>
      <c r="J1141" s="28">
        <v>112818</v>
      </c>
      <c r="K1141" s="28">
        <v>42.01</v>
      </c>
      <c r="L1141" s="29">
        <f>SUM(NSE_BhavCopy[[#This Row],[ CLOSE_PRICE]]-NSE_BhavCopy[[#This Row],[ PREV_CLOSE]])/NSE_BhavCopy[[#This Row],[ PREV_CLOSE]]*100</f>
        <v>-2.2628267182962163</v>
      </c>
    </row>
    <row r="1142" spans="1:12" hidden="1" x14ac:dyDescent="0.25">
      <c r="A1142" s="28" t="s">
        <v>414</v>
      </c>
      <c r="B1142" s="28" t="s">
        <v>321</v>
      </c>
      <c r="C1142" s="30">
        <v>44428</v>
      </c>
      <c r="D1142" s="28">
        <v>155.5</v>
      </c>
      <c r="E1142" s="28">
        <v>155.69999999999999</v>
      </c>
      <c r="F1142" s="28">
        <v>157.80000000000001</v>
      </c>
      <c r="G1142" s="28">
        <v>152.4</v>
      </c>
      <c r="H1142" s="28">
        <v>154.08000000000001</v>
      </c>
      <c r="I1142" s="28">
        <v>76697</v>
      </c>
      <c r="J1142" s="28">
        <v>32197</v>
      </c>
      <c r="K1142" s="28">
        <v>41.98</v>
      </c>
      <c r="L1142" s="29">
        <f>SUM(NSE_BhavCopy[[#This Row],[ CLOSE_PRICE]]-NSE_BhavCopy[[#This Row],[ PREV_CLOSE]])/NSE_BhavCopy[[#This Row],[ PREV_CLOSE]]*100</f>
        <v>-1.9935691318327939</v>
      </c>
    </row>
    <row r="1143" spans="1:12" hidden="1" x14ac:dyDescent="0.25">
      <c r="A1143" s="28" t="s">
        <v>1442</v>
      </c>
      <c r="B1143" s="28" t="s">
        <v>321</v>
      </c>
      <c r="C1143" s="30">
        <v>44428</v>
      </c>
      <c r="D1143" s="28">
        <v>600.79999999999995</v>
      </c>
      <c r="E1143" s="28">
        <v>600</v>
      </c>
      <c r="F1143" s="28">
        <v>616</v>
      </c>
      <c r="G1143" s="28">
        <v>598.4</v>
      </c>
      <c r="H1143" s="28">
        <v>602.99</v>
      </c>
      <c r="I1143" s="28">
        <v>352004</v>
      </c>
      <c r="J1143" s="28">
        <v>147660</v>
      </c>
      <c r="K1143" s="28">
        <v>41.95</v>
      </c>
      <c r="L1143" s="29">
        <f>SUM(NSE_BhavCopy[[#This Row],[ CLOSE_PRICE]]-NSE_BhavCopy[[#This Row],[ PREV_CLOSE]])/NSE_BhavCopy[[#This Row],[ PREV_CLOSE]]*100</f>
        <v>-0.3994673768308884</v>
      </c>
    </row>
    <row r="1144" spans="1:12" hidden="1" x14ac:dyDescent="0.25">
      <c r="A1144" s="28" t="s">
        <v>1280</v>
      </c>
      <c r="B1144" s="28" t="s">
        <v>321</v>
      </c>
      <c r="C1144" s="30">
        <v>44428</v>
      </c>
      <c r="D1144" s="28">
        <v>666.8</v>
      </c>
      <c r="E1144" s="28">
        <v>666</v>
      </c>
      <c r="F1144" s="28">
        <v>672.15</v>
      </c>
      <c r="G1144" s="28">
        <v>645.85</v>
      </c>
      <c r="H1144" s="28">
        <v>655.58</v>
      </c>
      <c r="I1144" s="28">
        <v>31985</v>
      </c>
      <c r="J1144" s="28">
        <v>13400</v>
      </c>
      <c r="K1144" s="28">
        <v>41.89</v>
      </c>
      <c r="L1144" s="29">
        <f>SUM(NSE_BhavCopy[[#This Row],[ CLOSE_PRICE]]-NSE_BhavCopy[[#This Row],[ PREV_CLOSE]])/NSE_BhavCopy[[#This Row],[ PREV_CLOSE]]*100</f>
        <v>-3.1418716256748551</v>
      </c>
    </row>
    <row r="1145" spans="1:12" hidden="1" x14ac:dyDescent="0.25">
      <c r="A1145" s="28" t="s">
        <v>923</v>
      </c>
      <c r="B1145" s="28" t="s">
        <v>321</v>
      </c>
      <c r="C1145" s="30">
        <v>44428</v>
      </c>
      <c r="D1145" s="28">
        <v>103.2</v>
      </c>
      <c r="E1145" s="28">
        <v>100</v>
      </c>
      <c r="F1145" s="28">
        <v>101.3</v>
      </c>
      <c r="G1145" s="28">
        <v>97.5</v>
      </c>
      <c r="H1145" s="28">
        <v>98.11</v>
      </c>
      <c r="I1145" s="28">
        <v>218673</v>
      </c>
      <c r="J1145" s="28">
        <v>91483</v>
      </c>
      <c r="K1145" s="28">
        <v>41.84</v>
      </c>
      <c r="L1145" s="29">
        <f>SUM(NSE_BhavCopy[[#This Row],[ CLOSE_PRICE]]-NSE_BhavCopy[[#This Row],[ PREV_CLOSE]])/NSE_BhavCopy[[#This Row],[ PREV_CLOSE]]*100</f>
        <v>-5.5232558139534911</v>
      </c>
    </row>
    <row r="1146" spans="1:12" hidden="1" x14ac:dyDescent="0.25">
      <c r="A1146" s="28" t="s">
        <v>1094</v>
      </c>
      <c r="B1146" s="28" t="s">
        <v>321</v>
      </c>
      <c r="C1146" s="30">
        <v>44428</v>
      </c>
      <c r="D1146" s="28">
        <v>171.65</v>
      </c>
      <c r="E1146" s="28">
        <v>168</v>
      </c>
      <c r="F1146" s="28">
        <v>170</v>
      </c>
      <c r="G1146" s="28">
        <v>165.8</v>
      </c>
      <c r="H1146" s="28">
        <v>167.45</v>
      </c>
      <c r="I1146" s="28">
        <v>460863</v>
      </c>
      <c r="J1146" s="28">
        <v>192800</v>
      </c>
      <c r="K1146" s="28">
        <v>41.83</v>
      </c>
      <c r="L1146" s="29">
        <f>SUM(NSE_BhavCopy[[#This Row],[ CLOSE_PRICE]]-NSE_BhavCopy[[#This Row],[ PREV_CLOSE]])/NSE_BhavCopy[[#This Row],[ PREV_CLOSE]]*100</f>
        <v>-3.4080978735799556</v>
      </c>
    </row>
    <row r="1147" spans="1:12" hidden="1" x14ac:dyDescent="0.25">
      <c r="A1147" s="28" t="s">
        <v>29</v>
      </c>
      <c r="B1147" s="28" t="s">
        <v>321</v>
      </c>
      <c r="C1147" s="30">
        <v>44428</v>
      </c>
      <c r="D1147" s="28">
        <v>629.4</v>
      </c>
      <c r="E1147" s="28">
        <v>622.5</v>
      </c>
      <c r="F1147" s="28">
        <v>631.95000000000005</v>
      </c>
      <c r="G1147" s="28">
        <v>620.04999999999995</v>
      </c>
      <c r="H1147" s="28">
        <v>623.36</v>
      </c>
      <c r="I1147" s="28">
        <v>6170693</v>
      </c>
      <c r="J1147" s="28">
        <v>2579803</v>
      </c>
      <c r="K1147" s="28">
        <v>41.81</v>
      </c>
      <c r="L1147" s="29">
        <f>SUM(NSE_BhavCopy[[#This Row],[ CLOSE_PRICE]]-NSE_BhavCopy[[#This Row],[ PREV_CLOSE]])/NSE_BhavCopy[[#This Row],[ PREV_CLOSE]]*100</f>
        <v>-1.4855417858277762</v>
      </c>
    </row>
    <row r="1148" spans="1:12" hidden="1" x14ac:dyDescent="0.25">
      <c r="A1148" s="28" t="s">
        <v>1154</v>
      </c>
      <c r="B1148" s="28" t="s">
        <v>321</v>
      </c>
      <c r="C1148" s="30">
        <v>44428</v>
      </c>
      <c r="D1148" s="28">
        <v>54.05</v>
      </c>
      <c r="E1148" s="28">
        <v>53.15</v>
      </c>
      <c r="F1148" s="28">
        <v>53.6</v>
      </c>
      <c r="G1148" s="28">
        <v>52</v>
      </c>
      <c r="H1148" s="28">
        <v>52.67</v>
      </c>
      <c r="I1148" s="28">
        <v>686095</v>
      </c>
      <c r="J1148" s="28">
        <v>286656</v>
      </c>
      <c r="K1148" s="28">
        <v>41.78</v>
      </c>
      <c r="L1148" s="29">
        <f>SUM(NSE_BhavCopy[[#This Row],[ CLOSE_PRICE]]-NSE_BhavCopy[[#This Row],[ PREV_CLOSE]])/NSE_BhavCopy[[#This Row],[ PREV_CLOSE]]*100</f>
        <v>-3.7927844588344075</v>
      </c>
    </row>
    <row r="1149" spans="1:12" hidden="1" x14ac:dyDescent="0.25">
      <c r="A1149" s="28" t="s">
        <v>486</v>
      </c>
      <c r="B1149" s="28" t="s">
        <v>321</v>
      </c>
      <c r="C1149" s="30">
        <v>44428</v>
      </c>
      <c r="D1149" s="28">
        <v>22.05</v>
      </c>
      <c r="E1149" s="28">
        <v>21.9</v>
      </c>
      <c r="F1149" s="28">
        <v>24.5</v>
      </c>
      <c r="G1149" s="28">
        <v>22.7</v>
      </c>
      <c r="H1149" s="28">
        <v>23.21</v>
      </c>
      <c r="I1149" s="28">
        <v>310899</v>
      </c>
      <c r="J1149" s="28">
        <v>129670</v>
      </c>
      <c r="K1149" s="28">
        <v>41.71</v>
      </c>
      <c r="L1149" s="29">
        <f>SUM(NSE_BhavCopy[[#This Row],[ CLOSE_PRICE]]-NSE_BhavCopy[[#This Row],[ PREV_CLOSE]])/NSE_BhavCopy[[#This Row],[ PREV_CLOSE]]*100</f>
        <v>2.9478458049886558</v>
      </c>
    </row>
    <row r="1150" spans="1:12" hidden="1" x14ac:dyDescent="0.25">
      <c r="A1150" s="28" t="s">
        <v>958</v>
      </c>
      <c r="B1150" s="28" t="s">
        <v>321</v>
      </c>
      <c r="C1150" s="30">
        <v>44428</v>
      </c>
      <c r="D1150" s="28">
        <v>84.05</v>
      </c>
      <c r="E1150" s="28">
        <v>82</v>
      </c>
      <c r="F1150" s="28">
        <v>83.4</v>
      </c>
      <c r="G1150" s="28">
        <v>80.25</v>
      </c>
      <c r="H1150" s="28">
        <v>81.319999999999993</v>
      </c>
      <c r="I1150" s="28">
        <v>840752</v>
      </c>
      <c r="J1150" s="28">
        <v>350658</v>
      </c>
      <c r="K1150" s="28">
        <v>41.71</v>
      </c>
      <c r="L1150" s="29">
        <f>SUM(NSE_BhavCopy[[#This Row],[ CLOSE_PRICE]]-NSE_BhavCopy[[#This Row],[ PREV_CLOSE]])/NSE_BhavCopy[[#This Row],[ PREV_CLOSE]]*100</f>
        <v>-4.5211183819155227</v>
      </c>
    </row>
    <row r="1151" spans="1:12" hidden="1" x14ac:dyDescent="0.25">
      <c r="A1151" s="28" t="s">
        <v>1374</v>
      </c>
      <c r="B1151" s="28" t="s">
        <v>321</v>
      </c>
      <c r="C1151" s="30">
        <v>44428</v>
      </c>
      <c r="D1151" s="28">
        <v>83.15</v>
      </c>
      <c r="E1151" s="28">
        <v>82</v>
      </c>
      <c r="F1151" s="28">
        <v>82.7</v>
      </c>
      <c r="G1151" s="28">
        <v>79.25</v>
      </c>
      <c r="H1151" s="28">
        <v>80.099999999999994</v>
      </c>
      <c r="I1151" s="28">
        <v>27843</v>
      </c>
      <c r="J1151" s="28">
        <v>11612</v>
      </c>
      <c r="K1151" s="28">
        <v>41.71</v>
      </c>
      <c r="L1151" s="29">
        <f>SUM(NSE_BhavCopy[[#This Row],[ CLOSE_PRICE]]-NSE_BhavCopy[[#This Row],[ PREV_CLOSE]])/NSE_BhavCopy[[#This Row],[ PREV_CLOSE]]*100</f>
        <v>-4.6903187011425196</v>
      </c>
    </row>
    <row r="1152" spans="1:12" hidden="1" x14ac:dyDescent="0.25">
      <c r="A1152" s="28" t="s">
        <v>35</v>
      </c>
      <c r="B1152" s="28" t="s">
        <v>321</v>
      </c>
      <c r="C1152" s="30">
        <v>44428</v>
      </c>
      <c r="D1152" s="28">
        <v>3833.05</v>
      </c>
      <c r="E1152" s="28">
        <v>3780</v>
      </c>
      <c r="F1152" s="28">
        <v>3825</v>
      </c>
      <c r="G1152" s="28">
        <v>3751.5</v>
      </c>
      <c r="H1152" s="28">
        <v>3777.59</v>
      </c>
      <c r="I1152" s="28">
        <v>301943</v>
      </c>
      <c r="J1152" s="28">
        <v>125918</v>
      </c>
      <c r="K1152" s="28">
        <v>41.7</v>
      </c>
      <c r="L1152" s="29">
        <f>SUM(NSE_BhavCopy[[#This Row],[ CLOSE_PRICE]]-NSE_BhavCopy[[#This Row],[ PREV_CLOSE]])/NSE_BhavCopy[[#This Row],[ PREV_CLOSE]]*100</f>
        <v>-2.1275485579368958</v>
      </c>
    </row>
    <row r="1153" spans="1:12" hidden="1" x14ac:dyDescent="0.25">
      <c r="A1153" s="28" t="s">
        <v>1304</v>
      </c>
      <c r="B1153" s="28" t="s">
        <v>321</v>
      </c>
      <c r="C1153" s="30">
        <v>44428</v>
      </c>
      <c r="D1153" s="28">
        <v>419.15</v>
      </c>
      <c r="E1153" s="28">
        <v>412.6</v>
      </c>
      <c r="F1153" s="28">
        <v>412.7</v>
      </c>
      <c r="G1153" s="28">
        <v>392.2</v>
      </c>
      <c r="H1153" s="28">
        <v>402.42</v>
      </c>
      <c r="I1153" s="28">
        <v>53661</v>
      </c>
      <c r="J1153" s="28">
        <v>22350</v>
      </c>
      <c r="K1153" s="28">
        <v>41.65</v>
      </c>
      <c r="L1153" s="29">
        <f>SUM(NSE_BhavCopy[[#This Row],[ CLOSE_PRICE]]-NSE_BhavCopy[[#This Row],[ PREV_CLOSE]])/NSE_BhavCopy[[#This Row],[ PREV_CLOSE]]*100</f>
        <v>-6.42967911248956</v>
      </c>
    </row>
    <row r="1154" spans="1:12" hidden="1" x14ac:dyDescent="0.25">
      <c r="A1154" s="28" t="s">
        <v>780</v>
      </c>
      <c r="B1154" s="28" t="s">
        <v>321</v>
      </c>
      <c r="C1154" s="30">
        <v>44428</v>
      </c>
      <c r="D1154" s="28">
        <v>797.75</v>
      </c>
      <c r="E1154" s="28">
        <v>782</v>
      </c>
      <c r="F1154" s="28">
        <v>796.6</v>
      </c>
      <c r="G1154" s="28">
        <v>775.5</v>
      </c>
      <c r="H1154" s="28">
        <v>784.01</v>
      </c>
      <c r="I1154" s="28">
        <v>207445</v>
      </c>
      <c r="J1154" s="28">
        <v>86327</v>
      </c>
      <c r="K1154" s="28">
        <v>41.61</v>
      </c>
      <c r="L1154" s="29">
        <f>SUM(NSE_BhavCopy[[#This Row],[ CLOSE_PRICE]]-NSE_BhavCopy[[#This Row],[ PREV_CLOSE]])/NSE_BhavCopy[[#This Row],[ PREV_CLOSE]]*100</f>
        <v>-2.7890943277969287</v>
      </c>
    </row>
    <row r="1155" spans="1:12" hidden="1" x14ac:dyDescent="0.25">
      <c r="A1155" s="28" t="s">
        <v>859</v>
      </c>
      <c r="B1155" s="28" t="s">
        <v>321</v>
      </c>
      <c r="C1155" s="30">
        <v>44428</v>
      </c>
      <c r="D1155" s="28">
        <v>209.85</v>
      </c>
      <c r="E1155" s="28">
        <v>207</v>
      </c>
      <c r="F1155" s="28">
        <v>209.45</v>
      </c>
      <c r="G1155" s="28">
        <v>204.45</v>
      </c>
      <c r="H1155" s="28">
        <v>204.43</v>
      </c>
      <c r="I1155" s="28">
        <v>72310</v>
      </c>
      <c r="J1155" s="28">
        <v>30083</v>
      </c>
      <c r="K1155" s="28">
        <v>41.6</v>
      </c>
      <c r="L1155" s="29">
        <f>SUM(NSE_BhavCopy[[#This Row],[ CLOSE_PRICE]]-NSE_BhavCopy[[#This Row],[ PREV_CLOSE]])/NSE_BhavCopy[[#This Row],[ PREV_CLOSE]]*100</f>
        <v>-2.5732666190135838</v>
      </c>
    </row>
    <row r="1156" spans="1:12" hidden="1" x14ac:dyDescent="0.25">
      <c r="A1156" s="28" t="s">
        <v>1262</v>
      </c>
      <c r="B1156" s="28" t="s">
        <v>321</v>
      </c>
      <c r="C1156" s="30">
        <v>44428</v>
      </c>
      <c r="D1156" s="28">
        <v>1657.5</v>
      </c>
      <c r="E1156" s="28">
        <v>1603</v>
      </c>
      <c r="F1156" s="28">
        <v>1698.9</v>
      </c>
      <c r="G1156" s="28">
        <v>1611.25</v>
      </c>
      <c r="H1156" s="28">
        <v>1641.2</v>
      </c>
      <c r="I1156" s="28">
        <v>55043</v>
      </c>
      <c r="J1156" s="28">
        <v>22886</v>
      </c>
      <c r="K1156" s="28">
        <v>41.58</v>
      </c>
      <c r="L1156" s="29">
        <f>SUM(NSE_BhavCopy[[#This Row],[ CLOSE_PRICE]]-NSE_BhavCopy[[#This Row],[ PREV_CLOSE]])/NSE_BhavCopy[[#This Row],[ PREV_CLOSE]]*100</f>
        <v>-2.7903469079939671</v>
      </c>
    </row>
    <row r="1157" spans="1:12" hidden="1" x14ac:dyDescent="0.25">
      <c r="A1157" s="28" t="s">
        <v>426</v>
      </c>
      <c r="B1157" s="28" t="s">
        <v>321</v>
      </c>
      <c r="C1157" s="30">
        <v>44428</v>
      </c>
      <c r="D1157" s="28">
        <v>1007.3</v>
      </c>
      <c r="E1157" s="28">
        <v>995</v>
      </c>
      <c r="F1157" s="28">
        <v>1011.9</v>
      </c>
      <c r="G1157" s="28">
        <v>978.3</v>
      </c>
      <c r="H1157" s="28">
        <v>990.46</v>
      </c>
      <c r="I1157" s="28">
        <v>8015</v>
      </c>
      <c r="J1157" s="28">
        <v>3331</v>
      </c>
      <c r="K1157" s="28">
        <v>41.56</v>
      </c>
      <c r="L1157" s="29">
        <f>SUM(NSE_BhavCopy[[#This Row],[ CLOSE_PRICE]]-NSE_BhavCopy[[#This Row],[ PREV_CLOSE]])/NSE_BhavCopy[[#This Row],[ PREV_CLOSE]]*100</f>
        <v>-2.8789834210265064</v>
      </c>
    </row>
    <row r="1158" spans="1:12" hidden="1" x14ac:dyDescent="0.25">
      <c r="A1158" s="28" t="s">
        <v>716</v>
      </c>
      <c r="B1158" s="28" t="s">
        <v>321</v>
      </c>
      <c r="C1158" s="30">
        <v>44428</v>
      </c>
      <c r="D1158" s="28">
        <v>575.70000000000005</v>
      </c>
      <c r="E1158" s="28">
        <v>571</v>
      </c>
      <c r="F1158" s="28">
        <v>576.6</v>
      </c>
      <c r="G1158" s="28">
        <v>554.54999999999995</v>
      </c>
      <c r="H1158" s="28">
        <v>559.08000000000004</v>
      </c>
      <c r="I1158" s="28">
        <v>36634</v>
      </c>
      <c r="J1158" s="28">
        <v>15213</v>
      </c>
      <c r="K1158" s="28">
        <v>41.53</v>
      </c>
      <c r="L1158" s="29">
        <f>SUM(NSE_BhavCopy[[#This Row],[ CLOSE_PRICE]]-NSE_BhavCopy[[#This Row],[ PREV_CLOSE]])/NSE_BhavCopy[[#This Row],[ PREV_CLOSE]]*100</f>
        <v>-3.6737884314747422</v>
      </c>
    </row>
    <row r="1159" spans="1:12" hidden="1" x14ac:dyDescent="0.25">
      <c r="A1159" s="28" t="s">
        <v>1535</v>
      </c>
      <c r="B1159" s="28" t="s">
        <v>321</v>
      </c>
      <c r="C1159" s="30">
        <v>44428</v>
      </c>
      <c r="D1159" s="28">
        <v>12.95</v>
      </c>
      <c r="E1159" s="28">
        <v>12.8</v>
      </c>
      <c r="F1159" s="28">
        <v>12.95</v>
      </c>
      <c r="G1159" s="28">
        <v>12.85</v>
      </c>
      <c r="H1159" s="28">
        <v>12.8</v>
      </c>
      <c r="I1159" s="28">
        <v>2311569</v>
      </c>
      <c r="J1159" s="28">
        <v>959272</v>
      </c>
      <c r="K1159" s="28">
        <v>41.5</v>
      </c>
      <c r="L1159" s="29">
        <f>SUM(NSE_BhavCopy[[#This Row],[ CLOSE_PRICE]]-NSE_BhavCopy[[#This Row],[ PREV_CLOSE]])/NSE_BhavCopy[[#This Row],[ PREV_CLOSE]]*100</f>
        <v>-0.77220077220076955</v>
      </c>
    </row>
    <row r="1160" spans="1:12" hidden="1" x14ac:dyDescent="0.25">
      <c r="A1160" s="28" t="s">
        <v>372</v>
      </c>
      <c r="B1160" s="28" t="s">
        <v>321</v>
      </c>
      <c r="C1160" s="30">
        <v>44428</v>
      </c>
      <c r="D1160" s="28">
        <v>21.8</v>
      </c>
      <c r="E1160" s="28">
        <v>21.55</v>
      </c>
      <c r="F1160" s="28">
        <v>22.1</v>
      </c>
      <c r="G1160" s="28">
        <v>21.4</v>
      </c>
      <c r="H1160" s="28">
        <v>21.61</v>
      </c>
      <c r="I1160" s="28">
        <v>4905977</v>
      </c>
      <c r="J1160" s="28">
        <v>2034796</v>
      </c>
      <c r="K1160" s="28">
        <v>41.48</v>
      </c>
      <c r="L1160" s="29">
        <f>SUM(NSE_BhavCopy[[#This Row],[ CLOSE_PRICE]]-NSE_BhavCopy[[#This Row],[ PREV_CLOSE]])/NSE_BhavCopy[[#This Row],[ PREV_CLOSE]]*100</f>
        <v>-1.8348623853211108</v>
      </c>
    </row>
    <row r="1161" spans="1:12" hidden="1" x14ac:dyDescent="0.25">
      <c r="A1161" s="28" t="s">
        <v>1216</v>
      </c>
      <c r="B1161" s="28" t="s">
        <v>321</v>
      </c>
      <c r="C1161" s="30">
        <v>44428</v>
      </c>
      <c r="D1161" s="28">
        <v>5879.35</v>
      </c>
      <c r="E1161" s="28">
        <v>5879.35</v>
      </c>
      <c r="F1161" s="28">
        <v>5909.95</v>
      </c>
      <c r="G1161" s="28">
        <v>5824.55</v>
      </c>
      <c r="H1161" s="28">
        <v>5841.53</v>
      </c>
      <c r="I1161" s="28">
        <v>75772</v>
      </c>
      <c r="J1161" s="28">
        <v>31425</v>
      </c>
      <c r="K1161" s="28">
        <v>41.47</v>
      </c>
      <c r="L1161" s="29">
        <f>SUM(NSE_BhavCopy[[#This Row],[ CLOSE_PRICE]]-NSE_BhavCopy[[#This Row],[ PREV_CLOSE]])/NSE_BhavCopy[[#This Row],[ PREV_CLOSE]]*100</f>
        <v>-0.93207582470851669</v>
      </c>
    </row>
    <row r="1162" spans="1:12" hidden="1" x14ac:dyDescent="0.25">
      <c r="A1162" s="28" t="s">
        <v>1003</v>
      </c>
      <c r="B1162" s="28" t="s">
        <v>321</v>
      </c>
      <c r="C1162" s="30">
        <v>44428</v>
      </c>
      <c r="D1162" s="28">
        <v>448.45</v>
      </c>
      <c r="E1162" s="28">
        <v>446.75</v>
      </c>
      <c r="F1162" s="28">
        <v>448.55</v>
      </c>
      <c r="G1162" s="28">
        <v>439</v>
      </c>
      <c r="H1162" s="28">
        <v>439.4</v>
      </c>
      <c r="I1162" s="28">
        <v>165988</v>
      </c>
      <c r="J1162" s="28">
        <v>68822</v>
      </c>
      <c r="K1162" s="28">
        <v>41.46</v>
      </c>
      <c r="L1162" s="29">
        <f>SUM(NSE_BhavCopy[[#This Row],[ CLOSE_PRICE]]-NSE_BhavCopy[[#This Row],[ PREV_CLOSE]])/NSE_BhavCopy[[#This Row],[ PREV_CLOSE]]*100</f>
        <v>-2.1072583342624571</v>
      </c>
    </row>
    <row r="1163" spans="1:12" hidden="1" x14ac:dyDescent="0.25">
      <c r="A1163" s="28" t="s">
        <v>1439</v>
      </c>
      <c r="B1163" s="28" t="s">
        <v>321</v>
      </c>
      <c r="C1163" s="30">
        <v>44428</v>
      </c>
      <c r="D1163" s="28">
        <v>784.75</v>
      </c>
      <c r="E1163" s="28">
        <v>774</v>
      </c>
      <c r="F1163" s="28">
        <v>782.95</v>
      </c>
      <c r="G1163" s="28">
        <v>753.25</v>
      </c>
      <c r="H1163" s="28">
        <v>764.97</v>
      </c>
      <c r="I1163" s="28">
        <v>135346</v>
      </c>
      <c r="J1163" s="28">
        <v>56058</v>
      </c>
      <c r="K1163" s="28">
        <v>41.42</v>
      </c>
      <c r="L1163" s="29">
        <f>SUM(NSE_BhavCopy[[#This Row],[ CLOSE_PRICE]]-NSE_BhavCopy[[#This Row],[ PREV_CLOSE]])/NSE_BhavCopy[[#This Row],[ PREV_CLOSE]]*100</f>
        <v>-4.0140172029308694</v>
      </c>
    </row>
    <row r="1164" spans="1:12" hidden="1" x14ac:dyDescent="0.25">
      <c r="A1164" s="28" t="s">
        <v>921</v>
      </c>
      <c r="B1164" s="28" t="s">
        <v>321</v>
      </c>
      <c r="C1164" s="30">
        <v>44428</v>
      </c>
      <c r="D1164" s="28">
        <v>158.05000000000001</v>
      </c>
      <c r="E1164" s="28">
        <v>154</v>
      </c>
      <c r="F1164" s="28">
        <v>157</v>
      </c>
      <c r="G1164" s="28">
        <v>148.69999999999999</v>
      </c>
      <c r="H1164" s="28">
        <v>152.43</v>
      </c>
      <c r="I1164" s="28">
        <v>1751058</v>
      </c>
      <c r="J1164" s="28">
        <v>725140</v>
      </c>
      <c r="K1164" s="28">
        <v>41.41</v>
      </c>
      <c r="L1164" s="29">
        <f>SUM(NSE_BhavCopy[[#This Row],[ CLOSE_PRICE]]-NSE_BhavCopy[[#This Row],[ PREV_CLOSE]])/NSE_BhavCopy[[#This Row],[ PREV_CLOSE]]*100</f>
        <v>-5.9158494147421843</v>
      </c>
    </row>
    <row r="1165" spans="1:12" hidden="1" x14ac:dyDescent="0.25">
      <c r="A1165" s="28" t="s">
        <v>1080</v>
      </c>
      <c r="B1165" s="28" t="s">
        <v>321</v>
      </c>
      <c r="C1165" s="30">
        <v>44428</v>
      </c>
      <c r="D1165" s="28">
        <v>1126.6500000000001</v>
      </c>
      <c r="E1165" s="28">
        <v>1126.6500000000001</v>
      </c>
      <c r="F1165" s="28">
        <v>1126.6500000000001</v>
      </c>
      <c r="G1165" s="28">
        <v>1098.95</v>
      </c>
      <c r="H1165" s="28">
        <v>1106.69</v>
      </c>
      <c r="I1165" s="28">
        <v>302841</v>
      </c>
      <c r="J1165" s="28">
        <v>125392</v>
      </c>
      <c r="K1165" s="28">
        <v>41.41</v>
      </c>
      <c r="L1165" s="29">
        <f>SUM(NSE_BhavCopy[[#This Row],[ CLOSE_PRICE]]-NSE_BhavCopy[[#This Row],[ PREV_CLOSE]])/NSE_BhavCopy[[#This Row],[ PREV_CLOSE]]*100</f>
        <v>-2.4586162517197039</v>
      </c>
    </row>
    <row r="1166" spans="1:12" hidden="1" x14ac:dyDescent="0.25">
      <c r="A1166" s="28" t="s">
        <v>1674</v>
      </c>
      <c r="B1166" s="28" t="s">
        <v>321</v>
      </c>
      <c r="C1166" s="30">
        <v>44428</v>
      </c>
      <c r="D1166" s="28">
        <v>115.45</v>
      </c>
      <c r="E1166" s="28">
        <v>112.95</v>
      </c>
      <c r="F1166" s="28">
        <v>115.9</v>
      </c>
      <c r="G1166" s="28">
        <v>110.1</v>
      </c>
      <c r="H1166" s="28">
        <v>110.07</v>
      </c>
      <c r="I1166" s="28">
        <v>109024</v>
      </c>
      <c r="J1166" s="28">
        <v>45067</v>
      </c>
      <c r="K1166" s="28">
        <v>41.34</v>
      </c>
      <c r="L1166" s="29">
        <f>SUM(NSE_BhavCopy[[#This Row],[ CLOSE_PRICE]]-NSE_BhavCopy[[#This Row],[ PREV_CLOSE]])/NSE_BhavCopy[[#This Row],[ PREV_CLOSE]]*100</f>
        <v>-4.6340407102641912</v>
      </c>
    </row>
    <row r="1167" spans="1:12" hidden="1" x14ac:dyDescent="0.25">
      <c r="A1167" s="28" t="s">
        <v>1801</v>
      </c>
      <c r="B1167" s="28" t="s">
        <v>321</v>
      </c>
      <c r="C1167" s="30">
        <v>44428</v>
      </c>
      <c r="D1167" s="28">
        <v>124.15</v>
      </c>
      <c r="E1167" s="28">
        <v>120</v>
      </c>
      <c r="F1167" s="28">
        <v>123</v>
      </c>
      <c r="G1167" s="28">
        <v>118.5</v>
      </c>
      <c r="H1167" s="28">
        <v>119.88</v>
      </c>
      <c r="I1167" s="28">
        <v>11898633</v>
      </c>
      <c r="J1167" s="28">
        <v>4919477</v>
      </c>
      <c r="K1167" s="28">
        <v>41.34</v>
      </c>
      <c r="L1167" s="29">
        <f>SUM(NSE_BhavCopy[[#This Row],[ CLOSE_PRICE]]-NSE_BhavCopy[[#This Row],[ PREV_CLOSE]])/NSE_BhavCopy[[#This Row],[ PREV_CLOSE]]*100</f>
        <v>-4.5509464357631941</v>
      </c>
    </row>
    <row r="1168" spans="1:12" hidden="1" x14ac:dyDescent="0.25">
      <c r="A1168" s="28" t="s">
        <v>1281</v>
      </c>
      <c r="B1168" s="28" t="s">
        <v>321</v>
      </c>
      <c r="C1168" s="30">
        <v>44428</v>
      </c>
      <c r="D1168" s="28">
        <v>2121.35</v>
      </c>
      <c r="E1168" s="28">
        <v>2100</v>
      </c>
      <c r="F1168" s="28">
        <v>2147.15</v>
      </c>
      <c r="G1168" s="28">
        <v>2105.6</v>
      </c>
      <c r="H1168" s="28">
        <v>2085.1799999999998</v>
      </c>
      <c r="I1168" s="28">
        <v>22756</v>
      </c>
      <c r="J1168" s="28">
        <v>9386</v>
      </c>
      <c r="K1168" s="28">
        <v>41.25</v>
      </c>
      <c r="L1168" s="29">
        <f>SUM(NSE_BhavCopy[[#This Row],[ CLOSE_PRICE]]-NSE_BhavCopy[[#This Row],[ PREV_CLOSE]])/NSE_BhavCopy[[#This Row],[ PREV_CLOSE]]*100</f>
        <v>-0.7424517406368587</v>
      </c>
    </row>
    <row r="1169" spans="1:12" hidden="1" x14ac:dyDescent="0.25">
      <c r="A1169" s="28" t="s">
        <v>1155</v>
      </c>
      <c r="B1169" s="28" t="s">
        <v>321</v>
      </c>
      <c r="C1169" s="30">
        <v>44428</v>
      </c>
      <c r="D1169" s="28">
        <v>499.3</v>
      </c>
      <c r="E1169" s="28">
        <v>498.9</v>
      </c>
      <c r="F1169" s="28">
        <v>505.05</v>
      </c>
      <c r="G1169" s="28">
        <v>503.85</v>
      </c>
      <c r="H1169" s="28">
        <v>499.58</v>
      </c>
      <c r="I1169" s="28">
        <v>141480</v>
      </c>
      <c r="J1169" s="28">
        <v>58327</v>
      </c>
      <c r="K1169" s="28">
        <v>41.23</v>
      </c>
      <c r="L1169" s="29">
        <f>SUM(NSE_BhavCopy[[#This Row],[ CLOSE_PRICE]]-NSE_BhavCopy[[#This Row],[ PREV_CLOSE]])/NSE_BhavCopy[[#This Row],[ PREV_CLOSE]]*100</f>
        <v>0.91127578610054305</v>
      </c>
    </row>
    <row r="1170" spans="1:12" hidden="1" x14ac:dyDescent="0.25">
      <c r="A1170" s="28" t="s">
        <v>952</v>
      </c>
      <c r="B1170" s="28" t="s">
        <v>321</v>
      </c>
      <c r="C1170" s="30">
        <v>44428</v>
      </c>
      <c r="D1170" s="28">
        <v>23.05</v>
      </c>
      <c r="E1170" s="28">
        <v>22.6</v>
      </c>
      <c r="F1170" s="28">
        <v>23.4</v>
      </c>
      <c r="G1170" s="28">
        <v>22.7</v>
      </c>
      <c r="H1170" s="28">
        <v>22.84</v>
      </c>
      <c r="I1170" s="28">
        <v>253317</v>
      </c>
      <c r="J1170" s="28">
        <v>104281</v>
      </c>
      <c r="K1170" s="28">
        <v>41.17</v>
      </c>
      <c r="L1170" s="29">
        <f>SUM(NSE_BhavCopy[[#This Row],[ CLOSE_PRICE]]-NSE_BhavCopy[[#This Row],[ PREV_CLOSE]])/NSE_BhavCopy[[#This Row],[ PREV_CLOSE]]*100</f>
        <v>-1.5184381778741927</v>
      </c>
    </row>
    <row r="1171" spans="1:12" hidden="1" x14ac:dyDescent="0.25">
      <c r="A1171" s="28" t="s">
        <v>869</v>
      </c>
      <c r="B1171" s="28" t="s">
        <v>321</v>
      </c>
      <c r="C1171" s="30">
        <v>44428</v>
      </c>
      <c r="D1171" s="28">
        <v>218.6</v>
      </c>
      <c r="E1171" s="28">
        <v>218.6</v>
      </c>
      <c r="F1171" s="28">
        <v>224</v>
      </c>
      <c r="G1171" s="28">
        <v>219.5</v>
      </c>
      <c r="H1171" s="28">
        <v>219.88</v>
      </c>
      <c r="I1171" s="28">
        <v>5789470</v>
      </c>
      <c r="J1171" s="28">
        <v>2380873</v>
      </c>
      <c r="K1171" s="28">
        <v>41.12</v>
      </c>
      <c r="L1171" s="29">
        <f>SUM(NSE_BhavCopy[[#This Row],[ CLOSE_PRICE]]-NSE_BhavCopy[[#This Row],[ PREV_CLOSE]])/NSE_BhavCopy[[#This Row],[ PREV_CLOSE]]*100</f>
        <v>0.4117108874656934</v>
      </c>
    </row>
    <row r="1172" spans="1:12" hidden="1" x14ac:dyDescent="0.25">
      <c r="A1172" s="28" t="s">
        <v>1087</v>
      </c>
      <c r="B1172" s="28" t="s">
        <v>321</v>
      </c>
      <c r="C1172" s="30">
        <v>44428</v>
      </c>
      <c r="D1172" s="28">
        <v>57.15</v>
      </c>
      <c r="E1172" s="28">
        <v>55.5</v>
      </c>
      <c r="F1172" s="28">
        <v>56.4</v>
      </c>
      <c r="G1172" s="28">
        <v>54.95</v>
      </c>
      <c r="H1172" s="28">
        <v>55.29</v>
      </c>
      <c r="I1172" s="28">
        <v>664404</v>
      </c>
      <c r="J1172" s="28">
        <v>273048</v>
      </c>
      <c r="K1172" s="28">
        <v>41.1</v>
      </c>
      <c r="L1172" s="29">
        <f>SUM(NSE_BhavCopy[[#This Row],[ CLOSE_PRICE]]-NSE_BhavCopy[[#This Row],[ PREV_CLOSE]])/NSE_BhavCopy[[#This Row],[ PREV_CLOSE]]*100</f>
        <v>-3.8495188101487243</v>
      </c>
    </row>
    <row r="1173" spans="1:12" hidden="1" x14ac:dyDescent="0.25">
      <c r="A1173" s="28" t="s">
        <v>710</v>
      </c>
      <c r="B1173" s="28" t="s">
        <v>321</v>
      </c>
      <c r="C1173" s="30">
        <v>44428</v>
      </c>
      <c r="D1173" s="28">
        <v>688.6</v>
      </c>
      <c r="E1173" s="28">
        <v>708.7</v>
      </c>
      <c r="F1173" s="28">
        <v>709</v>
      </c>
      <c r="G1173" s="28">
        <v>682.5</v>
      </c>
      <c r="H1173" s="28">
        <v>671.41</v>
      </c>
      <c r="I1173" s="28">
        <v>862</v>
      </c>
      <c r="J1173" s="28">
        <v>354</v>
      </c>
      <c r="K1173" s="28">
        <v>41.07</v>
      </c>
      <c r="L1173" s="29">
        <f>SUM(NSE_BhavCopy[[#This Row],[ CLOSE_PRICE]]-NSE_BhavCopy[[#This Row],[ PREV_CLOSE]])/NSE_BhavCopy[[#This Row],[ PREV_CLOSE]]*100</f>
        <v>-0.88585535869881249</v>
      </c>
    </row>
    <row r="1174" spans="1:12" hidden="1" x14ac:dyDescent="0.25">
      <c r="A1174" s="28" t="s">
        <v>399</v>
      </c>
      <c r="B1174" s="28" t="s">
        <v>321</v>
      </c>
      <c r="C1174" s="30">
        <v>44428</v>
      </c>
      <c r="D1174" s="28">
        <v>220.25</v>
      </c>
      <c r="E1174" s="28">
        <v>219</v>
      </c>
      <c r="F1174" s="28">
        <v>219</v>
      </c>
      <c r="G1174" s="28">
        <v>211.55</v>
      </c>
      <c r="H1174" s="28">
        <v>213.99</v>
      </c>
      <c r="I1174" s="28">
        <v>3941166</v>
      </c>
      <c r="J1174" s="28">
        <v>1617232</v>
      </c>
      <c r="K1174" s="28">
        <v>41.03</v>
      </c>
      <c r="L1174" s="29">
        <f>SUM(NSE_BhavCopy[[#This Row],[ CLOSE_PRICE]]-NSE_BhavCopy[[#This Row],[ PREV_CLOSE]])/NSE_BhavCopy[[#This Row],[ PREV_CLOSE]]*100</f>
        <v>-3.9500567536889846</v>
      </c>
    </row>
    <row r="1175" spans="1:12" hidden="1" x14ac:dyDescent="0.25">
      <c r="A1175" s="28" t="s">
        <v>1498</v>
      </c>
      <c r="B1175" s="28" t="s">
        <v>321</v>
      </c>
      <c r="C1175" s="30">
        <v>44428</v>
      </c>
      <c r="D1175" s="28">
        <v>63.2</v>
      </c>
      <c r="E1175" s="28">
        <v>62.5</v>
      </c>
      <c r="F1175" s="28">
        <v>64.8</v>
      </c>
      <c r="G1175" s="28">
        <v>62.1</v>
      </c>
      <c r="H1175" s="28">
        <v>62.62</v>
      </c>
      <c r="I1175" s="28">
        <v>175361</v>
      </c>
      <c r="J1175" s="28">
        <v>71887</v>
      </c>
      <c r="K1175" s="28">
        <v>40.99</v>
      </c>
      <c r="L1175" s="29">
        <f>SUM(NSE_BhavCopy[[#This Row],[ CLOSE_PRICE]]-NSE_BhavCopy[[#This Row],[ PREV_CLOSE]])/NSE_BhavCopy[[#This Row],[ PREV_CLOSE]]*100</f>
        <v>-1.7405063291139264</v>
      </c>
    </row>
    <row r="1176" spans="1:12" hidden="1" x14ac:dyDescent="0.25">
      <c r="A1176" s="28" t="s">
        <v>791</v>
      </c>
      <c r="B1176" s="28" t="s">
        <v>321</v>
      </c>
      <c r="C1176" s="30">
        <v>44428</v>
      </c>
      <c r="D1176" s="28">
        <v>168.45</v>
      </c>
      <c r="E1176" s="28">
        <v>165.1</v>
      </c>
      <c r="F1176" s="28">
        <v>173.6</v>
      </c>
      <c r="G1176" s="28">
        <v>162.69999999999999</v>
      </c>
      <c r="H1176" s="28">
        <v>166.86</v>
      </c>
      <c r="I1176" s="28">
        <v>818031</v>
      </c>
      <c r="J1176" s="28">
        <v>335012</v>
      </c>
      <c r="K1176" s="28">
        <v>40.950000000000003</v>
      </c>
      <c r="L1176" s="29">
        <f>SUM(NSE_BhavCopy[[#This Row],[ CLOSE_PRICE]]-NSE_BhavCopy[[#This Row],[ PREV_CLOSE]])/NSE_BhavCopy[[#This Row],[ PREV_CLOSE]]*100</f>
        <v>-3.4134758088453552</v>
      </c>
    </row>
    <row r="1177" spans="1:12" hidden="1" x14ac:dyDescent="0.25">
      <c r="A1177" s="28" t="s">
        <v>1414</v>
      </c>
      <c r="B1177" s="28" t="s">
        <v>321</v>
      </c>
      <c r="C1177" s="30">
        <v>44428</v>
      </c>
      <c r="D1177" s="28">
        <v>1604.95</v>
      </c>
      <c r="E1177" s="28">
        <v>1580</v>
      </c>
      <c r="F1177" s="28">
        <v>1646.7</v>
      </c>
      <c r="G1177" s="28">
        <v>1548.9</v>
      </c>
      <c r="H1177" s="28">
        <v>1578.66</v>
      </c>
      <c r="I1177" s="28">
        <v>39921</v>
      </c>
      <c r="J1177" s="28">
        <v>16318</v>
      </c>
      <c r="K1177" s="28">
        <v>40.880000000000003</v>
      </c>
      <c r="L1177" s="29">
        <f>SUM(NSE_BhavCopy[[#This Row],[ CLOSE_PRICE]]-NSE_BhavCopy[[#This Row],[ PREV_CLOSE]])/NSE_BhavCopy[[#This Row],[ PREV_CLOSE]]*100</f>
        <v>-3.4923206330415248</v>
      </c>
    </row>
    <row r="1178" spans="1:12" hidden="1" x14ac:dyDescent="0.25">
      <c r="A1178" s="28" t="s">
        <v>1170</v>
      </c>
      <c r="B1178" s="28" t="s">
        <v>321</v>
      </c>
      <c r="C1178" s="30">
        <v>44428</v>
      </c>
      <c r="D1178" s="28">
        <v>315.35000000000002</v>
      </c>
      <c r="E1178" s="28">
        <v>315.10000000000002</v>
      </c>
      <c r="F1178" s="28">
        <v>336.3</v>
      </c>
      <c r="G1178" s="28">
        <v>308.14999999999998</v>
      </c>
      <c r="H1178" s="28">
        <v>319.04000000000002</v>
      </c>
      <c r="I1178" s="28">
        <v>112177</v>
      </c>
      <c r="J1178" s="28">
        <v>45825</v>
      </c>
      <c r="K1178" s="28">
        <v>40.85</v>
      </c>
      <c r="L1178" s="29">
        <f>SUM(NSE_BhavCopy[[#This Row],[ CLOSE_PRICE]]-NSE_BhavCopy[[#This Row],[ PREV_CLOSE]])/NSE_BhavCopy[[#This Row],[ PREV_CLOSE]]*100</f>
        <v>-2.2831774219121757</v>
      </c>
    </row>
    <row r="1179" spans="1:12" hidden="1" x14ac:dyDescent="0.25">
      <c r="A1179" s="28" t="s">
        <v>1025</v>
      </c>
      <c r="B1179" s="28" t="s">
        <v>321</v>
      </c>
      <c r="C1179" s="30">
        <v>44428</v>
      </c>
      <c r="D1179" s="28">
        <v>148.05000000000001</v>
      </c>
      <c r="E1179" s="28">
        <v>147.05000000000001</v>
      </c>
      <c r="F1179" s="28">
        <v>147.30000000000001</v>
      </c>
      <c r="G1179" s="28">
        <v>142.94999999999999</v>
      </c>
      <c r="H1179" s="28">
        <v>144.66999999999999</v>
      </c>
      <c r="I1179" s="28">
        <v>6014558</v>
      </c>
      <c r="J1179" s="28">
        <v>2454239</v>
      </c>
      <c r="K1179" s="28">
        <v>40.799999999999997</v>
      </c>
      <c r="L1179" s="29">
        <f>SUM(NSE_BhavCopy[[#This Row],[ CLOSE_PRICE]]-NSE_BhavCopy[[#This Row],[ PREV_CLOSE]])/NSE_BhavCopy[[#This Row],[ PREV_CLOSE]]*100</f>
        <v>-3.444782168186439</v>
      </c>
    </row>
    <row r="1180" spans="1:12" hidden="1" x14ac:dyDescent="0.25">
      <c r="A1180" s="28" t="s">
        <v>1022</v>
      </c>
      <c r="B1180" s="28" t="s">
        <v>321</v>
      </c>
      <c r="C1180" s="30">
        <v>44428</v>
      </c>
      <c r="D1180" s="28">
        <v>4015.3</v>
      </c>
      <c r="E1180" s="28">
        <v>3900</v>
      </c>
      <c r="F1180" s="28">
        <v>4170</v>
      </c>
      <c r="G1180" s="28">
        <v>4144.75</v>
      </c>
      <c r="H1180" s="28">
        <v>4121.71</v>
      </c>
      <c r="I1180" s="28">
        <v>138554</v>
      </c>
      <c r="J1180" s="28">
        <v>56514</v>
      </c>
      <c r="K1180" s="28">
        <v>40.79</v>
      </c>
      <c r="L1180" s="29">
        <f>SUM(NSE_BhavCopy[[#This Row],[ CLOSE_PRICE]]-NSE_BhavCopy[[#This Row],[ PREV_CLOSE]])/NSE_BhavCopy[[#This Row],[ PREV_CLOSE]]*100</f>
        <v>3.2239185116927707</v>
      </c>
    </row>
    <row r="1181" spans="1:12" hidden="1" x14ac:dyDescent="0.25">
      <c r="A1181" s="28" t="s">
        <v>1083</v>
      </c>
      <c r="B1181" s="28" t="s">
        <v>321</v>
      </c>
      <c r="C1181" s="30">
        <v>44428</v>
      </c>
      <c r="D1181" s="28">
        <v>130.35</v>
      </c>
      <c r="E1181" s="28">
        <v>130</v>
      </c>
      <c r="F1181" s="28">
        <v>130.35</v>
      </c>
      <c r="G1181" s="28">
        <v>126.15</v>
      </c>
      <c r="H1181" s="28">
        <v>127.27</v>
      </c>
      <c r="I1181" s="28">
        <v>226782</v>
      </c>
      <c r="J1181" s="28">
        <v>92439</v>
      </c>
      <c r="K1181" s="28">
        <v>40.76</v>
      </c>
      <c r="L1181" s="29">
        <f>SUM(NSE_BhavCopy[[#This Row],[ CLOSE_PRICE]]-NSE_BhavCopy[[#This Row],[ PREV_CLOSE]])/NSE_BhavCopy[[#This Row],[ PREV_CLOSE]]*100</f>
        <v>-3.2220943613348587</v>
      </c>
    </row>
    <row r="1182" spans="1:12" hidden="1" x14ac:dyDescent="0.25">
      <c r="A1182" s="28" t="s">
        <v>964</v>
      </c>
      <c r="B1182" s="28" t="s">
        <v>321</v>
      </c>
      <c r="C1182" s="30">
        <v>44428</v>
      </c>
      <c r="D1182" s="28">
        <v>1369.9</v>
      </c>
      <c r="E1182" s="28">
        <v>1367</v>
      </c>
      <c r="F1182" s="28">
        <v>1394.8</v>
      </c>
      <c r="G1182" s="28">
        <v>1291.8</v>
      </c>
      <c r="H1182" s="28">
        <v>1336.47</v>
      </c>
      <c r="I1182" s="28">
        <v>678995</v>
      </c>
      <c r="J1182" s="28">
        <v>276660</v>
      </c>
      <c r="K1182" s="28">
        <v>40.75</v>
      </c>
      <c r="L1182" s="29">
        <f>SUM(NSE_BhavCopy[[#This Row],[ CLOSE_PRICE]]-NSE_BhavCopy[[#This Row],[ PREV_CLOSE]])/NSE_BhavCopy[[#This Row],[ PREV_CLOSE]]*100</f>
        <v>-5.7011460690561444</v>
      </c>
    </row>
    <row r="1183" spans="1:12" hidden="1" x14ac:dyDescent="0.25">
      <c r="A1183" s="28" t="s">
        <v>45</v>
      </c>
      <c r="B1183" s="28" t="s">
        <v>321</v>
      </c>
      <c r="C1183" s="30">
        <v>44428</v>
      </c>
      <c r="D1183" s="28">
        <v>208.95</v>
      </c>
      <c r="E1183" s="28">
        <v>207</v>
      </c>
      <c r="F1183" s="28">
        <v>210.7</v>
      </c>
      <c r="G1183" s="28">
        <v>208.9</v>
      </c>
      <c r="H1183" s="28">
        <v>208.46</v>
      </c>
      <c r="I1183" s="28">
        <v>19421004</v>
      </c>
      <c r="J1183" s="28">
        <v>7894513</v>
      </c>
      <c r="K1183" s="28">
        <v>40.65</v>
      </c>
      <c r="L1183" s="29">
        <f>SUM(NSE_BhavCopy[[#This Row],[ CLOSE_PRICE]]-NSE_BhavCopy[[#This Row],[ PREV_CLOSE]])/NSE_BhavCopy[[#This Row],[ PREV_CLOSE]]*100</f>
        <v>-2.3929169657804714E-2</v>
      </c>
    </row>
    <row r="1184" spans="1:12" hidden="1" x14ac:dyDescent="0.25">
      <c r="A1184" s="28" t="s">
        <v>409</v>
      </c>
      <c r="B1184" s="28" t="s">
        <v>321</v>
      </c>
      <c r="C1184" s="30">
        <v>44428</v>
      </c>
      <c r="D1184" s="28">
        <v>250.6</v>
      </c>
      <c r="E1184" s="28">
        <v>241.15</v>
      </c>
      <c r="F1184" s="28">
        <v>250.55</v>
      </c>
      <c r="G1184" s="28">
        <v>239.65</v>
      </c>
      <c r="H1184" s="28">
        <v>240.88</v>
      </c>
      <c r="I1184" s="28">
        <v>1449605</v>
      </c>
      <c r="J1184" s="28">
        <v>587892</v>
      </c>
      <c r="K1184" s="28">
        <v>40.56</v>
      </c>
      <c r="L1184" s="29">
        <f>SUM(NSE_BhavCopy[[#This Row],[ CLOSE_PRICE]]-NSE_BhavCopy[[#This Row],[ PREV_CLOSE]])/NSE_BhavCopy[[#This Row],[ PREV_CLOSE]]*100</f>
        <v>-4.3695131683958461</v>
      </c>
    </row>
    <row r="1185" spans="1:12" hidden="1" x14ac:dyDescent="0.25">
      <c r="A1185" s="28" t="s">
        <v>28</v>
      </c>
      <c r="B1185" s="28" t="s">
        <v>321</v>
      </c>
      <c r="C1185" s="30">
        <v>44428</v>
      </c>
      <c r="D1185" s="28">
        <v>3001.55</v>
      </c>
      <c r="E1185" s="28">
        <v>3001.5</v>
      </c>
      <c r="F1185" s="28">
        <v>3124.05</v>
      </c>
      <c r="G1185" s="28">
        <v>3112.95</v>
      </c>
      <c r="H1185" s="28">
        <v>3076.13</v>
      </c>
      <c r="I1185" s="28">
        <v>3931334</v>
      </c>
      <c r="J1185" s="28">
        <v>1590560</v>
      </c>
      <c r="K1185" s="28">
        <v>40.46</v>
      </c>
      <c r="L1185" s="29">
        <f>SUM(NSE_BhavCopy[[#This Row],[ CLOSE_PRICE]]-NSE_BhavCopy[[#This Row],[ PREV_CLOSE]])/NSE_BhavCopy[[#This Row],[ PREV_CLOSE]]*100</f>
        <v>3.7114157685195859</v>
      </c>
    </row>
    <row r="1186" spans="1:12" hidden="1" x14ac:dyDescent="0.25">
      <c r="A1186" s="28" t="s">
        <v>766</v>
      </c>
      <c r="B1186" s="28" t="s">
        <v>321</v>
      </c>
      <c r="C1186" s="30">
        <v>44428</v>
      </c>
      <c r="D1186" s="28">
        <v>1234.1500000000001</v>
      </c>
      <c r="E1186" s="28">
        <v>1229</v>
      </c>
      <c r="F1186" s="28">
        <v>1254.9000000000001</v>
      </c>
      <c r="G1186" s="28">
        <v>1236.3</v>
      </c>
      <c r="H1186" s="28">
        <v>1242.19</v>
      </c>
      <c r="I1186" s="28">
        <v>1989898</v>
      </c>
      <c r="J1186" s="28">
        <v>802668</v>
      </c>
      <c r="K1186" s="28">
        <v>40.340000000000003</v>
      </c>
      <c r="L1186" s="29">
        <f>SUM(NSE_BhavCopy[[#This Row],[ CLOSE_PRICE]]-NSE_BhavCopy[[#This Row],[ PREV_CLOSE]])/NSE_BhavCopy[[#This Row],[ PREV_CLOSE]]*100</f>
        <v>0.17420896973624464</v>
      </c>
    </row>
    <row r="1187" spans="1:12" hidden="1" x14ac:dyDescent="0.25">
      <c r="A1187" s="28" t="s">
        <v>331</v>
      </c>
      <c r="B1187" s="28" t="s">
        <v>321</v>
      </c>
      <c r="C1187" s="30">
        <v>44428</v>
      </c>
      <c r="D1187" s="28">
        <v>2479.15</v>
      </c>
      <c r="E1187" s="28">
        <v>2478.75</v>
      </c>
      <c r="F1187" s="28">
        <v>2538.9</v>
      </c>
      <c r="G1187" s="28">
        <v>2381.65</v>
      </c>
      <c r="H1187" s="28">
        <v>2384.88</v>
      </c>
      <c r="I1187" s="28">
        <v>831440</v>
      </c>
      <c r="J1187" s="28">
        <v>335037</v>
      </c>
      <c r="K1187" s="28">
        <v>40.299999999999997</v>
      </c>
      <c r="L1187" s="29">
        <f>SUM(NSE_BhavCopy[[#This Row],[ CLOSE_PRICE]]-NSE_BhavCopy[[#This Row],[ PREV_CLOSE]])/NSE_BhavCopy[[#This Row],[ PREV_CLOSE]]*100</f>
        <v>-3.9327995482322566</v>
      </c>
    </row>
    <row r="1188" spans="1:12" hidden="1" x14ac:dyDescent="0.25">
      <c r="A1188" s="28" t="s">
        <v>884</v>
      </c>
      <c r="B1188" s="28" t="s">
        <v>321</v>
      </c>
      <c r="C1188" s="30">
        <v>44428</v>
      </c>
      <c r="D1188" s="28">
        <v>161</v>
      </c>
      <c r="E1188" s="28">
        <v>158.4</v>
      </c>
      <c r="F1188" s="28">
        <v>161.35</v>
      </c>
      <c r="G1188" s="28">
        <v>156.9</v>
      </c>
      <c r="H1188" s="28">
        <v>158.53</v>
      </c>
      <c r="I1188" s="28">
        <v>1306883</v>
      </c>
      <c r="J1188" s="28">
        <v>525295</v>
      </c>
      <c r="K1188" s="28">
        <v>40.19</v>
      </c>
      <c r="L1188" s="29">
        <f>SUM(NSE_BhavCopy[[#This Row],[ CLOSE_PRICE]]-NSE_BhavCopy[[#This Row],[ PREV_CLOSE]])/NSE_BhavCopy[[#This Row],[ PREV_CLOSE]]*100</f>
        <v>-2.5465838509316736</v>
      </c>
    </row>
    <row r="1189" spans="1:12" hidden="1" x14ac:dyDescent="0.25">
      <c r="A1189" s="28" t="s">
        <v>1077</v>
      </c>
      <c r="B1189" s="28" t="s">
        <v>321</v>
      </c>
      <c r="C1189" s="30">
        <v>44428</v>
      </c>
      <c r="D1189" s="28">
        <v>2797.35</v>
      </c>
      <c r="E1189" s="28">
        <v>2797.35</v>
      </c>
      <c r="F1189" s="28">
        <v>2825.3</v>
      </c>
      <c r="G1189" s="28">
        <v>2745.75</v>
      </c>
      <c r="H1189" s="28">
        <v>2774.81</v>
      </c>
      <c r="I1189" s="28">
        <v>291873</v>
      </c>
      <c r="J1189" s="28">
        <v>117272</v>
      </c>
      <c r="K1189" s="28">
        <v>40.18</v>
      </c>
      <c r="L1189" s="29">
        <f>SUM(NSE_BhavCopy[[#This Row],[ CLOSE_PRICE]]-NSE_BhavCopy[[#This Row],[ PREV_CLOSE]])/NSE_BhavCopy[[#This Row],[ PREV_CLOSE]]*100</f>
        <v>-1.8446029277709231</v>
      </c>
    </row>
    <row r="1190" spans="1:12" hidden="1" x14ac:dyDescent="0.25">
      <c r="A1190" s="28" t="s">
        <v>1251</v>
      </c>
      <c r="B1190" s="28" t="s">
        <v>321</v>
      </c>
      <c r="C1190" s="30">
        <v>44428</v>
      </c>
      <c r="D1190" s="28">
        <v>344.6</v>
      </c>
      <c r="E1190" s="28">
        <v>339</v>
      </c>
      <c r="F1190" s="28">
        <v>342.95</v>
      </c>
      <c r="G1190" s="28">
        <v>331.95</v>
      </c>
      <c r="H1190" s="28">
        <v>334.21</v>
      </c>
      <c r="I1190" s="28">
        <v>675572</v>
      </c>
      <c r="J1190" s="28">
        <v>271432</v>
      </c>
      <c r="K1190" s="28">
        <v>40.18</v>
      </c>
      <c r="L1190" s="29">
        <f>SUM(NSE_BhavCopy[[#This Row],[ CLOSE_PRICE]]-NSE_BhavCopy[[#This Row],[ PREV_CLOSE]])/NSE_BhavCopy[[#This Row],[ PREV_CLOSE]]*100</f>
        <v>-3.6709228090539852</v>
      </c>
    </row>
    <row r="1191" spans="1:12" hidden="1" x14ac:dyDescent="0.25">
      <c r="A1191" s="28" t="s">
        <v>340</v>
      </c>
      <c r="B1191" s="28" t="s">
        <v>321</v>
      </c>
      <c r="C1191" s="30">
        <v>44428</v>
      </c>
      <c r="D1191" s="28">
        <v>214.35</v>
      </c>
      <c r="E1191" s="28">
        <v>212.7</v>
      </c>
      <c r="F1191" s="28">
        <v>215.95</v>
      </c>
      <c r="G1191" s="28">
        <v>208.15</v>
      </c>
      <c r="H1191" s="28">
        <v>210.53</v>
      </c>
      <c r="I1191" s="28">
        <v>428915</v>
      </c>
      <c r="J1191" s="28">
        <v>172225</v>
      </c>
      <c r="K1191" s="28">
        <v>40.15</v>
      </c>
      <c r="L1191" s="29">
        <f>SUM(NSE_BhavCopy[[#This Row],[ CLOSE_PRICE]]-NSE_BhavCopy[[#This Row],[ PREV_CLOSE]])/NSE_BhavCopy[[#This Row],[ PREV_CLOSE]]*100</f>
        <v>-2.8924655936552317</v>
      </c>
    </row>
    <row r="1192" spans="1:12" hidden="1" x14ac:dyDescent="0.25">
      <c r="A1192" s="28" t="s">
        <v>503</v>
      </c>
      <c r="B1192" s="28" t="s">
        <v>321</v>
      </c>
      <c r="C1192" s="30">
        <v>44428</v>
      </c>
      <c r="D1192" s="28">
        <v>328.3</v>
      </c>
      <c r="E1192" s="28">
        <v>323.85000000000002</v>
      </c>
      <c r="F1192" s="28">
        <v>324.45</v>
      </c>
      <c r="G1192" s="28">
        <v>315.10000000000002</v>
      </c>
      <c r="H1192" s="28">
        <v>317.54000000000002</v>
      </c>
      <c r="I1192" s="28">
        <v>126064</v>
      </c>
      <c r="J1192" s="28">
        <v>50543</v>
      </c>
      <c r="K1192" s="28">
        <v>40.090000000000003</v>
      </c>
      <c r="L1192" s="29">
        <f>SUM(NSE_BhavCopy[[#This Row],[ CLOSE_PRICE]]-NSE_BhavCopy[[#This Row],[ PREV_CLOSE]])/NSE_BhavCopy[[#This Row],[ PREV_CLOSE]]*100</f>
        <v>-4.0207127627170234</v>
      </c>
    </row>
    <row r="1193" spans="1:12" hidden="1" x14ac:dyDescent="0.25">
      <c r="A1193" s="28" t="s">
        <v>534</v>
      </c>
      <c r="B1193" s="28" t="s">
        <v>321</v>
      </c>
      <c r="C1193" s="30">
        <v>44428</v>
      </c>
      <c r="D1193" s="28">
        <v>789.45</v>
      </c>
      <c r="E1193" s="28">
        <v>778</v>
      </c>
      <c r="F1193" s="28">
        <v>788.7</v>
      </c>
      <c r="G1193" s="28">
        <v>766.95</v>
      </c>
      <c r="H1193" s="28">
        <v>773.41</v>
      </c>
      <c r="I1193" s="28">
        <v>410231</v>
      </c>
      <c r="J1193" s="28">
        <v>163913</v>
      </c>
      <c r="K1193" s="28">
        <v>39.96</v>
      </c>
      <c r="L1193" s="29">
        <f>SUM(NSE_BhavCopy[[#This Row],[ CLOSE_PRICE]]-NSE_BhavCopy[[#This Row],[ PREV_CLOSE]])/NSE_BhavCopy[[#This Row],[ PREV_CLOSE]]*100</f>
        <v>-2.8500855025650766</v>
      </c>
    </row>
    <row r="1194" spans="1:12" hidden="1" x14ac:dyDescent="0.25">
      <c r="A1194" s="28" t="s">
        <v>1572</v>
      </c>
      <c r="B1194" s="28" t="s">
        <v>321</v>
      </c>
      <c r="C1194" s="30">
        <v>44428</v>
      </c>
      <c r="D1194" s="28">
        <v>119.1</v>
      </c>
      <c r="E1194" s="28">
        <v>116.4</v>
      </c>
      <c r="F1194" s="28">
        <v>122.05</v>
      </c>
      <c r="G1194" s="28">
        <v>113.7</v>
      </c>
      <c r="H1194" s="28">
        <v>114.65</v>
      </c>
      <c r="I1194" s="28">
        <v>487081</v>
      </c>
      <c r="J1194" s="28">
        <v>194212</v>
      </c>
      <c r="K1194" s="28">
        <v>39.869999999999997</v>
      </c>
      <c r="L1194" s="29">
        <f>SUM(NSE_BhavCopy[[#This Row],[ CLOSE_PRICE]]-NSE_BhavCopy[[#This Row],[ PREV_CLOSE]])/NSE_BhavCopy[[#This Row],[ PREV_CLOSE]]*100</f>
        <v>-4.5340050377833681</v>
      </c>
    </row>
    <row r="1195" spans="1:12" hidden="1" x14ac:dyDescent="0.25">
      <c r="A1195" s="28" t="s">
        <v>906</v>
      </c>
      <c r="B1195" s="28" t="s">
        <v>321</v>
      </c>
      <c r="C1195" s="30">
        <v>44428</v>
      </c>
      <c r="D1195" s="28">
        <v>109.6</v>
      </c>
      <c r="E1195" s="28">
        <v>108.7</v>
      </c>
      <c r="F1195" s="28">
        <v>109.75</v>
      </c>
      <c r="G1195" s="28">
        <v>105.65</v>
      </c>
      <c r="H1195" s="28">
        <v>107.07</v>
      </c>
      <c r="I1195" s="28">
        <v>164680</v>
      </c>
      <c r="J1195" s="28">
        <v>65615</v>
      </c>
      <c r="K1195" s="28">
        <v>39.840000000000003</v>
      </c>
      <c r="L1195" s="29">
        <f>SUM(NSE_BhavCopy[[#This Row],[ CLOSE_PRICE]]-NSE_BhavCopy[[#This Row],[ PREV_CLOSE]])/NSE_BhavCopy[[#This Row],[ PREV_CLOSE]]*100</f>
        <v>-3.6040145985401359</v>
      </c>
    </row>
    <row r="1196" spans="1:12" hidden="1" x14ac:dyDescent="0.25">
      <c r="A1196" s="28" t="s">
        <v>931</v>
      </c>
      <c r="B1196" s="28" t="s">
        <v>321</v>
      </c>
      <c r="C1196" s="30">
        <v>44428</v>
      </c>
      <c r="D1196" s="28">
        <v>106.15</v>
      </c>
      <c r="E1196" s="28">
        <v>106</v>
      </c>
      <c r="F1196" s="28">
        <v>106</v>
      </c>
      <c r="G1196" s="28">
        <v>103.2</v>
      </c>
      <c r="H1196" s="28">
        <v>103.73</v>
      </c>
      <c r="I1196" s="28">
        <v>265580</v>
      </c>
      <c r="J1196" s="28">
        <v>105764</v>
      </c>
      <c r="K1196" s="28">
        <v>39.82</v>
      </c>
      <c r="L1196" s="29">
        <f>SUM(NSE_BhavCopy[[#This Row],[ CLOSE_PRICE]]-NSE_BhavCopy[[#This Row],[ PREV_CLOSE]])/NSE_BhavCopy[[#This Row],[ PREV_CLOSE]]*100</f>
        <v>-2.7790861987753206</v>
      </c>
    </row>
    <row r="1197" spans="1:12" hidden="1" x14ac:dyDescent="0.25">
      <c r="A1197" s="28" t="s">
        <v>1286</v>
      </c>
      <c r="B1197" s="28" t="s">
        <v>321</v>
      </c>
      <c r="C1197" s="30">
        <v>44428</v>
      </c>
      <c r="D1197" s="28">
        <v>2.65</v>
      </c>
      <c r="E1197" s="28">
        <v>2.5499999999999998</v>
      </c>
      <c r="F1197" s="28">
        <v>2.65</v>
      </c>
      <c r="G1197" s="28">
        <v>2.5499999999999998</v>
      </c>
      <c r="H1197" s="28">
        <v>2.56</v>
      </c>
      <c r="I1197" s="28">
        <v>19033166</v>
      </c>
      <c r="J1197" s="28">
        <v>7579060</v>
      </c>
      <c r="K1197" s="28">
        <v>39.82</v>
      </c>
      <c r="L1197" s="29">
        <f>SUM(NSE_BhavCopy[[#This Row],[ CLOSE_PRICE]]-NSE_BhavCopy[[#This Row],[ PREV_CLOSE]])/NSE_BhavCopy[[#This Row],[ PREV_CLOSE]]*100</f>
        <v>-3.7735849056603805</v>
      </c>
    </row>
    <row r="1198" spans="1:12" hidden="1" x14ac:dyDescent="0.25">
      <c r="A1198" s="28" t="s">
        <v>682</v>
      </c>
      <c r="B1198" s="28" t="s">
        <v>321</v>
      </c>
      <c r="C1198" s="30">
        <v>44428</v>
      </c>
      <c r="D1198" s="28">
        <v>146.85</v>
      </c>
      <c r="E1198" s="28">
        <v>143</v>
      </c>
      <c r="F1198" s="28">
        <v>145.35</v>
      </c>
      <c r="G1198" s="28">
        <v>140.55000000000001</v>
      </c>
      <c r="H1198" s="28">
        <v>141.31</v>
      </c>
      <c r="I1198" s="28">
        <v>1190973</v>
      </c>
      <c r="J1198" s="28">
        <v>473937</v>
      </c>
      <c r="K1198" s="28">
        <v>39.79</v>
      </c>
      <c r="L1198" s="29">
        <f>SUM(NSE_BhavCopy[[#This Row],[ CLOSE_PRICE]]-NSE_BhavCopy[[#This Row],[ PREV_CLOSE]])/NSE_BhavCopy[[#This Row],[ PREV_CLOSE]]*100</f>
        <v>-4.2900919305413572</v>
      </c>
    </row>
    <row r="1199" spans="1:12" hidden="1" x14ac:dyDescent="0.25">
      <c r="A1199" s="28" t="s">
        <v>339</v>
      </c>
      <c r="B1199" s="28" t="s">
        <v>321</v>
      </c>
      <c r="C1199" s="30">
        <v>44428</v>
      </c>
      <c r="D1199" s="28">
        <v>103.25</v>
      </c>
      <c r="E1199" s="28">
        <v>96.5</v>
      </c>
      <c r="F1199" s="28">
        <v>121</v>
      </c>
      <c r="G1199" s="28">
        <v>114.6</v>
      </c>
      <c r="H1199" s="28">
        <v>113.11</v>
      </c>
      <c r="I1199" s="28">
        <v>292744</v>
      </c>
      <c r="J1199" s="28">
        <v>116463</v>
      </c>
      <c r="K1199" s="28">
        <v>39.78</v>
      </c>
      <c r="L1199" s="29">
        <f>SUM(NSE_BhavCopy[[#This Row],[ CLOSE_PRICE]]-NSE_BhavCopy[[#This Row],[ PREV_CLOSE]])/NSE_BhavCopy[[#This Row],[ PREV_CLOSE]]*100</f>
        <v>10.992736077481835</v>
      </c>
    </row>
    <row r="1200" spans="1:12" hidden="1" x14ac:dyDescent="0.25">
      <c r="A1200" s="28" t="s">
        <v>967</v>
      </c>
      <c r="B1200" s="28" t="s">
        <v>321</v>
      </c>
      <c r="C1200" s="30">
        <v>44428</v>
      </c>
      <c r="D1200" s="28">
        <v>491.9</v>
      </c>
      <c r="E1200" s="28">
        <v>483</v>
      </c>
      <c r="F1200" s="28">
        <v>500</v>
      </c>
      <c r="G1200" s="28">
        <v>479.5</v>
      </c>
      <c r="H1200" s="28">
        <v>485.31</v>
      </c>
      <c r="I1200" s="28">
        <v>134877</v>
      </c>
      <c r="J1200" s="28">
        <v>53645</v>
      </c>
      <c r="K1200" s="28">
        <v>39.770000000000003</v>
      </c>
      <c r="L1200" s="29">
        <f>SUM(NSE_BhavCopy[[#This Row],[ CLOSE_PRICE]]-NSE_BhavCopy[[#This Row],[ PREV_CLOSE]])/NSE_BhavCopy[[#This Row],[ PREV_CLOSE]]*100</f>
        <v>-2.5208375686115021</v>
      </c>
    </row>
    <row r="1201" spans="1:12" hidden="1" x14ac:dyDescent="0.25">
      <c r="A1201" s="28" t="s">
        <v>1806</v>
      </c>
      <c r="B1201" s="28" t="s">
        <v>321</v>
      </c>
      <c r="C1201" s="30">
        <v>44428</v>
      </c>
      <c r="D1201" s="28">
        <v>388.3</v>
      </c>
      <c r="E1201" s="28">
        <v>383.1</v>
      </c>
      <c r="F1201" s="28">
        <v>385.5</v>
      </c>
      <c r="G1201" s="28">
        <v>366.7</v>
      </c>
      <c r="H1201" s="28">
        <v>374.46</v>
      </c>
      <c r="I1201" s="28">
        <v>575989</v>
      </c>
      <c r="J1201" s="28">
        <v>228925</v>
      </c>
      <c r="K1201" s="28">
        <v>39.74</v>
      </c>
      <c r="L1201" s="29">
        <f>SUM(NSE_BhavCopy[[#This Row],[ CLOSE_PRICE]]-NSE_BhavCopy[[#This Row],[ PREV_CLOSE]])/NSE_BhavCopy[[#This Row],[ PREV_CLOSE]]*100</f>
        <v>-5.5627092454287981</v>
      </c>
    </row>
    <row r="1202" spans="1:12" hidden="1" x14ac:dyDescent="0.25">
      <c r="A1202" s="28" t="s">
        <v>763</v>
      </c>
      <c r="B1202" s="28" t="s">
        <v>321</v>
      </c>
      <c r="C1202" s="30">
        <v>44428</v>
      </c>
      <c r="D1202" s="28">
        <v>188</v>
      </c>
      <c r="E1202" s="28">
        <v>187</v>
      </c>
      <c r="F1202" s="28">
        <v>194.3</v>
      </c>
      <c r="G1202" s="28">
        <v>189.25</v>
      </c>
      <c r="H1202" s="28">
        <v>190.92</v>
      </c>
      <c r="I1202" s="28">
        <v>150293</v>
      </c>
      <c r="J1202" s="28">
        <v>59674</v>
      </c>
      <c r="K1202" s="28">
        <v>39.71</v>
      </c>
      <c r="L1202" s="29">
        <f>SUM(NSE_BhavCopy[[#This Row],[ CLOSE_PRICE]]-NSE_BhavCopy[[#This Row],[ PREV_CLOSE]])/NSE_BhavCopy[[#This Row],[ PREV_CLOSE]]*100</f>
        <v>0.66489361702127658</v>
      </c>
    </row>
    <row r="1203" spans="1:12" hidden="1" x14ac:dyDescent="0.25">
      <c r="A1203" s="28" t="s">
        <v>762</v>
      </c>
      <c r="B1203" s="28" t="s">
        <v>321</v>
      </c>
      <c r="C1203" s="30">
        <v>44428</v>
      </c>
      <c r="D1203" s="28">
        <v>1432.85</v>
      </c>
      <c r="E1203" s="28">
        <v>1416.8</v>
      </c>
      <c r="F1203" s="28">
        <v>1475</v>
      </c>
      <c r="G1203" s="28">
        <v>1422.3</v>
      </c>
      <c r="H1203" s="28">
        <v>1446.98</v>
      </c>
      <c r="I1203" s="28">
        <v>1842429</v>
      </c>
      <c r="J1203" s="28">
        <v>730032</v>
      </c>
      <c r="K1203" s="28">
        <v>39.619999999999997</v>
      </c>
      <c r="L1203" s="29">
        <f>SUM(NSE_BhavCopy[[#This Row],[ CLOSE_PRICE]]-NSE_BhavCopy[[#This Row],[ PREV_CLOSE]])/NSE_BhavCopy[[#This Row],[ PREV_CLOSE]]*100</f>
        <v>-0.73629479708273415</v>
      </c>
    </row>
    <row r="1204" spans="1:12" hidden="1" x14ac:dyDescent="0.25">
      <c r="A1204" s="28" t="s">
        <v>1450</v>
      </c>
      <c r="B1204" s="28" t="s">
        <v>321</v>
      </c>
      <c r="C1204" s="30">
        <v>44428</v>
      </c>
      <c r="D1204" s="28">
        <v>86.2</v>
      </c>
      <c r="E1204" s="28">
        <v>83.05</v>
      </c>
      <c r="F1204" s="28">
        <v>84.45</v>
      </c>
      <c r="G1204" s="28">
        <v>81.45</v>
      </c>
      <c r="H1204" s="28">
        <v>82.65</v>
      </c>
      <c r="I1204" s="28">
        <v>982718</v>
      </c>
      <c r="J1204" s="28">
        <v>388820</v>
      </c>
      <c r="K1204" s="28">
        <v>39.57</v>
      </c>
      <c r="L1204" s="29">
        <f>SUM(NSE_BhavCopy[[#This Row],[ CLOSE_PRICE]]-NSE_BhavCopy[[#This Row],[ PREV_CLOSE]])/NSE_BhavCopy[[#This Row],[ PREV_CLOSE]]*100</f>
        <v>-5.510440835266821</v>
      </c>
    </row>
    <row r="1205" spans="1:12" hidden="1" x14ac:dyDescent="0.25">
      <c r="A1205" s="28" t="s">
        <v>1367</v>
      </c>
      <c r="B1205" s="28" t="s">
        <v>321</v>
      </c>
      <c r="C1205" s="30">
        <v>44428</v>
      </c>
      <c r="D1205" s="28">
        <v>99.7</v>
      </c>
      <c r="E1205" s="28">
        <v>101.9</v>
      </c>
      <c r="F1205" s="28">
        <v>103.1</v>
      </c>
      <c r="G1205" s="28">
        <v>97.75</v>
      </c>
      <c r="H1205" s="28">
        <v>99.5</v>
      </c>
      <c r="I1205" s="28">
        <v>376490</v>
      </c>
      <c r="J1205" s="28">
        <v>148884</v>
      </c>
      <c r="K1205" s="28">
        <v>39.549999999999997</v>
      </c>
      <c r="L1205" s="29">
        <f>SUM(NSE_BhavCopy[[#This Row],[ CLOSE_PRICE]]-NSE_BhavCopy[[#This Row],[ PREV_CLOSE]])/NSE_BhavCopy[[#This Row],[ PREV_CLOSE]]*100</f>
        <v>-1.9558676028084281</v>
      </c>
    </row>
    <row r="1206" spans="1:12" hidden="1" x14ac:dyDescent="0.25">
      <c r="A1206" s="28" t="s">
        <v>858</v>
      </c>
      <c r="B1206" s="28" t="s">
        <v>321</v>
      </c>
      <c r="C1206" s="30">
        <v>44428</v>
      </c>
      <c r="D1206" s="28">
        <v>125.3</v>
      </c>
      <c r="E1206" s="28">
        <v>124.2</v>
      </c>
      <c r="F1206" s="28">
        <v>126.9</v>
      </c>
      <c r="G1206" s="28">
        <v>121.65</v>
      </c>
      <c r="H1206" s="28">
        <v>123.58</v>
      </c>
      <c r="I1206" s="28">
        <v>2224961</v>
      </c>
      <c r="J1206" s="28">
        <v>878100</v>
      </c>
      <c r="K1206" s="28">
        <v>39.47</v>
      </c>
      <c r="L1206" s="29">
        <f>SUM(NSE_BhavCopy[[#This Row],[ CLOSE_PRICE]]-NSE_BhavCopy[[#This Row],[ PREV_CLOSE]])/NSE_BhavCopy[[#This Row],[ PREV_CLOSE]]*100</f>
        <v>-2.9130087789305601</v>
      </c>
    </row>
    <row r="1207" spans="1:12" hidden="1" x14ac:dyDescent="0.25">
      <c r="A1207" s="28" t="s">
        <v>683</v>
      </c>
      <c r="B1207" s="28" t="s">
        <v>321</v>
      </c>
      <c r="C1207" s="30">
        <v>44428</v>
      </c>
      <c r="D1207" s="28">
        <v>172.2</v>
      </c>
      <c r="E1207" s="28">
        <v>167</v>
      </c>
      <c r="F1207" s="28">
        <v>175.4</v>
      </c>
      <c r="G1207" s="28">
        <v>167.85</v>
      </c>
      <c r="H1207" s="28">
        <v>171.78</v>
      </c>
      <c r="I1207" s="28">
        <v>472222</v>
      </c>
      <c r="J1207" s="28">
        <v>186322</v>
      </c>
      <c r="K1207" s="28">
        <v>39.46</v>
      </c>
      <c r="L1207" s="29">
        <f>SUM(NSE_BhavCopy[[#This Row],[ CLOSE_PRICE]]-NSE_BhavCopy[[#This Row],[ PREV_CLOSE]])/NSE_BhavCopy[[#This Row],[ PREV_CLOSE]]*100</f>
        <v>-2.5261324041811815</v>
      </c>
    </row>
    <row r="1208" spans="1:12" hidden="1" x14ac:dyDescent="0.25">
      <c r="A1208" s="28" t="s">
        <v>1269</v>
      </c>
      <c r="B1208" s="28" t="s">
        <v>321</v>
      </c>
      <c r="C1208" s="30">
        <v>44428</v>
      </c>
      <c r="D1208" s="28">
        <v>904.2</v>
      </c>
      <c r="E1208" s="28">
        <v>890</v>
      </c>
      <c r="F1208" s="28">
        <v>901.1</v>
      </c>
      <c r="G1208" s="28">
        <v>884.35</v>
      </c>
      <c r="H1208" s="28">
        <v>889.57</v>
      </c>
      <c r="I1208" s="28">
        <v>224072</v>
      </c>
      <c r="J1208" s="28">
        <v>88336</v>
      </c>
      <c r="K1208" s="28">
        <v>39.42</v>
      </c>
      <c r="L1208" s="29">
        <f>SUM(NSE_BhavCopy[[#This Row],[ CLOSE_PRICE]]-NSE_BhavCopy[[#This Row],[ PREV_CLOSE]])/NSE_BhavCopy[[#This Row],[ PREV_CLOSE]]*100</f>
        <v>-2.19531077195311</v>
      </c>
    </row>
    <row r="1209" spans="1:12" hidden="1" x14ac:dyDescent="0.25">
      <c r="A1209" s="28" t="s">
        <v>462</v>
      </c>
      <c r="B1209" s="28" t="s">
        <v>321</v>
      </c>
      <c r="C1209" s="30">
        <v>44428</v>
      </c>
      <c r="D1209" s="28">
        <v>3487.2</v>
      </c>
      <c r="E1209" s="28">
        <v>3400</v>
      </c>
      <c r="F1209" s="28">
        <v>3577.9</v>
      </c>
      <c r="G1209" s="28">
        <v>3543</v>
      </c>
      <c r="H1209" s="28">
        <v>3491.1</v>
      </c>
      <c r="I1209" s="28">
        <v>52579</v>
      </c>
      <c r="J1209" s="28">
        <v>20702</v>
      </c>
      <c r="K1209" s="28">
        <v>39.369999999999997</v>
      </c>
      <c r="L1209" s="29">
        <f>SUM(NSE_BhavCopy[[#This Row],[ CLOSE_PRICE]]-NSE_BhavCopy[[#This Row],[ PREV_CLOSE]])/NSE_BhavCopy[[#This Row],[ PREV_CLOSE]]*100</f>
        <v>1.600137646249145</v>
      </c>
    </row>
    <row r="1210" spans="1:12" hidden="1" x14ac:dyDescent="0.25">
      <c r="A1210" s="28" t="s">
        <v>1165</v>
      </c>
      <c r="B1210" s="28" t="s">
        <v>321</v>
      </c>
      <c r="C1210" s="30">
        <v>44428</v>
      </c>
      <c r="D1210" s="28">
        <v>51.95</v>
      </c>
      <c r="E1210" s="28">
        <v>51.95</v>
      </c>
      <c r="F1210" s="28">
        <v>53.05</v>
      </c>
      <c r="G1210" s="28">
        <v>51.25</v>
      </c>
      <c r="H1210" s="28">
        <v>51.93</v>
      </c>
      <c r="I1210" s="28">
        <v>2273107</v>
      </c>
      <c r="J1210" s="28">
        <v>893894</v>
      </c>
      <c r="K1210" s="28">
        <v>39.32</v>
      </c>
      <c r="L1210" s="29">
        <f>SUM(NSE_BhavCopy[[#This Row],[ CLOSE_PRICE]]-NSE_BhavCopy[[#This Row],[ PREV_CLOSE]])/NSE_BhavCopy[[#This Row],[ PREV_CLOSE]]*100</f>
        <v>-1.3474494706448563</v>
      </c>
    </row>
    <row r="1211" spans="1:12" hidden="1" x14ac:dyDescent="0.25">
      <c r="A1211" s="28" t="s">
        <v>1446</v>
      </c>
      <c r="B1211" s="28" t="s">
        <v>321</v>
      </c>
      <c r="C1211" s="30">
        <v>44428</v>
      </c>
      <c r="D1211" s="28">
        <v>2447.9499999999998</v>
      </c>
      <c r="E1211" s="28">
        <v>2460.1999999999998</v>
      </c>
      <c r="F1211" s="28">
        <v>2460.1999999999998</v>
      </c>
      <c r="G1211" s="28">
        <v>2438.85</v>
      </c>
      <c r="H1211" s="28">
        <v>2433.5700000000002</v>
      </c>
      <c r="I1211" s="28">
        <v>12292</v>
      </c>
      <c r="J1211" s="28">
        <v>4814</v>
      </c>
      <c r="K1211" s="28">
        <v>39.159999999999997</v>
      </c>
      <c r="L1211" s="29">
        <f>SUM(NSE_BhavCopy[[#This Row],[ CLOSE_PRICE]]-NSE_BhavCopy[[#This Row],[ PREV_CLOSE]])/NSE_BhavCopy[[#This Row],[ PREV_CLOSE]]*100</f>
        <v>-0.3717396188647607</v>
      </c>
    </row>
    <row r="1212" spans="1:12" hidden="1" x14ac:dyDescent="0.25">
      <c r="A1212" s="28" t="s">
        <v>571</v>
      </c>
      <c r="B1212" s="28" t="s">
        <v>321</v>
      </c>
      <c r="C1212" s="30">
        <v>44428</v>
      </c>
      <c r="D1212" s="28">
        <v>149.44999999999999</v>
      </c>
      <c r="E1212" s="28">
        <v>149.30000000000001</v>
      </c>
      <c r="F1212" s="28">
        <v>149.30000000000001</v>
      </c>
      <c r="G1212" s="28">
        <v>146.25</v>
      </c>
      <c r="H1212" s="28">
        <v>147.44999999999999</v>
      </c>
      <c r="I1212" s="28">
        <v>942381</v>
      </c>
      <c r="J1212" s="28">
        <v>367666</v>
      </c>
      <c r="K1212" s="28">
        <v>39.01</v>
      </c>
      <c r="L1212" s="29">
        <f>SUM(NSE_BhavCopy[[#This Row],[ CLOSE_PRICE]]-NSE_BhavCopy[[#This Row],[ PREV_CLOSE]])/NSE_BhavCopy[[#This Row],[ PREV_CLOSE]]*100</f>
        <v>-2.1411843425894874</v>
      </c>
    </row>
    <row r="1213" spans="1:12" hidden="1" x14ac:dyDescent="0.25">
      <c r="A1213" s="28" t="s">
        <v>736</v>
      </c>
      <c r="B1213" s="28" t="s">
        <v>321</v>
      </c>
      <c r="C1213" s="30">
        <v>44428</v>
      </c>
      <c r="D1213" s="28">
        <v>1040.5</v>
      </c>
      <c r="E1213" s="28">
        <v>1062</v>
      </c>
      <c r="F1213" s="28">
        <v>1062</v>
      </c>
      <c r="G1213" s="28">
        <v>1030.5999999999999</v>
      </c>
      <c r="H1213" s="28">
        <v>1031.3800000000001</v>
      </c>
      <c r="I1213" s="28">
        <v>31513</v>
      </c>
      <c r="J1213" s="28">
        <v>12279</v>
      </c>
      <c r="K1213" s="28">
        <v>38.96</v>
      </c>
      <c r="L1213" s="29">
        <f>SUM(NSE_BhavCopy[[#This Row],[ CLOSE_PRICE]]-NSE_BhavCopy[[#This Row],[ PREV_CLOSE]])/NSE_BhavCopy[[#This Row],[ PREV_CLOSE]]*100</f>
        <v>-0.95146564151850943</v>
      </c>
    </row>
    <row r="1214" spans="1:12" hidden="1" x14ac:dyDescent="0.25">
      <c r="A1214" s="28" t="s">
        <v>665</v>
      </c>
      <c r="B1214" s="28" t="s">
        <v>321</v>
      </c>
      <c r="C1214" s="30">
        <v>44428</v>
      </c>
      <c r="D1214" s="28">
        <v>83.25</v>
      </c>
      <c r="E1214" s="28">
        <v>82.35</v>
      </c>
      <c r="F1214" s="28">
        <v>82.85</v>
      </c>
      <c r="G1214" s="28">
        <v>79.900000000000006</v>
      </c>
      <c r="H1214" s="28">
        <v>80.790000000000006</v>
      </c>
      <c r="I1214" s="28">
        <v>17753165</v>
      </c>
      <c r="J1214" s="28">
        <v>6908710</v>
      </c>
      <c r="K1214" s="28">
        <v>38.92</v>
      </c>
      <c r="L1214" s="29">
        <f>SUM(NSE_BhavCopy[[#This Row],[ CLOSE_PRICE]]-NSE_BhavCopy[[#This Row],[ PREV_CLOSE]])/NSE_BhavCopy[[#This Row],[ PREV_CLOSE]]*100</f>
        <v>-4.0240240240240173</v>
      </c>
    </row>
    <row r="1215" spans="1:12" hidden="1" x14ac:dyDescent="0.25">
      <c r="A1215" s="28" t="s">
        <v>332</v>
      </c>
      <c r="B1215" s="28" t="s">
        <v>321</v>
      </c>
      <c r="C1215" s="30">
        <v>44428</v>
      </c>
      <c r="D1215" s="28">
        <v>1761.3</v>
      </c>
      <c r="E1215" s="28">
        <v>1764</v>
      </c>
      <c r="F1215" s="28">
        <v>1807.1</v>
      </c>
      <c r="G1215" s="28">
        <v>1714.65</v>
      </c>
      <c r="H1215" s="28">
        <v>1767.93</v>
      </c>
      <c r="I1215" s="28">
        <v>161033</v>
      </c>
      <c r="J1215" s="28">
        <v>62534</v>
      </c>
      <c r="K1215" s="28">
        <v>38.83</v>
      </c>
      <c r="L1215" s="29">
        <f>SUM(NSE_BhavCopy[[#This Row],[ CLOSE_PRICE]]-NSE_BhavCopy[[#This Row],[ PREV_CLOSE]])/NSE_BhavCopy[[#This Row],[ PREV_CLOSE]]*100</f>
        <v>-2.6486118208141636</v>
      </c>
    </row>
    <row r="1216" spans="1:12" hidden="1" x14ac:dyDescent="0.25">
      <c r="A1216" s="28" t="s">
        <v>1326</v>
      </c>
      <c r="B1216" s="28" t="s">
        <v>321</v>
      </c>
      <c r="C1216" s="30">
        <v>44428</v>
      </c>
      <c r="D1216" s="28">
        <v>176.8</v>
      </c>
      <c r="E1216" s="28">
        <v>170</v>
      </c>
      <c r="F1216" s="28">
        <v>174.3</v>
      </c>
      <c r="G1216" s="28">
        <v>165.4</v>
      </c>
      <c r="H1216" s="28">
        <v>168.33</v>
      </c>
      <c r="I1216" s="28">
        <v>127562</v>
      </c>
      <c r="J1216" s="28">
        <v>49533</v>
      </c>
      <c r="K1216" s="28">
        <v>38.83</v>
      </c>
      <c r="L1216" s="29">
        <f>SUM(NSE_BhavCopy[[#This Row],[ CLOSE_PRICE]]-NSE_BhavCopy[[#This Row],[ PREV_CLOSE]])/NSE_BhavCopy[[#This Row],[ PREV_CLOSE]]*100</f>
        <v>-6.4479638009049811</v>
      </c>
    </row>
    <row r="1217" spans="1:12" hidden="1" x14ac:dyDescent="0.25">
      <c r="A1217" s="28" t="s">
        <v>47</v>
      </c>
      <c r="B1217" s="28" t="s">
        <v>321</v>
      </c>
      <c r="C1217" s="30">
        <v>44428</v>
      </c>
      <c r="D1217" s="28">
        <v>3720.75</v>
      </c>
      <c r="E1217" s="28">
        <v>3640</v>
      </c>
      <c r="F1217" s="28">
        <v>3967.5</v>
      </c>
      <c r="G1217" s="28">
        <v>3895.95</v>
      </c>
      <c r="H1217" s="28">
        <v>3853.34</v>
      </c>
      <c r="I1217" s="28">
        <v>1567252</v>
      </c>
      <c r="J1217" s="28">
        <v>607479</v>
      </c>
      <c r="K1217" s="28">
        <v>38.76</v>
      </c>
      <c r="L1217" s="29">
        <f>SUM(NSE_BhavCopy[[#This Row],[ CLOSE_PRICE]]-NSE_BhavCopy[[#This Row],[ PREV_CLOSE]])/NSE_BhavCopy[[#This Row],[ PREV_CLOSE]]*100</f>
        <v>4.7087280790163222</v>
      </c>
    </row>
    <row r="1218" spans="1:12" hidden="1" x14ac:dyDescent="0.25">
      <c r="A1218" s="28" t="s">
        <v>1602</v>
      </c>
      <c r="B1218" s="28" t="s">
        <v>321</v>
      </c>
      <c r="C1218" s="30">
        <v>44428</v>
      </c>
      <c r="D1218" s="28">
        <v>115.55</v>
      </c>
      <c r="E1218" s="28">
        <v>113</v>
      </c>
      <c r="F1218" s="28">
        <v>118</v>
      </c>
      <c r="G1218" s="28">
        <v>112.55</v>
      </c>
      <c r="H1218" s="28">
        <v>114.09</v>
      </c>
      <c r="I1218" s="28">
        <v>173636</v>
      </c>
      <c r="J1218" s="28">
        <v>67292</v>
      </c>
      <c r="K1218" s="28">
        <v>38.75</v>
      </c>
      <c r="L1218" s="29">
        <f>SUM(NSE_BhavCopy[[#This Row],[ CLOSE_PRICE]]-NSE_BhavCopy[[#This Row],[ PREV_CLOSE]])/NSE_BhavCopy[[#This Row],[ PREV_CLOSE]]*100</f>
        <v>-2.5962786672436176</v>
      </c>
    </row>
    <row r="1219" spans="1:12" hidden="1" x14ac:dyDescent="0.25">
      <c r="A1219" s="28" t="s">
        <v>1507</v>
      </c>
      <c r="B1219" s="28" t="s">
        <v>321</v>
      </c>
      <c r="C1219" s="30">
        <v>44428</v>
      </c>
      <c r="D1219" s="28">
        <v>45.5</v>
      </c>
      <c r="E1219" s="28">
        <v>47.25</v>
      </c>
      <c r="F1219" s="28">
        <v>50</v>
      </c>
      <c r="G1219" s="28">
        <v>47.05</v>
      </c>
      <c r="H1219" s="28">
        <v>45.21</v>
      </c>
      <c r="I1219" s="28">
        <v>29719</v>
      </c>
      <c r="J1219" s="28">
        <v>11512</v>
      </c>
      <c r="K1219" s="28">
        <v>38.74</v>
      </c>
      <c r="L1219" s="29">
        <f>SUM(NSE_BhavCopy[[#This Row],[ CLOSE_PRICE]]-NSE_BhavCopy[[#This Row],[ PREV_CLOSE]])/NSE_BhavCopy[[#This Row],[ PREV_CLOSE]]*100</f>
        <v>3.4065934065933998</v>
      </c>
    </row>
    <row r="1220" spans="1:12" hidden="1" x14ac:dyDescent="0.25">
      <c r="A1220" s="28" t="s">
        <v>694</v>
      </c>
      <c r="B1220" s="28" t="s">
        <v>321</v>
      </c>
      <c r="C1220" s="30">
        <v>44428</v>
      </c>
      <c r="D1220" s="28">
        <v>148.1</v>
      </c>
      <c r="E1220" s="28">
        <v>145.85</v>
      </c>
      <c r="F1220" s="28">
        <v>149.19999999999999</v>
      </c>
      <c r="G1220" s="28">
        <v>146.75</v>
      </c>
      <c r="H1220" s="28">
        <v>145.11000000000001</v>
      </c>
      <c r="I1220" s="28">
        <v>144295</v>
      </c>
      <c r="J1220" s="28">
        <v>55858</v>
      </c>
      <c r="K1220" s="28">
        <v>38.71</v>
      </c>
      <c r="L1220" s="29">
        <f>SUM(NSE_BhavCopy[[#This Row],[ CLOSE_PRICE]]-NSE_BhavCopy[[#This Row],[ PREV_CLOSE]])/NSE_BhavCopy[[#This Row],[ PREV_CLOSE]]*100</f>
        <v>-0.91154625253206911</v>
      </c>
    </row>
    <row r="1221" spans="1:12" hidden="1" x14ac:dyDescent="0.25">
      <c r="A1221" s="28" t="s">
        <v>455</v>
      </c>
      <c r="B1221" s="28" t="s">
        <v>321</v>
      </c>
      <c r="C1221" s="30">
        <v>44428</v>
      </c>
      <c r="D1221" s="28">
        <v>188.25</v>
      </c>
      <c r="E1221" s="28">
        <v>182.1</v>
      </c>
      <c r="F1221" s="28">
        <v>186.95</v>
      </c>
      <c r="G1221" s="28">
        <v>180.1</v>
      </c>
      <c r="H1221" s="28">
        <v>182.82</v>
      </c>
      <c r="I1221" s="28">
        <v>398060</v>
      </c>
      <c r="J1221" s="28">
        <v>153613</v>
      </c>
      <c r="K1221" s="28">
        <v>38.590000000000003</v>
      </c>
      <c r="L1221" s="29">
        <f>SUM(NSE_BhavCopy[[#This Row],[ CLOSE_PRICE]]-NSE_BhavCopy[[#This Row],[ PREV_CLOSE]])/NSE_BhavCopy[[#This Row],[ PREV_CLOSE]]*100</f>
        <v>-4.3293492695883167</v>
      </c>
    </row>
    <row r="1222" spans="1:12" hidden="1" x14ac:dyDescent="0.25">
      <c r="A1222" s="28" t="s">
        <v>506</v>
      </c>
      <c r="B1222" s="28" t="s">
        <v>321</v>
      </c>
      <c r="C1222" s="30">
        <v>44428</v>
      </c>
      <c r="D1222" s="28">
        <v>1133.8</v>
      </c>
      <c r="E1222" s="28">
        <v>1124</v>
      </c>
      <c r="F1222" s="28">
        <v>1149</v>
      </c>
      <c r="G1222" s="28">
        <v>1110.4000000000001</v>
      </c>
      <c r="H1222" s="28">
        <v>1128.5899999999999</v>
      </c>
      <c r="I1222" s="28">
        <v>414839</v>
      </c>
      <c r="J1222" s="28">
        <v>160099</v>
      </c>
      <c r="K1222" s="28">
        <v>38.590000000000003</v>
      </c>
      <c r="L1222" s="29">
        <f>SUM(NSE_BhavCopy[[#This Row],[ CLOSE_PRICE]]-NSE_BhavCopy[[#This Row],[ PREV_CLOSE]])/NSE_BhavCopy[[#This Row],[ PREV_CLOSE]]*100</f>
        <v>-2.0638560592697006</v>
      </c>
    </row>
    <row r="1223" spans="1:12" hidden="1" x14ac:dyDescent="0.25">
      <c r="A1223" s="28" t="s">
        <v>1120</v>
      </c>
      <c r="B1223" s="28" t="s">
        <v>321</v>
      </c>
      <c r="C1223" s="30">
        <v>44428</v>
      </c>
      <c r="D1223" s="28">
        <v>396.9</v>
      </c>
      <c r="E1223" s="28">
        <v>394.55</v>
      </c>
      <c r="F1223" s="28">
        <v>400.45</v>
      </c>
      <c r="G1223" s="28">
        <v>390.75</v>
      </c>
      <c r="H1223" s="28">
        <v>394.32</v>
      </c>
      <c r="I1223" s="28">
        <v>1030982</v>
      </c>
      <c r="J1223" s="28">
        <v>397858</v>
      </c>
      <c r="K1223" s="28">
        <v>38.590000000000003</v>
      </c>
      <c r="L1223" s="29">
        <f>SUM(NSE_BhavCopy[[#This Row],[ CLOSE_PRICE]]-NSE_BhavCopy[[#This Row],[ PREV_CLOSE]])/NSE_BhavCopy[[#This Row],[ PREV_CLOSE]]*100</f>
        <v>-1.5495086923658297</v>
      </c>
    </row>
    <row r="1224" spans="1:12" hidden="1" x14ac:dyDescent="0.25">
      <c r="A1224" s="28" t="s">
        <v>1166</v>
      </c>
      <c r="B1224" s="28" t="s">
        <v>321</v>
      </c>
      <c r="C1224" s="30">
        <v>44428</v>
      </c>
      <c r="D1224" s="28">
        <v>250.5</v>
      </c>
      <c r="E1224" s="28">
        <v>247</v>
      </c>
      <c r="F1224" s="28">
        <v>252.25</v>
      </c>
      <c r="G1224" s="28">
        <v>242</v>
      </c>
      <c r="H1224" s="28">
        <v>246.64</v>
      </c>
      <c r="I1224" s="28">
        <v>1180625</v>
      </c>
      <c r="J1224" s="28">
        <v>454648</v>
      </c>
      <c r="K1224" s="28">
        <v>38.51</v>
      </c>
      <c r="L1224" s="29">
        <f>SUM(NSE_BhavCopy[[#This Row],[ CLOSE_PRICE]]-NSE_BhavCopy[[#This Row],[ PREV_CLOSE]])/NSE_BhavCopy[[#This Row],[ PREV_CLOSE]]*100</f>
        <v>-3.3932135728542914</v>
      </c>
    </row>
    <row r="1225" spans="1:12" hidden="1" x14ac:dyDescent="0.25">
      <c r="A1225" s="28" t="s">
        <v>1539</v>
      </c>
      <c r="B1225" s="28" t="s">
        <v>321</v>
      </c>
      <c r="C1225" s="30">
        <v>44428</v>
      </c>
      <c r="D1225" s="28">
        <v>202.55</v>
      </c>
      <c r="E1225" s="28">
        <v>198</v>
      </c>
      <c r="F1225" s="28">
        <v>198</v>
      </c>
      <c r="G1225" s="28">
        <v>177.8</v>
      </c>
      <c r="H1225" s="28">
        <v>184.44</v>
      </c>
      <c r="I1225" s="28">
        <v>2419372</v>
      </c>
      <c r="J1225" s="28">
        <v>931543</v>
      </c>
      <c r="K1225" s="28">
        <v>38.5</v>
      </c>
      <c r="L1225" s="29">
        <f>SUM(NSE_BhavCopy[[#This Row],[ CLOSE_PRICE]]-NSE_BhavCopy[[#This Row],[ PREV_CLOSE]])/NSE_BhavCopy[[#This Row],[ PREV_CLOSE]]*100</f>
        <v>-12.219205134534681</v>
      </c>
    </row>
    <row r="1226" spans="1:12" hidden="1" x14ac:dyDescent="0.25">
      <c r="A1226" s="28" t="s">
        <v>1311</v>
      </c>
      <c r="B1226" s="28" t="s">
        <v>321</v>
      </c>
      <c r="C1226" s="30">
        <v>44428</v>
      </c>
      <c r="D1226" s="28">
        <v>525.4</v>
      </c>
      <c r="E1226" s="28">
        <v>526.95000000000005</v>
      </c>
      <c r="F1226" s="28">
        <v>534.20000000000005</v>
      </c>
      <c r="G1226" s="28">
        <v>507.6</v>
      </c>
      <c r="H1226" s="28">
        <v>515.87</v>
      </c>
      <c r="I1226" s="28">
        <v>92685</v>
      </c>
      <c r="J1226" s="28">
        <v>35502</v>
      </c>
      <c r="K1226" s="28">
        <v>38.299999999999997</v>
      </c>
      <c r="L1226" s="29">
        <f>SUM(NSE_BhavCopy[[#This Row],[ CLOSE_PRICE]]-NSE_BhavCopy[[#This Row],[ PREV_CLOSE]])/NSE_BhavCopy[[#This Row],[ PREV_CLOSE]]*100</f>
        <v>-3.387894937190703</v>
      </c>
    </row>
    <row r="1227" spans="1:12" hidden="1" x14ac:dyDescent="0.25">
      <c r="A1227" s="28" t="s">
        <v>596</v>
      </c>
      <c r="B1227" s="28" t="s">
        <v>321</v>
      </c>
      <c r="C1227" s="30">
        <v>44428</v>
      </c>
      <c r="D1227" s="28">
        <v>310.8</v>
      </c>
      <c r="E1227" s="28">
        <v>305.5</v>
      </c>
      <c r="F1227" s="28">
        <v>316.7</v>
      </c>
      <c r="G1227" s="28">
        <v>310.64999999999998</v>
      </c>
      <c r="H1227" s="28">
        <v>311.38</v>
      </c>
      <c r="I1227" s="28">
        <v>371159</v>
      </c>
      <c r="J1227" s="28">
        <v>142089</v>
      </c>
      <c r="K1227" s="28">
        <v>38.28</v>
      </c>
      <c r="L1227" s="29">
        <f>SUM(NSE_BhavCopy[[#This Row],[ CLOSE_PRICE]]-NSE_BhavCopy[[#This Row],[ PREV_CLOSE]])/NSE_BhavCopy[[#This Row],[ PREV_CLOSE]]*100</f>
        <v>-4.8262548262559234E-2</v>
      </c>
    </row>
    <row r="1228" spans="1:12" hidden="1" x14ac:dyDescent="0.25">
      <c r="A1228" s="28" t="s">
        <v>1074</v>
      </c>
      <c r="B1228" s="28" t="s">
        <v>321</v>
      </c>
      <c r="C1228" s="30">
        <v>44428</v>
      </c>
      <c r="D1228" s="28">
        <v>1504.5</v>
      </c>
      <c r="E1228" s="28">
        <v>1489</v>
      </c>
      <c r="F1228" s="28">
        <v>1504.9</v>
      </c>
      <c r="G1228" s="28">
        <v>1493.85</v>
      </c>
      <c r="H1228" s="28">
        <v>1490.08</v>
      </c>
      <c r="I1228" s="28">
        <v>242694</v>
      </c>
      <c r="J1228" s="28">
        <v>92912</v>
      </c>
      <c r="K1228" s="28">
        <v>38.28</v>
      </c>
      <c r="L1228" s="29">
        <f>SUM(NSE_BhavCopy[[#This Row],[ CLOSE_PRICE]]-NSE_BhavCopy[[#This Row],[ PREV_CLOSE]])/NSE_BhavCopy[[#This Row],[ PREV_CLOSE]]*100</f>
        <v>-0.70787637088734401</v>
      </c>
    </row>
    <row r="1229" spans="1:12" hidden="1" x14ac:dyDescent="0.25">
      <c r="A1229" s="28" t="s">
        <v>1562</v>
      </c>
      <c r="B1229" s="28" t="s">
        <v>321</v>
      </c>
      <c r="C1229" s="30">
        <v>44428</v>
      </c>
      <c r="D1229" s="28">
        <v>37.15</v>
      </c>
      <c r="E1229" s="28">
        <v>36.9</v>
      </c>
      <c r="F1229" s="28">
        <v>42.25</v>
      </c>
      <c r="G1229" s="28">
        <v>40.450000000000003</v>
      </c>
      <c r="H1229" s="28">
        <v>40.69</v>
      </c>
      <c r="I1229" s="28">
        <v>29575406</v>
      </c>
      <c r="J1229" s="28">
        <v>11321294</v>
      </c>
      <c r="K1229" s="28">
        <v>38.28</v>
      </c>
      <c r="L1229" s="29">
        <f>SUM(NSE_BhavCopy[[#This Row],[ CLOSE_PRICE]]-NSE_BhavCopy[[#This Row],[ PREV_CLOSE]])/NSE_BhavCopy[[#This Row],[ PREV_CLOSE]]*100</f>
        <v>8.8829071332436182</v>
      </c>
    </row>
    <row r="1230" spans="1:12" hidden="1" x14ac:dyDescent="0.25">
      <c r="A1230" s="28" t="s">
        <v>889</v>
      </c>
      <c r="B1230" s="28" t="s">
        <v>321</v>
      </c>
      <c r="C1230" s="30">
        <v>44428</v>
      </c>
      <c r="D1230" s="28">
        <v>692.15</v>
      </c>
      <c r="E1230" s="28">
        <v>683.8</v>
      </c>
      <c r="F1230" s="28">
        <v>686.9</v>
      </c>
      <c r="G1230" s="28">
        <v>667.05</v>
      </c>
      <c r="H1230" s="28">
        <v>672.86</v>
      </c>
      <c r="I1230" s="28">
        <v>115665</v>
      </c>
      <c r="J1230" s="28">
        <v>44266</v>
      </c>
      <c r="K1230" s="28">
        <v>38.270000000000003</v>
      </c>
      <c r="L1230" s="29">
        <f>SUM(NSE_BhavCopy[[#This Row],[ CLOSE_PRICE]]-NSE_BhavCopy[[#This Row],[ PREV_CLOSE]])/NSE_BhavCopy[[#This Row],[ PREV_CLOSE]]*100</f>
        <v>-3.6263815646897379</v>
      </c>
    </row>
    <row r="1231" spans="1:12" hidden="1" x14ac:dyDescent="0.25">
      <c r="A1231" s="28" t="s">
        <v>1474</v>
      </c>
      <c r="B1231" s="28" t="s">
        <v>321</v>
      </c>
      <c r="C1231" s="30">
        <v>44428</v>
      </c>
      <c r="D1231" s="28">
        <v>52.95</v>
      </c>
      <c r="E1231" s="28">
        <v>51.9</v>
      </c>
      <c r="F1231" s="28">
        <v>54.3</v>
      </c>
      <c r="G1231" s="28">
        <v>50.85</v>
      </c>
      <c r="H1231" s="28">
        <v>51.96</v>
      </c>
      <c r="I1231" s="28">
        <v>1545354</v>
      </c>
      <c r="J1231" s="28">
        <v>591359</v>
      </c>
      <c r="K1231" s="28">
        <v>38.270000000000003</v>
      </c>
      <c r="L1231" s="29">
        <f>SUM(NSE_BhavCopy[[#This Row],[ CLOSE_PRICE]]-NSE_BhavCopy[[#This Row],[ PREV_CLOSE]])/NSE_BhavCopy[[#This Row],[ PREV_CLOSE]]*100</f>
        <v>-3.9660056657223821</v>
      </c>
    </row>
    <row r="1232" spans="1:12" hidden="1" x14ac:dyDescent="0.25">
      <c r="A1232" s="28" t="s">
        <v>1310</v>
      </c>
      <c r="B1232" s="28" t="s">
        <v>321</v>
      </c>
      <c r="C1232" s="30">
        <v>44428</v>
      </c>
      <c r="D1232" s="28">
        <v>1937.95</v>
      </c>
      <c r="E1232" s="28">
        <v>1918.75</v>
      </c>
      <c r="F1232" s="28">
        <v>1933.1</v>
      </c>
      <c r="G1232" s="28">
        <v>1894.5</v>
      </c>
      <c r="H1232" s="28">
        <v>1907.93</v>
      </c>
      <c r="I1232" s="28">
        <v>166839</v>
      </c>
      <c r="J1232" s="28">
        <v>63787</v>
      </c>
      <c r="K1232" s="28">
        <v>38.229999999999997</v>
      </c>
      <c r="L1232" s="29">
        <f>SUM(NSE_BhavCopy[[#This Row],[ CLOSE_PRICE]]-NSE_BhavCopy[[#This Row],[ PREV_CLOSE]])/NSE_BhavCopy[[#This Row],[ PREV_CLOSE]]*100</f>
        <v>-2.2420599086663766</v>
      </c>
    </row>
    <row r="1233" spans="1:12" hidden="1" x14ac:dyDescent="0.25">
      <c r="A1233" s="28" t="s">
        <v>434</v>
      </c>
      <c r="B1233" s="28" t="s">
        <v>321</v>
      </c>
      <c r="C1233" s="30">
        <v>44428</v>
      </c>
      <c r="D1233" s="28">
        <v>75.2</v>
      </c>
      <c r="E1233" s="28">
        <v>74</v>
      </c>
      <c r="F1233" s="28">
        <v>74.650000000000006</v>
      </c>
      <c r="G1233" s="28">
        <v>72.849999999999994</v>
      </c>
      <c r="H1233" s="28">
        <v>73.319999999999993</v>
      </c>
      <c r="I1233" s="28">
        <v>168064</v>
      </c>
      <c r="J1233" s="28">
        <v>64236</v>
      </c>
      <c r="K1233" s="28">
        <v>38.22</v>
      </c>
      <c r="L1233" s="29">
        <f>SUM(NSE_BhavCopy[[#This Row],[ CLOSE_PRICE]]-NSE_BhavCopy[[#This Row],[ PREV_CLOSE]])/NSE_BhavCopy[[#This Row],[ PREV_CLOSE]]*100</f>
        <v>-3.1250000000000111</v>
      </c>
    </row>
    <row r="1234" spans="1:12" hidden="1" x14ac:dyDescent="0.25">
      <c r="A1234" s="28" t="s">
        <v>554</v>
      </c>
      <c r="B1234" s="28" t="s">
        <v>321</v>
      </c>
      <c r="C1234" s="30">
        <v>44428</v>
      </c>
      <c r="D1234" s="28">
        <v>1668.75</v>
      </c>
      <c r="E1234" s="28">
        <v>1645</v>
      </c>
      <c r="F1234" s="28">
        <v>1702.35</v>
      </c>
      <c r="G1234" s="28">
        <v>1677.05</v>
      </c>
      <c r="H1234" s="28">
        <v>1677.8</v>
      </c>
      <c r="I1234" s="28">
        <v>895522</v>
      </c>
      <c r="J1234" s="28">
        <v>341900</v>
      </c>
      <c r="K1234" s="28">
        <v>38.18</v>
      </c>
      <c r="L1234" s="29">
        <f>SUM(NSE_BhavCopy[[#This Row],[ CLOSE_PRICE]]-NSE_BhavCopy[[#This Row],[ PREV_CLOSE]])/NSE_BhavCopy[[#This Row],[ PREV_CLOSE]]*100</f>
        <v>0.49737827715355537</v>
      </c>
    </row>
    <row r="1235" spans="1:12" hidden="1" x14ac:dyDescent="0.25">
      <c r="A1235" s="28" t="s">
        <v>812</v>
      </c>
      <c r="B1235" s="28" t="s">
        <v>321</v>
      </c>
      <c r="C1235" s="30">
        <v>44428</v>
      </c>
      <c r="D1235" s="28">
        <v>144.5</v>
      </c>
      <c r="E1235" s="28">
        <v>142</v>
      </c>
      <c r="F1235" s="28">
        <v>147.44999999999999</v>
      </c>
      <c r="G1235" s="28">
        <v>138.1</v>
      </c>
      <c r="H1235" s="28">
        <v>141.08000000000001</v>
      </c>
      <c r="I1235" s="28">
        <v>8705988</v>
      </c>
      <c r="J1235" s="28">
        <v>3322697</v>
      </c>
      <c r="K1235" s="28">
        <v>38.17</v>
      </c>
      <c r="L1235" s="29">
        <f>SUM(NSE_BhavCopy[[#This Row],[ CLOSE_PRICE]]-NSE_BhavCopy[[#This Row],[ PREV_CLOSE]])/NSE_BhavCopy[[#This Row],[ PREV_CLOSE]]*100</f>
        <v>-4.4290657439446406</v>
      </c>
    </row>
    <row r="1236" spans="1:12" hidden="1" x14ac:dyDescent="0.25">
      <c r="A1236" s="28" t="s">
        <v>1377</v>
      </c>
      <c r="B1236" s="28" t="s">
        <v>321</v>
      </c>
      <c r="C1236" s="30">
        <v>44428</v>
      </c>
      <c r="D1236" s="28">
        <v>239.95</v>
      </c>
      <c r="E1236" s="28">
        <v>237.05</v>
      </c>
      <c r="F1236" s="28">
        <v>239.25</v>
      </c>
      <c r="G1236" s="28">
        <v>235.4</v>
      </c>
      <c r="H1236" s="28">
        <v>235.98</v>
      </c>
      <c r="I1236" s="28">
        <v>106080</v>
      </c>
      <c r="J1236" s="28">
        <v>40471</v>
      </c>
      <c r="K1236" s="28">
        <v>38.15</v>
      </c>
      <c r="L1236" s="29">
        <f>SUM(NSE_BhavCopy[[#This Row],[ CLOSE_PRICE]]-NSE_BhavCopy[[#This Row],[ PREV_CLOSE]])/NSE_BhavCopy[[#This Row],[ PREV_CLOSE]]*100</f>
        <v>-1.8962283809126832</v>
      </c>
    </row>
    <row r="1237" spans="1:12" hidden="1" x14ac:dyDescent="0.25">
      <c r="A1237" s="28" t="s">
        <v>620</v>
      </c>
      <c r="B1237" s="28" t="s">
        <v>321</v>
      </c>
      <c r="C1237" s="30">
        <v>44428</v>
      </c>
      <c r="D1237" s="28">
        <v>2168.3000000000002</v>
      </c>
      <c r="E1237" s="28">
        <v>2149</v>
      </c>
      <c r="F1237" s="28">
        <v>2245</v>
      </c>
      <c r="G1237" s="28">
        <v>2174</v>
      </c>
      <c r="H1237" s="28">
        <v>2171.1</v>
      </c>
      <c r="I1237" s="28">
        <v>47293</v>
      </c>
      <c r="J1237" s="28">
        <v>18022</v>
      </c>
      <c r="K1237" s="28">
        <v>38.11</v>
      </c>
      <c r="L1237" s="29">
        <f>SUM(NSE_BhavCopy[[#This Row],[ CLOSE_PRICE]]-NSE_BhavCopy[[#This Row],[ PREV_CLOSE]])/NSE_BhavCopy[[#This Row],[ PREV_CLOSE]]*100</f>
        <v>0.26287875294008289</v>
      </c>
    </row>
    <row r="1238" spans="1:12" hidden="1" x14ac:dyDescent="0.25">
      <c r="A1238" s="28" t="s">
        <v>1258</v>
      </c>
      <c r="B1238" s="28" t="s">
        <v>321</v>
      </c>
      <c r="C1238" s="30">
        <v>44428</v>
      </c>
      <c r="D1238" s="28">
        <v>422.3</v>
      </c>
      <c r="E1238" s="28">
        <v>421</v>
      </c>
      <c r="F1238" s="28">
        <v>430</v>
      </c>
      <c r="G1238" s="28">
        <v>425.65</v>
      </c>
      <c r="H1238" s="28">
        <v>424.04</v>
      </c>
      <c r="I1238" s="28">
        <v>32319</v>
      </c>
      <c r="J1238" s="28">
        <v>12304</v>
      </c>
      <c r="K1238" s="28">
        <v>38.07</v>
      </c>
      <c r="L1238" s="29">
        <f>SUM(NSE_BhavCopy[[#This Row],[ CLOSE_PRICE]]-NSE_BhavCopy[[#This Row],[ PREV_CLOSE]])/NSE_BhavCopy[[#This Row],[ PREV_CLOSE]]*100</f>
        <v>0.79327492304048441</v>
      </c>
    </row>
    <row r="1239" spans="1:12" hidden="1" x14ac:dyDescent="0.25">
      <c r="A1239" s="28" t="s">
        <v>1160</v>
      </c>
      <c r="B1239" s="28" t="s">
        <v>321</v>
      </c>
      <c r="C1239" s="30">
        <v>44428</v>
      </c>
      <c r="D1239" s="28">
        <v>2654.6</v>
      </c>
      <c r="E1239" s="28">
        <v>2639.9</v>
      </c>
      <c r="F1239" s="28">
        <v>2678.3</v>
      </c>
      <c r="G1239" s="28">
        <v>2644.8</v>
      </c>
      <c r="H1239" s="28">
        <v>2623.48</v>
      </c>
      <c r="I1239" s="28">
        <v>10149</v>
      </c>
      <c r="J1239" s="28">
        <v>3862</v>
      </c>
      <c r="K1239" s="28">
        <v>38.049999999999997</v>
      </c>
      <c r="L1239" s="29">
        <f>SUM(NSE_BhavCopy[[#This Row],[ CLOSE_PRICE]]-NSE_BhavCopy[[#This Row],[ PREV_CLOSE]])/NSE_BhavCopy[[#This Row],[ PREV_CLOSE]]*100</f>
        <v>-0.36917049649663708</v>
      </c>
    </row>
    <row r="1240" spans="1:12" hidden="1" x14ac:dyDescent="0.25">
      <c r="A1240" s="28" t="s">
        <v>654</v>
      </c>
      <c r="B1240" s="28" t="s">
        <v>321</v>
      </c>
      <c r="C1240" s="30">
        <v>44428</v>
      </c>
      <c r="D1240" s="28">
        <v>1229.9000000000001</v>
      </c>
      <c r="E1240" s="28">
        <v>1219</v>
      </c>
      <c r="F1240" s="28">
        <v>1224</v>
      </c>
      <c r="G1240" s="28">
        <v>1194.0999999999999</v>
      </c>
      <c r="H1240" s="28">
        <v>1200.1400000000001</v>
      </c>
      <c r="I1240" s="28">
        <v>1021721</v>
      </c>
      <c r="J1240" s="28">
        <v>388665</v>
      </c>
      <c r="K1240" s="28">
        <v>38.04</v>
      </c>
      <c r="L1240" s="29">
        <f>SUM(NSE_BhavCopy[[#This Row],[ CLOSE_PRICE]]-NSE_BhavCopy[[#This Row],[ PREV_CLOSE]])/NSE_BhavCopy[[#This Row],[ PREV_CLOSE]]*100</f>
        <v>-2.9108057565655892</v>
      </c>
    </row>
    <row r="1241" spans="1:12" hidden="1" x14ac:dyDescent="0.25">
      <c r="A1241" s="28" t="s">
        <v>708</v>
      </c>
      <c r="B1241" s="28" t="s">
        <v>321</v>
      </c>
      <c r="C1241" s="30">
        <v>44428</v>
      </c>
      <c r="D1241" s="28">
        <v>30.8</v>
      </c>
      <c r="E1241" s="28">
        <v>29.85</v>
      </c>
      <c r="F1241" s="28">
        <v>31.85</v>
      </c>
      <c r="G1241" s="28">
        <v>30.8</v>
      </c>
      <c r="H1241" s="28">
        <v>31.01</v>
      </c>
      <c r="I1241" s="28">
        <v>230924</v>
      </c>
      <c r="J1241" s="28">
        <v>87746</v>
      </c>
      <c r="K1241" s="28">
        <v>38</v>
      </c>
      <c r="L1241" s="29">
        <f>SUM(NSE_BhavCopy[[#This Row],[ CLOSE_PRICE]]-NSE_BhavCopy[[#This Row],[ PREV_CLOSE]])/NSE_BhavCopy[[#This Row],[ PREV_CLOSE]]*100</f>
        <v>0</v>
      </c>
    </row>
    <row r="1242" spans="1:12" hidden="1" x14ac:dyDescent="0.25">
      <c r="A1242" s="28" t="s">
        <v>514</v>
      </c>
      <c r="B1242" s="28" t="s">
        <v>321</v>
      </c>
      <c r="C1242" s="30">
        <v>44428</v>
      </c>
      <c r="D1242" s="28">
        <v>3233.55</v>
      </c>
      <c r="E1242" s="28">
        <v>3230</v>
      </c>
      <c r="F1242" s="28">
        <v>3230</v>
      </c>
      <c r="G1242" s="28">
        <v>3181.4</v>
      </c>
      <c r="H1242" s="28">
        <v>3191.94</v>
      </c>
      <c r="I1242" s="28">
        <v>92323</v>
      </c>
      <c r="J1242" s="28">
        <v>35032</v>
      </c>
      <c r="K1242" s="28">
        <v>37.950000000000003</v>
      </c>
      <c r="L1242" s="29">
        <f>SUM(NSE_BhavCopy[[#This Row],[ CLOSE_PRICE]]-NSE_BhavCopy[[#This Row],[ PREV_CLOSE]])/NSE_BhavCopy[[#This Row],[ PREV_CLOSE]]*100</f>
        <v>-1.6127785251503792</v>
      </c>
    </row>
    <row r="1243" spans="1:12" hidden="1" x14ac:dyDescent="0.25">
      <c r="A1243" s="28" t="s">
        <v>601</v>
      </c>
      <c r="B1243" s="28" t="s">
        <v>321</v>
      </c>
      <c r="C1243" s="30">
        <v>44428</v>
      </c>
      <c r="D1243" s="28">
        <v>657.45</v>
      </c>
      <c r="E1243" s="28">
        <v>640.25</v>
      </c>
      <c r="F1243" s="28">
        <v>654.9</v>
      </c>
      <c r="G1243" s="28">
        <v>633.9</v>
      </c>
      <c r="H1243" s="28">
        <v>636.89</v>
      </c>
      <c r="I1243" s="28">
        <v>39225</v>
      </c>
      <c r="J1243" s="28">
        <v>14882</v>
      </c>
      <c r="K1243" s="28">
        <v>37.94</v>
      </c>
      <c r="L1243" s="29">
        <f>SUM(NSE_BhavCopy[[#This Row],[ CLOSE_PRICE]]-NSE_BhavCopy[[#This Row],[ PREV_CLOSE]])/NSE_BhavCopy[[#This Row],[ PREV_CLOSE]]*100</f>
        <v>-3.5820214464978428</v>
      </c>
    </row>
    <row r="1244" spans="1:12" hidden="1" x14ac:dyDescent="0.25">
      <c r="A1244" s="28" t="s">
        <v>1368</v>
      </c>
      <c r="B1244" s="28" t="s">
        <v>321</v>
      </c>
      <c r="C1244" s="30">
        <v>44428</v>
      </c>
      <c r="D1244" s="28">
        <v>602.1</v>
      </c>
      <c r="E1244" s="28">
        <v>590</v>
      </c>
      <c r="F1244" s="28">
        <v>604.04999999999995</v>
      </c>
      <c r="G1244" s="28">
        <v>567.25</v>
      </c>
      <c r="H1244" s="28">
        <v>583.07000000000005</v>
      </c>
      <c r="I1244" s="28">
        <v>130878</v>
      </c>
      <c r="J1244" s="28">
        <v>49596</v>
      </c>
      <c r="K1244" s="28">
        <v>37.89</v>
      </c>
      <c r="L1244" s="29">
        <f>SUM(NSE_BhavCopy[[#This Row],[ CLOSE_PRICE]]-NSE_BhavCopy[[#This Row],[ PREV_CLOSE]])/NSE_BhavCopy[[#This Row],[ PREV_CLOSE]]*100</f>
        <v>-5.7880750705862845</v>
      </c>
    </row>
    <row r="1245" spans="1:12" hidden="1" x14ac:dyDescent="0.25">
      <c r="A1245" s="28" t="s">
        <v>428</v>
      </c>
      <c r="B1245" s="28" t="s">
        <v>321</v>
      </c>
      <c r="C1245" s="30">
        <v>44428</v>
      </c>
      <c r="D1245" s="28">
        <v>199.9</v>
      </c>
      <c r="E1245" s="28">
        <v>195.1</v>
      </c>
      <c r="F1245" s="28">
        <v>199.15</v>
      </c>
      <c r="G1245" s="28">
        <v>194.9</v>
      </c>
      <c r="H1245" s="28">
        <v>195.76</v>
      </c>
      <c r="I1245" s="28">
        <v>110091</v>
      </c>
      <c r="J1245" s="28">
        <v>41642</v>
      </c>
      <c r="K1245" s="28">
        <v>37.83</v>
      </c>
      <c r="L1245" s="29">
        <f>SUM(NSE_BhavCopy[[#This Row],[ CLOSE_PRICE]]-NSE_BhavCopy[[#This Row],[ PREV_CLOSE]])/NSE_BhavCopy[[#This Row],[ PREV_CLOSE]]*100</f>
        <v>-2.5012506253126561</v>
      </c>
    </row>
    <row r="1246" spans="1:12" hidden="1" x14ac:dyDescent="0.25">
      <c r="A1246" s="28" t="s">
        <v>1616</v>
      </c>
      <c r="B1246" s="28" t="s">
        <v>321</v>
      </c>
      <c r="C1246" s="30">
        <v>44428</v>
      </c>
      <c r="D1246" s="28">
        <v>227.05</v>
      </c>
      <c r="E1246" s="28">
        <v>227.05</v>
      </c>
      <c r="F1246" s="28">
        <v>229.4</v>
      </c>
      <c r="G1246" s="28">
        <v>223.4</v>
      </c>
      <c r="H1246" s="28">
        <v>225.6</v>
      </c>
      <c r="I1246" s="28">
        <v>105275</v>
      </c>
      <c r="J1246" s="28">
        <v>39805</v>
      </c>
      <c r="K1246" s="28">
        <v>37.81</v>
      </c>
      <c r="L1246" s="29">
        <f>SUM(NSE_BhavCopy[[#This Row],[ CLOSE_PRICE]]-NSE_BhavCopy[[#This Row],[ PREV_CLOSE]])/NSE_BhavCopy[[#This Row],[ PREV_CLOSE]]*100</f>
        <v>-1.6075754239154396</v>
      </c>
    </row>
    <row r="1247" spans="1:12" hidden="1" x14ac:dyDescent="0.25">
      <c r="A1247" s="28" t="s">
        <v>482</v>
      </c>
      <c r="B1247" s="28" t="s">
        <v>321</v>
      </c>
      <c r="C1247" s="30">
        <v>44428</v>
      </c>
      <c r="D1247" s="28">
        <v>802.9</v>
      </c>
      <c r="E1247" s="28">
        <v>798</v>
      </c>
      <c r="F1247" s="28">
        <v>799.9</v>
      </c>
      <c r="G1247" s="28">
        <v>752.85</v>
      </c>
      <c r="H1247" s="28">
        <v>771.18</v>
      </c>
      <c r="I1247" s="28">
        <v>2732904</v>
      </c>
      <c r="J1247" s="28">
        <v>1031925</v>
      </c>
      <c r="K1247" s="28">
        <v>37.76</v>
      </c>
      <c r="L1247" s="29">
        <f>SUM(NSE_BhavCopy[[#This Row],[ CLOSE_PRICE]]-NSE_BhavCopy[[#This Row],[ PREV_CLOSE]])/NSE_BhavCopy[[#This Row],[ PREV_CLOSE]]*100</f>
        <v>-6.2336530078465504</v>
      </c>
    </row>
    <row r="1248" spans="1:12" hidden="1" x14ac:dyDescent="0.25">
      <c r="A1248" s="28" t="s">
        <v>1119</v>
      </c>
      <c r="B1248" s="28" t="s">
        <v>321</v>
      </c>
      <c r="C1248" s="30">
        <v>44428</v>
      </c>
      <c r="D1248" s="28">
        <v>208.85</v>
      </c>
      <c r="E1248" s="28">
        <v>202.9</v>
      </c>
      <c r="F1248" s="28">
        <v>218.9</v>
      </c>
      <c r="G1248" s="28">
        <v>210.75</v>
      </c>
      <c r="H1248" s="28">
        <v>209.67</v>
      </c>
      <c r="I1248" s="28">
        <v>94017</v>
      </c>
      <c r="J1248" s="28">
        <v>35481</v>
      </c>
      <c r="K1248" s="28">
        <v>37.74</v>
      </c>
      <c r="L1248" s="29">
        <f>SUM(NSE_BhavCopy[[#This Row],[ CLOSE_PRICE]]-NSE_BhavCopy[[#This Row],[ PREV_CLOSE]])/NSE_BhavCopy[[#This Row],[ PREV_CLOSE]]*100</f>
        <v>0.90974383528848735</v>
      </c>
    </row>
    <row r="1249" spans="1:12" hidden="1" x14ac:dyDescent="0.25">
      <c r="A1249" s="28" t="s">
        <v>431</v>
      </c>
      <c r="B1249" s="28" t="s">
        <v>321</v>
      </c>
      <c r="C1249" s="30">
        <v>44428</v>
      </c>
      <c r="D1249" s="28">
        <v>1251.25</v>
      </c>
      <c r="E1249" s="28">
        <v>1232.05</v>
      </c>
      <c r="F1249" s="28">
        <v>1275</v>
      </c>
      <c r="G1249" s="28">
        <v>1250.05</v>
      </c>
      <c r="H1249" s="28">
        <v>1254.04</v>
      </c>
      <c r="I1249" s="28">
        <v>19126</v>
      </c>
      <c r="J1249" s="28">
        <v>7217</v>
      </c>
      <c r="K1249" s="28">
        <v>37.729999999999997</v>
      </c>
      <c r="L1249" s="29">
        <f>SUM(NSE_BhavCopy[[#This Row],[ CLOSE_PRICE]]-NSE_BhavCopy[[#This Row],[ PREV_CLOSE]])/NSE_BhavCopy[[#This Row],[ PREV_CLOSE]]*100</f>
        <v>-9.590409590409954E-2</v>
      </c>
    </row>
    <row r="1250" spans="1:12" hidden="1" x14ac:dyDescent="0.25">
      <c r="A1250" s="28" t="s">
        <v>998</v>
      </c>
      <c r="B1250" s="28" t="s">
        <v>321</v>
      </c>
      <c r="C1250" s="30">
        <v>44428</v>
      </c>
      <c r="D1250" s="28">
        <v>63.2</v>
      </c>
      <c r="E1250" s="28">
        <v>63</v>
      </c>
      <c r="F1250" s="28">
        <v>66.900000000000006</v>
      </c>
      <c r="G1250" s="28">
        <v>65.400000000000006</v>
      </c>
      <c r="H1250" s="28">
        <v>64.959999999999994</v>
      </c>
      <c r="I1250" s="28">
        <v>393741</v>
      </c>
      <c r="J1250" s="28">
        <v>148533</v>
      </c>
      <c r="K1250" s="28">
        <v>37.72</v>
      </c>
      <c r="L1250" s="29">
        <f>SUM(NSE_BhavCopy[[#This Row],[ CLOSE_PRICE]]-NSE_BhavCopy[[#This Row],[ PREV_CLOSE]])/NSE_BhavCopy[[#This Row],[ PREV_CLOSE]]*100</f>
        <v>3.4810126582278529</v>
      </c>
    </row>
    <row r="1251" spans="1:12" hidden="1" x14ac:dyDescent="0.25">
      <c r="A1251" s="28" t="s">
        <v>1090</v>
      </c>
      <c r="B1251" s="28" t="s">
        <v>321</v>
      </c>
      <c r="C1251" s="30">
        <v>44428</v>
      </c>
      <c r="D1251" s="28">
        <v>141.44999999999999</v>
      </c>
      <c r="E1251" s="28">
        <v>139</v>
      </c>
      <c r="F1251" s="28">
        <v>156.9</v>
      </c>
      <c r="G1251" s="28">
        <v>143.80000000000001</v>
      </c>
      <c r="H1251" s="28">
        <v>145.52000000000001</v>
      </c>
      <c r="I1251" s="28">
        <v>70497</v>
      </c>
      <c r="J1251" s="28">
        <v>26572</v>
      </c>
      <c r="K1251" s="28">
        <v>37.69</v>
      </c>
      <c r="L1251" s="29">
        <f>SUM(NSE_BhavCopy[[#This Row],[ CLOSE_PRICE]]-NSE_BhavCopy[[#This Row],[ PREV_CLOSE]])/NSE_BhavCopy[[#This Row],[ PREV_CLOSE]]*100</f>
        <v>1.66136443973137</v>
      </c>
    </row>
    <row r="1252" spans="1:12" hidden="1" x14ac:dyDescent="0.25">
      <c r="A1252" s="28" t="s">
        <v>633</v>
      </c>
      <c r="B1252" s="28" t="s">
        <v>321</v>
      </c>
      <c r="C1252" s="30">
        <v>44428</v>
      </c>
      <c r="D1252" s="28">
        <v>171.35</v>
      </c>
      <c r="E1252" s="28">
        <v>170.7</v>
      </c>
      <c r="F1252" s="28">
        <v>170.7</v>
      </c>
      <c r="G1252" s="28">
        <v>163</v>
      </c>
      <c r="H1252" s="28">
        <v>164.5</v>
      </c>
      <c r="I1252" s="28">
        <v>1272340</v>
      </c>
      <c r="J1252" s="28">
        <v>478989</v>
      </c>
      <c r="K1252" s="28">
        <v>37.65</v>
      </c>
      <c r="L1252" s="29">
        <f>SUM(NSE_BhavCopy[[#This Row],[ CLOSE_PRICE]]-NSE_BhavCopy[[#This Row],[ PREV_CLOSE]])/NSE_BhavCopy[[#This Row],[ PREV_CLOSE]]*100</f>
        <v>-4.8730668222935485</v>
      </c>
    </row>
    <row r="1253" spans="1:12" hidden="1" x14ac:dyDescent="0.25">
      <c r="A1253" s="28" t="s">
        <v>807</v>
      </c>
      <c r="B1253" s="28" t="s">
        <v>321</v>
      </c>
      <c r="C1253" s="30">
        <v>44428</v>
      </c>
      <c r="D1253" s="28">
        <v>46.5</v>
      </c>
      <c r="E1253" s="28">
        <v>45.3</v>
      </c>
      <c r="F1253" s="28">
        <v>46.35</v>
      </c>
      <c r="G1253" s="28">
        <v>44.6</v>
      </c>
      <c r="H1253" s="28">
        <v>45.19</v>
      </c>
      <c r="I1253" s="28">
        <v>4101710</v>
      </c>
      <c r="J1253" s="28">
        <v>1543391</v>
      </c>
      <c r="K1253" s="28">
        <v>37.630000000000003</v>
      </c>
      <c r="L1253" s="29">
        <f>SUM(NSE_BhavCopy[[#This Row],[ CLOSE_PRICE]]-NSE_BhavCopy[[#This Row],[ PREV_CLOSE]])/NSE_BhavCopy[[#This Row],[ PREV_CLOSE]]*100</f>
        <v>-4.0860215053763405</v>
      </c>
    </row>
    <row r="1254" spans="1:12" hidden="1" x14ac:dyDescent="0.25">
      <c r="A1254" s="28" t="s">
        <v>541</v>
      </c>
      <c r="B1254" s="28" t="s">
        <v>321</v>
      </c>
      <c r="C1254" s="30">
        <v>44428</v>
      </c>
      <c r="D1254" s="28">
        <v>458.8</v>
      </c>
      <c r="E1254" s="28">
        <v>452</v>
      </c>
      <c r="F1254" s="28">
        <v>460.3</v>
      </c>
      <c r="G1254" s="28">
        <v>449.25</v>
      </c>
      <c r="H1254" s="28">
        <v>453.26</v>
      </c>
      <c r="I1254" s="28">
        <v>193049</v>
      </c>
      <c r="J1254" s="28">
        <v>72603</v>
      </c>
      <c r="K1254" s="28">
        <v>37.61</v>
      </c>
      <c r="L1254" s="29">
        <f>SUM(NSE_BhavCopy[[#This Row],[ CLOSE_PRICE]]-NSE_BhavCopy[[#This Row],[ PREV_CLOSE]])/NSE_BhavCopy[[#This Row],[ PREV_CLOSE]]*100</f>
        <v>-2.081517000871842</v>
      </c>
    </row>
    <row r="1255" spans="1:12" hidden="1" x14ac:dyDescent="0.25">
      <c r="A1255" s="28" t="s">
        <v>1486</v>
      </c>
      <c r="B1255" s="28" t="s">
        <v>321</v>
      </c>
      <c r="C1255" s="30">
        <v>44428</v>
      </c>
      <c r="D1255" s="28">
        <v>74.3</v>
      </c>
      <c r="E1255" s="28">
        <v>73.05</v>
      </c>
      <c r="F1255" s="28">
        <v>74.2</v>
      </c>
      <c r="G1255" s="28">
        <v>72.25</v>
      </c>
      <c r="H1255" s="28">
        <v>72.86</v>
      </c>
      <c r="I1255" s="28">
        <v>198341</v>
      </c>
      <c r="J1255" s="28">
        <v>74340</v>
      </c>
      <c r="K1255" s="28">
        <v>37.479999999999997</v>
      </c>
      <c r="L1255" s="29">
        <f>SUM(NSE_BhavCopy[[#This Row],[ CLOSE_PRICE]]-NSE_BhavCopy[[#This Row],[ PREV_CLOSE]])/NSE_BhavCopy[[#This Row],[ PREV_CLOSE]]*100</f>
        <v>-2.7590847913862682</v>
      </c>
    </row>
    <row r="1256" spans="1:12" hidden="1" x14ac:dyDescent="0.25">
      <c r="A1256" s="28" t="s">
        <v>519</v>
      </c>
      <c r="B1256" s="28" t="s">
        <v>321</v>
      </c>
      <c r="C1256" s="30">
        <v>44428</v>
      </c>
      <c r="D1256" s="28">
        <v>797.7</v>
      </c>
      <c r="E1256" s="28">
        <v>784</v>
      </c>
      <c r="F1256" s="28">
        <v>795.7</v>
      </c>
      <c r="G1256" s="28">
        <v>773.3</v>
      </c>
      <c r="H1256" s="28">
        <v>778.3</v>
      </c>
      <c r="I1256" s="28">
        <v>194259</v>
      </c>
      <c r="J1256" s="28">
        <v>72767</v>
      </c>
      <c r="K1256" s="28">
        <v>37.46</v>
      </c>
      <c r="L1256" s="29">
        <f>SUM(NSE_BhavCopy[[#This Row],[ CLOSE_PRICE]]-NSE_BhavCopy[[#This Row],[ PREV_CLOSE]])/NSE_BhavCopy[[#This Row],[ PREV_CLOSE]]*100</f>
        <v>-3.058794032844439</v>
      </c>
    </row>
    <row r="1257" spans="1:12" hidden="1" x14ac:dyDescent="0.25">
      <c r="A1257" s="28" t="s">
        <v>1375</v>
      </c>
      <c r="B1257" s="28" t="s">
        <v>321</v>
      </c>
      <c r="C1257" s="30">
        <v>44428</v>
      </c>
      <c r="D1257" s="28">
        <v>202.3</v>
      </c>
      <c r="E1257" s="28">
        <v>202.3</v>
      </c>
      <c r="F1257" s="28">
        <v>213.55</v>
      </c>
      <c r="G1257" s="28">
        <v>191.55</v>
      </c>
      <c r="H1257" s="28">
        <v>198.89</v>
      </c>
      <c r="I1257" s="28">
        <v>61661</v>
      </c>
      <c r="J1257" s="28">
        <v>23097</v>
      </c>
      <c r="K1257" s="28">
        <v>37.46</v>
      </c>
      <c r="L1257" s="29">
        <f>SUM(NSE_BhavCopy[[#This Row],[ CLOSE_PRICE]]-NSE_BhavCopy[[#This Row],[ PREV_CLOSE]])/NSE_BhavCopy[[#This Row],[ PREV_CLOSE]]*100</f>
        <v>-5.3138902619871473</v>
      </c>
    </row>
    <row r="1258" spans="1:12" hidden="1" x14ac:dyDescent="0.25">
      <c r="A1258" s="28" t="s">
        <v>531</v>
      </c>
      <c r="B1258" s="28" t="s">
        <v>321</v>
      </c>
      <c r="C1258" s="30">
        <v>44428</v>
      </c>
      <c r="D1258" s="28">
        <v>36.4</v>
      </c>
      <c r="E1258" s="28">
        <v>35.799999999999997</v>
      </c>
      <c r="F1258" s="28">
        <v>36.1</v>
      </c>
      <c r="G1258" s="28">
        <v>35.450000000000003</v>
      </c>
      <c r="H1258" s="28">
        <v>35.51</v>
      </c>
      <c r="I1258" s="28">
        <v>1444634</v>
      </c>
      <c r="J1258" s="28">
        <v>540168</v>
      </c>
      <c r="K1258" s="28">
        <v>37.39</v>
      </c>
      <c r="L1258" s="29">
        <f>SUM(NSE_BhavCopy[[#This Row],[ CLOSE_PRICE]]-NSE_BhavCopy[[#This Row],[ PREV_CLOSE]])/NSE_BhavCopy[[#This Row],[ PREV_CLOSE]]*100</f>
        <v>-2.6098901098900984</v>
      </c>
    </row>
    <row r="1259" spans="1:12" hidden="1" x14ac:dyDescent="0.25">
      <c r="A1259" s="28" t="s">
        <v>974</v>
      </c>
      <c r="B1259" s="28" t="s">
        <v>321</v>
      </c>
      <c r="C1259" s="30">
        <v>44428</v>
      </c>
      <c r="D1259" s="28">
        <v>302</v>
      </c>
      <c r="E1259" s="28">
        <v>302</v>
      </c>
      <c r="F1259" s="28">
        <v>302</v>
      </c>
      <c r="G1259" s="28">
        <v>287.45</v>
      </c>
      <c r="H1259" s="28">
        <v>293.04000000000002</v>
      </c>
      <c r="I1259" s="28">
        <v>766426</v>
      </c>
      <c r="J1259" s="28">
        <v>286583</v>
      </c>
      <c r="K1259" s="28">
        <v>37.39</v>
      </c>
      <c r="L1259" s="29">
        <f>SUM(NSE_BhavCopy[[#This Row],[ CLOSE_PRICE]]-NSE_BhavCopy[[#This Row],[ PREV_CLOSE]])/NSE_BhavCopy[[#This Row],[ PREV_CLOSE]]*100</f>
        <v>-4.8178807947019902</v>
      </c>
    </row>
    <row r="1260" spans="1:12" hidden="1" x14ac:dyDescent="0.25">
      <c r="A1260" s="28" t="s">
        <v>1536</v>
      </c>
      <c r="B1260" s="28" t="s">
        <v>321</v>
      </c>
      <c r="C1260" s="30">
        <v>44428</v>
      </c>
      <c r="D1260" s="28">
        <v>487</v>
      </c>
      <c r="E1260" s="28">
        <v>485.8</v>
      </c>
      <c r="F1260" s="28">
        <v>487.35</v>
      </c>
      <c r="G1260" s="28">
        <v>460</v>
      </c>
      <c r="H1260" s="28">
        <v>471.3</v>
      </c>
      <c r="I1260" s="28">
        <v>629345</v>
      </c>
      <c r="J1260" s="28">
        <v>235070</v>
      </c>
      <c r="K1260" s="28">
        <v>37.35</v>
      </c>
      <c r="L1260" s="29">
        <f>SUM(NSE_BhavCopy[[#This Row],[ CLOSE_PRICE]]-NSE_BhavCopy[[#This Row],[ PREV_CLOSE]])/NSE_BhavCopy[[#This Row],[ PREV_CLOSE]]*100</f>
        <v>-5.5441478439425058</v>
      </c>
    </row>
    <row r="1261" spans="1:12" hidden="1" x14ac:dyDescent="0.25">
      <c r="A1261" s="28" t="s">
        <v>1239</v>
      </c>
      <c r="B1261" s="28" t="s">
        <v>321</v>
      </c>
      <c r="C1261" s="30">
        <v>44428</v>
      </c>
      <c r="D1261" s="28">
        <v>1434.35</v>
      </c>
      <c r="E1261" s="28">
        <v>1431</v>
      </c>
      <c r="F1261" s="28">
        <v>1515</v>
      </c>
      <c r="G1261" s="28">
        <v>1490.75</v>
      </c>
      <c r="H1261" s="28">
        <v>1486.67</v>
      </c>
      <c r="I1261" s="28">
        <v>417042</v>
      </c>
      <c r="J1261" s="28">
        <v>155542</v>
      </c>
      <c r="K1261" s="28">
        <v>37.299999999999997</v>
      </c>
      <c r="L1261" s="29">
        <f>SUM(NSE_BhavCopy[[#This Row],[ CLOSE_PRICE]]-NSE_BhavCopy[[#This Row],[ PREV_CLOSE]])/NSE_BhavCopy[[#This Row],[ PREV_CLOSE]]*100</f>
        <v>3.9320946770314147</v>
      </c>
    </row>
    <row r="1262" spans="1:12" hidden="1" x14ac:dyDescent="0.25">
      <c r="A1262" s="28" t="s">
        <v>378</v>
      </c>
      <c r="B1262" s="28" t="s">
        <v>321</v>
      </c>
      <c r="C1262" s="30">
        <v>44428</v>
      </c>
      <c r="D1262" s="28">
        <v>409.4</v>
      </c>
      <c r="E1262" s="28">
        <v>407.9</v>
      </c>
      <c r="F1262" s="28">
        <v>413.65</v>
      </c>
      <c r="G1262" s="28">
        <v>391.8</v>
      </c>
      <c r="H1262" s="28">
        <v>400.2</v>
      </c>
      <c r="I1262" s="28">
        <v>6967987</v>
      </c>
      <c r="J1262" s="28">
        <v>2593134</v>
      </c>
      <c r="K1262" s="28">
        <v>37.21</v>
      </c>
      <c r="L1262" s="29">
        <f>SUM(NSE_BhavCopy[[#This Row],[ CLOSE_PRICE]]-NSE_BhavCopy[[#This Row],[ PREV_CLOSE]])/NSE_BhavCopy[[#This Row],[ PREV_CLOSE]]*100</f>
        <v>-4.2989741084513842</v>
      </c>
    </row>
    <row r="1263" spans="1:12" hidden="1" x14ac:dyDescent="0.25">
      <c r="A1263" s="28" t="s">
        <v>165</v>
      </c>
      <c r="B1263" s="28" t="s">
        <v>321</v>
      </c>
      <c r="C1263" s="30">
        <v>44428</v>
      </c>
      <c r="D1263" s="28">
        <v>36.5</v>
      </c>
      <c r="E1263" s="28">
        <v>35.950000000000003</v>
      </c>
      <c r="F1263" s="28">
        <v>36.299999999999997</v>
      </c>
      <c r="G1263" s="28">
        <v>35.6</v>
      </c>
      <c r="H1263" s="28">
        <v>35.82</v>
      </c>
      <c r="I1263" s="28">
        <v>38801065</v>
      </c>
      <c r="J1263" s="28">
        <v>14431659</v>
      </c>
      <c r="K1263" s="28">
        <v>37.19</v>
      </c>
      <c r="L1263" s="29">
        <f>SUM(NSE_BhavCopy[[#This Row],[ CLOSE_PRICE]]-NSE_BhavCopy[[#This Row],[ PREV_CLOSE]])/NSE_BhavCopy[[#This Row],[ PREV_CLOSE]]*100</f>
        <v>-2.4657534246575303</v>
      </c>
    </row>
    <row r="1264" spans="1:12" hidden="1" x14ac:dyDescent="0.25">
      <c r="A1264" s="28" t="s">
        <v>749</v>
      </c>
      <c r="B1264" s="28" t="s">
        <v>321</v>
      </c>
      <c r="C1264" s="30">
        <v>44428</v>
      </c>
      <c r="D1264" s="28">
        <v>190.1</v>
      </c>
      <c r="E1264" s="28">
        <v>188.2</v>
      </c>
      <c r="F1264" s="28">
        <v>190</v>
      </c>
      <c r="G1264" s="28">
        <v>185.15</v>
      </c>
      <c r="H1264" s="28">
        <v>187.18</v>
      </c>
      <c r="I1264" s="28">
        <v>125819</v>
      </c>
      <c r="J1264" s="28">
        <v>46745</v>
      </c>
      <c r="K1264" s="28">
        <v>37.15</v>
      </c>
      <c r="L1264" s="29">
        <f>SUM(NSE_BhavCopy[[#This Row],[ CLOSE_PRICE]]-NSE_BhavCopy[[#This Row],[ PREV_CLOSE]])/NSE_BhavCopy[[#This Row],[ PREV_CLOSE]]*100</f>
        <v>-2.6038926880589104</v>
      </c>
    </row>
    <row r="1265" spans="1:12" hidden="1" x14ac:dyDescent="0.25">
      <c r="A1265" s="28" t="s">
        <v>632</v>
      </c>
      <c r="B1265" s="28" t="s">
        <v>321</v>
      </c>
      <c r="C1265" s="30">
        <v>44428</v>
      </c>
      <c r="D1265" s="28">
        <v>457.55</v>
      </c>
      <c r="E1265" s="28">
        <v>457.55</v>
      </c>
      <c r="F1265" s="28">
        <v>457.55</v>
      </c>
      <c r="G1265" s="28">
        <v>415.25</v>
      </c>
      <c r="H1265" s="28">
        <v>426.84</v>
      </c>
      <c r="I1265" s="28">
        <v>37075</v>
      </c>
      <c r="J1265" s="28">
        <v>13735</v>
      </c>
      <c r="K1265" s="28">
        <v>37.049999999999997</v>
      </c>
      <c r="L1265" s="29">
        <f>SUM(NSE_BhavCopy[[#This Row],[ CLOSE_PRICE]]-NSE_BhavCopy[[#This Row],[ PREV_CLOSE]])/NSE_BhavCopy[[#This Row],[ PREV_CLOSE]]*100</f>
        <v>-9.2448912687138041</v>
      </c>
    </row>
    <row r="1266" spans="1:12" hidden="1" x14ac:dyDescent="0.25">
      <c r="A1266" s="28" t="s">
        <v>18</v>
      </c>
      <c r="B1266" s="28" t="s">
        <v>321</v>
      </c>
      <c r="C1266" s="30">
        <v>44428</v>
      </c>
      <c r="D1266" s="28">
        <v>293.35000000000002</v>
      </c>
      <c r="E1266" s="28">
        <v>289.5</v>
      </c>
      <c r="F1266" s="28">
        <v>290.7</v>
      </c>
      <c r="G1266" s="28">
        <v>283.10000000000002</v>
      </c>
      <c r="H1266" s="28">
        <v>286.20999999999998</v>
      </c>
      <c r="I1266" s="28">
        <v>32578752</v>
      </c>
      <c r="J1266" s="28">
        <v>12059448</v>
      </c>
      <c r="K1266" s="28">
        <v>37.020000000000003</v>
      </c>
      <c r="L1266" s="29">
        <f>SUM(NSE_BhavCopy[[#This Row],[ CLOSE_PRICE]]-NSE_BhavCopy[[#This Row],[ PREV_CLOSE]])/NSE_BhavCopy[[#This Row],[ PREV_CLOSE]]*100</f>
        <v>-3.4941196522924831</v>
      </c>
    </row>
    <row r="1267" spans="1:12" hidden="1" x14ac:dyDescent="0.25">
      <c r="A1267" s="28" t="s">
        <v>1427</v>
      </c>
      <c r="B1267" s="28" t="s">
        <v>321</v>
      </c>
      <c r="C1267" s="30">
        <v>44428</v>
      </c>
      <c r="D1267" s="28">
        <v>208.65</v>
      </c>
      <c r="E1267" s="28">
        <v>205</v>
      </c>
      <c r="F1267" s="28">
        <v>209.4</v>
      </c>
      <c r="G1267" s="28">
        <v>204.35</v>
      </c>
      <c r="H1267" s="28">
        <v>204.85</v>
      </c>
      <c r="I1267" s="28">
        <v>121071</v>
      </c>
      <c r="J1267" s="28">
        <v>44646</v>
      </c>
      <c r="K1267" s="28">
        <v>36.880000000000003</v>
      </c>
      <c r="L1267" s="29">
        <f>SUM(NSE_BhavCopy[[#This Row],[ CLOSE_PRICE]]-NSE_BhavCopy[[#This Row],[ PREV_CLOSE]])/NSE_BhavCopy[[#This Row],[ PREV_CLOSE]]*100</f>
        <v>-2.0608674814282342</v>
      </c>
    </row>
    <row r="1268" spans="1:12" hidden="1" x14ac:dyDescent="0.25">
      <c r="A1268" s="28" t="s">
        <v>789</v>
      </c>
      <c r="B1268" s="28" t="s">
        <v>321</v>
      </c>
      <c r="C1268" s="30">
        <v>44428</v>
      </c>
      <c r="D1268" s="28">
        <v>128.19999999999999</v>
      </c>
      <c r="E1268" s="28">
        <v>122</v>
      </c>
      <c r="F1268" s="28">
        <v>124.9</v>
      </c>
      <c r="G1268" s="28">
        <v>119.75</v>
      </c>
      <c r="H1268" s="28">
        <v>121.43</v>
      </c>
      <c r="I1268" s="28">
        <v>4515151</v>
      </c>
      <c r="J1268" s="28">
        <v>1663256</v>
      </c>
      <c r="K1268" s="28">
        <v>36.840000000000003</v>
      </c>
      <c r="L1268" s="29">
        <f>SUM(NSE_BhavCopy[[#This Row],[ CLOSE_PRICE]]-NSE_BhavCopy[[#This Row],[ PREV_CLOSE]])/NSE_BhavCopy[[#This Row],[ PREV_CLOSE]]*100</f>
        <v>-6.5912636505460132</v>
      </c>
    </row>
    <row r="1269" spans="1:12" hidden="1" x14ac:dyDescent="0.25">
      <c r="A1269" s="28" t="s">
        <v>655</v>
      </c>
      <c r="B1269" s="28" t="s">
        <v>321</v>
      </c>
      <c r="C1269" s="30">
        <v>44428</v>
      </c>
      <c r="D1269" s="28">
        <v>135.4</v>
      </c>
      <c r="E1269" s="28">
        <v>135.4</v>
      </c>
      <c r="F1269" s="28">
        <v>140.85</v>
      </c>
      <c r="G1269" s="28">
        <v>137.69999999999999</v>
      </c>
      <c r="H1269" s="28">
        <v>135.97999999999999</v>
      </c>
      <c r="I1269" s="28">
        <v>257926</v>
      </c>
      <c r="J1269" s="28">
        <v>95002</v>
      </c>
      <c r="K1269" s="28">
        <v>36.83</v>
      </c>
      <c r="L1269" s="29">
        <f>SUM(NSE_BhavCopy[[#This Row],[ CLOSE_PRICE]]-NSE_BhavCopy[[#This Row],[ PREV_CLOSE]])/NSE_BhavCopy[[#This Row],[ PREV_CLOSE]]*100</f>
        <v>1.6986706056129859</v>
      </c>
    </row>
    <row r="1270" spans="1:12" hidden="1" x14ac:dyDescent="0.25">
      <c r="A1270" s="28" t="s">
        <v>1312</v>
      </c>
      <c r="B1270" s="28" t="s">
        <v>321</v>
      </c>
      <c r="C1270" s="30">
        <v>44428</v>
      </c>
      <c r="D1270" s="28">
        <v>76.849999999999994</v>
      </c>
      <c r="E1270" s="28">
        <v>78.5</v>
      </c>
      <c r="F1270" s="28">
        <v>80.8</v>
      </c>
      <c r="G1270" s="28">
        <v>78</v>
      </c>
      <c r="H1270" s="28">
        <v>78.569999999999993</v>
      </c>
      <c r="I1270" s="28">
        <v>392242</v>
      </c>
      <c r="J1270" s="28">
        <v>144450</v>
      </c>
      <c r="K1270" s="28">
        <v>36.83</v>
      </c>
      <c r="L1270" s="29">
        <f>SUM(NSE_BhavCopy[[#This Row],[ CLOSE_PRICE]]-NSE_BhavCopy[[#This Row],[ PREV_CLOSE]])/NSE_BhavCopy[[#This Row],[ PREV_CLOSE]]*100</f>
        <v>1.496421600520502</v>
      </c>
    </row>
    <row r="1271" spans="1:12" hidden="1" x14ac:dyDescent="0.25">
      <c r="A1271" s="28" t="s">
        <v>1518</v>
      </c>
      <c r="B1271" s="28" t="s">
        <v>321</v>
      </c>
      <c r="C1271" s="30">
        <v>44428</v>
      </c>
      <c r="D1271" s="28">
        <v>64.95</v>
      </c>
      <c r="E1271" s="28">
        <v>60.5</v>
      </c>
      <c r="F1271" s="28">
        <v>64.25</v>
      </c>
      <c r="G1271" s="28">
        <v>62.6</v>
      </c>
      <c r="H1271" s="28">
        <v>61.73</v>
      </c>
      <c r="I1271" s="28">
        <v>151784</v>
      </c>
      <c r="J1271" s="28">
        <v>55894</v>
      </c>
      <c r="K1271" s="28">
        <v>36.82</v>
      </c>
      <c r="L1271" s="29">
        <f>SUM(NSE_BhavCopy[[#This Row],[ CLOSE_PRICE]]-NSE_BhavCopy[[#This Row],[ PREV_CLOSE]])/NSE_BhavCopy[[#This Row],[ PREV_CLOSE]]*100</f>
        <v>-3.6181678214010797</v>
      </c>
    </row>
    <row r="1272" spans="1:12" hidden="1" x14ac:dyDescent="0.25">
      <c r="A1272" s="28" t="s">
        <v>404</v>
      </c>
      <c r="B1272" s="28" t="s">
        <v>321</v>
      </c>
      <c r="C1272" s="30">
        <v>44428</v>
      </c>
      <c r="D1272" s="28">
        <v>149.1</v>
      </c>
      <c r="E1272" s="28">
        <v>150</v>
      </c>
      <c r="F1272" s="28">
        <v>150</v>
      </c>
      <c r="G1272" s="28">
        <v>139.9</v>
      </c>
      <c r="H1272" s="28">
        <v>142.53</v>
      </c>
      <c r="I1272" s="28">
        <v>45981</v>
      </c>
      <c r="J1272" s="28">
        <v>16915</v>
      </c>
      <c r="K1272" s="28">
        <v>36.79</v>
      </c>
      <c r="L1272" s="29">
        <f>SUM(NSE_BhavCopy[[#This Row],[ CLOSE_PRICE]]-NSE_BhavCopy[[#This Row],[ PREV_CLOSE]])/NSE_BhavCopy[[#This Row],[ PREV_CLOSE]]*100</f>
        <v>-6.1703554661301059</v>
      </c>
    </row>
    <row r="1273" spans="1:12" hidden="1" x14ac:dyDescent="0.25">
      <c r="A1273" s="28" t="s">
        <v>44</v>
      </c>
      <c r="B1273" s="28" t="s">
        <v>321</v>
      </c>
      <c r="C1273" s="30">
        <v>44428</v>
      </c>
      <c r="D1273" s="28">
        <v>106.2</v>
      </c>
      <c r="E1273" s="28">
        <v>105.45</v>
      </c>
      <c r="F1273" s="28">
        <v>105.5</v>
      </c>
      <c r="G1273" s="28">
        <v>103.5</v>
      </c>
      <c r="H1273" s="28">
        <v>103.96</v>
      </c>
      <c r="I1273" s="28">
        <v>10490839</v>
      </c>
      <c r="J1273" s="28">
        <v>3858968</v>
      </c>
      <c r="K1273" s="28">
        <v>36.78</v>
      </c>
      <c r="L1273" s="29">
        <f>SUM(NSE_BhavCopy[[#This Row],[ CLOSE_PRICE]]-NSE_BhavCopy[[#This Row],[ PREV_CLOSE]])/NSE_BhavCopy[[#This Row],[ PREV_CLOSE]]*100</f>
        <v>-2.5423728813559348</v>
      </c>
    </row>
    <row r="1274" spans="1:12" hidden="1" x14ac:dyDescent="0.25">
      <c r="A1274" s="28" t="s">
        <v>411</v>
      </c>
      <c r="B1274" s="28" t="s">
        <v>321</v>
      </c>
      <c r="C1274" s="30">
        <v>44428</v>
      </c>
      <c r="D1274" s="28">
        <v>342.75</v>
      </c>
      <c r="E1274" s="28">
        <v>339</v>
      </c>
      <c r="F1274" s="28">
        <v>345.25</v>
      </c>
      <c r="G1274" s="28">
        <v>334.85</v>
      </c>
      <c r="H1274" s="28">
        <v>339.58</v>
      </c>
      <c r="I1274" s="28">
        <v>86445</v>
      </c>
      <c r="J1274" s="28">
        <v>31729</v>
      </c>
      <c r="K1274" s="28">
        <v>36.700000000000003</v>
      </c>
      <c r="L1274" s="29">
        <f>SUM(NSE_BhavCopy[[#This Row],[ CLOSE_PRICE]]-NSE_BhavCopy[[#This Row],[ PREV_CLOSE]])/NSE_BhavCopy[[#This Row],[ PREV_CLOSE]]*100</f>
        <v>-2.3048869438366091</v>
      </c>
    </row>
    <row r="1275" spans="1:12" hidden="1" x14ac:dyDescent="0.25">
      <c r="A1275" s="28" t="s">
        <v>761</v>
      </c>
      <c r="B1275" s="28" t="s">
        <v>321</v>
      </c>
      <c r="C1275" s="30">
        <v>44428</v>
      </c>
      <c r="D1275" s="28">
        <v>1120.1500000000001</v>
      </c>
      <c r="E1275" s="28">
        <v>1111.9000000000001</v>
      </c>
      <c r="F1275" s="28">
        <v>1175</v>
      </c>
      <c r="G1275" s="28">
        <v>1126.5</v>
      </c>
      <c r="H1275" s="28">
        <v>1148.08</v>
      </c>
      <c r="I1275" s="28">
        <v>1670657</v>
      </c>
      <c r="J1275" s="28">
        <v>613118</v>
      </c>
      <c r="K1275" s="28">
        <v>36.700000000000003</v>
      </c>
      <c r="L1275" s="29">
        <f>SUM(NSE_BhavCopy[[#This Row],[ CLOSE_PRICE]]-NSE_BhavCopy[[#This Row],[ PREV_CLOSE]])/NSE_BhavCopy[[#This Row],[ PREV_CLOSE]]*100</f>
        <v>0.56688836316563929</v>
      </c>
    </row>
    <row r="1276" spans="1:12" hidden="1" x14ac:dyDescent="0.25">
      <c r="A1276" s="28" t="s">
        <v>338</v>
      </c>
      <c r="B1276" s="28" t="s">
        <v>321</v>
      </c>
      <c r="C1276" s="30">
        <v>44428</v>
      </c>
      <c r="D1276" s="28">
        <v>1278.4000000000001</v>
      </c>
      <c r="E1276" s="28">
        <v>1279.9000000000001</v>
      </c>
      <c r="F1276" s="28">
        <v>1307</v>
      </c>
      <c r="G1276" s="28">
        <v>1260.3499999999999</v>
      </c>
      <c r="H1276" s="28">
        <v>1281.29</v>
      </c>
      <c r="I1276" s="28">
        <v>65258</v>
      </c>
      <c r="J1276" s="28">
        <v>23945</v>
      </c>
      <c r="K1276" s="28">
        <v>36.69</v>
      </c>
      <c r="L1276" s="29">
        <f>SUM(NSE_BhavCopy[[#This Row],[ CLOSE_PRICE]]-NSE_BhavCopy[[#This Row],[ PREV_CLOSE]])/NSE_BhavCopy[[#This Row],[ PREV_CLOSE]]*100</f>
        <v>-1.4119211514393131</v>
      </c>
    </row>
    <row r="1277" spans="1:12" hidden="1" x14ac:dyDescent="0.25">
      <c r="A1277" s="28" t="s">
        <v>1423</v>
      </c>
      <c r="B1277" s="28" t="s">
        <v>321</v>
      </c>
      <c r="C1277" s="30">
        <v>44428</v>
      </c>
      <c r="D1277" s="28">
        <v>69.650000000000006</v>
      </c>
      <c r="E1277" s="28">
        <v>68.900000000000006</v>
      </c>
      <c r="F1277" s="28">
        <v>69</v>
      </c>
      <c r="G1277" s="28">
        <v>67</v>
      </c>
      <c r="H1277" s="28">
        <v>67.58</v>
      </c>
      <c r="I1277" s="28">
        <v>3018328</v>
      </c>
      <c r="J1277" s="28">
        <v>1107530</v>
      </c>
      <c r="K1277" s="28">
        <v>36.69</v>
      </c>
      <c r="L1277" s="29">
        <f>SUM(NSE_BhavCopy[[#This Row],[ CLOSE_PRICE]]-NSE_BhavCopy[[#This Row],[ PREV_CLOSE]])/NSE_BhavCopy[[#This Row],[ PREV_CLOSE]]*100</f>
        <v>-3.8047379755922548</v>
      </c>
    </row>
    <row r="1278" spans="1:12" hidden="1" x14ac:dyDescent="0.25">
      <c r="A1278" s="28" t="s">
        <v>1574</v>
      </c>
      <c r="B1278" s="28" t="s">
        <v>321</v>
      </c>
      <c r="C1278" s="30">
        <v>44428</v>
      </c>
      <c r="D1278" s="28">
        <v>94.6</v>
      </c>
      <c r="E1278" s="28">
        <v>96</v>
      </c>
      <c r="F1278" s="28">
        <v>100</v>
      </c>
      <c r="G1278" s="28">
        <v>96.25</v>
      </c>
      <c r="H1278" s="28">
        <v>97.6</v>
      </c>
      <c r="I1278" s="28">
        <v>136864</v>
      </c>
      <c r="J1278" s="28">
        <v>50174</v>
      </c>
      <c r="K1278" s="28">
        <v>36.659999999999997</v>
      </c>
      <c r="L1278" s="29">
        <f>SUM(NSE_BhavCopy[[#This Row],[ CLOSE_PRICE]]-NSE_BhavCopy[[#This Row],[ PREV_CLOSE]])/NSE_BhavCopy[[#This Row],[ PREV_CLOSE]]*100</f>
        <v>1.7441860465116341</v>
      </c>
    </row>
    <row r="1279" spans="1:12" hidden="1" x14ac:dyDescent="0.25">
      <c r="A1279" s="28" t="s">
        <v>1228</v>
      </c>
      <c r="B1279" s="28" t="s">
        <v>321</v>
      </c>
      <c r="C1279" s="30">
        <v>44428</v>
      </c>
      <c r="D1279" s="28">
        <v>149.30000000000001</v>
      </c>
      <c r="E1279" s="28">
        <v>145.30000000000001</v>
      </c>
      <c r="F1279" s="28">
        <v>148.94999999999999</v>
      </c>
      <c r="G1279" s="28">
        <v>139.1</v>
      </c>
      <c r="H1279" s="28">
        <v>143.85</v>
      </c>
      <c r="I1279" s="28">
        <v>234465</v>
      </c>
      <c r="J1279" s="28">
        <v>85793</v>
      </c>
      <c r="K1279" s="28">
        <v>36.590000000000003</v>
      </c>
      <c r="L1279" s="29">
        <f>SUM(NSE_BhavCopy[[#This Row],[ CLOSE_PRICE]]-NSE_BhavCopy[[#This Row],[ PREV_CLOSE]])/NSE_BhavCopy[[#This Row],[ PREV_CLOSE]]*100</f>
        <v>-6.8318821165438814</v>
      </c>
    </row>
    <row r="1280" spans="1:12" hidden="1" x14ac:dyDescent="0.25">
      <c r="A1280" s="28" t="s">
        <v>420</v>
      </c>
      <c r="B1280" s="28" t="s">
        <v>321</v>
      </c>
      <c r="C1280" s="30">
        <v>44428</v>
      </c>
      <c r="D1280" s="28">
        <v>1318.3</v>
      </c>
      <c r="E1280" s="28">
        <v>1307.5999999999999</v>
      </c>
      <c r="F1280" s="28">
        <v>1316.9</v>
      </c>
      <c r="G1280" s="28">
        <v>1294.2</v>
      </c>
      <c r="H1280" s="28">
        <v>1293.4000000000001</v>
      </c>
      <c r="I1280" s="28">
        <v>18238</v>
      </c>
      <c r="J1280" s="28">
        <v>6670</v>
      </c>
      <c r="K1280" s="28">
        <v>36.57</v>
      </c>
      <c r="L1280" s="29">
        <f>SUM(NSE_BhavCopy[[#This Row],[ CLOSE_PRICE]]-NSE_BhavCopy[[#This Row],[ PREV_CLOSE]])/NSE_BhavCopy[[#This Row],[ PREV_CLOSE]]*100</f>
        <v>-1.82811196237578</v>
      </c>
    </row>
    <row r="1281" spans="1:12" hidden="1" x14ac:dyDescent="0.25">
      <c r="A1281" s="28" t="s">
        <v>1352</v>
      </c>
      <c r="B1281" s="28" t="s">
        <v>321</v>
      </c>
      <c r="C1281" s="30">
        <v>44428</v>
      </c>
      <c r="D1281" s="28">
        <v>100.35</v>
      </c>
      <c r="E1281" s="28">
        <v>99</v>
      </c>
      <c r="F1281" s="28">
        <v>120.4</v>
      </c>
      <c r="G1281" s="28">
        <v>119.4</v>
      </c>
      <c r="H1281" s="28">
        <v>114.37</v>
      </c>
      <c r="I1281" s="28">
        <v>1591107</v>
      </c>
      <c r="J1281" s="28">
        <v>581669</v>
      </c>
      <c r="K1281" s="28">
        <v>36.56</v>
      </c>
      <c r="L1281" s="29">
        <f>SUM(NSE_BhavCopy[[#This Row],[ CLOSE_PRICE]]-NSE_BhavCopy[[#This Row],[ PREV_CLOSE]])/NSE_BhavCopy[[#This Row],[ PREV_CLOSE]]*100</f>
        <v>18.983557548579981</v>
      </c>
    </row>
    <row r="1282" spans="1:12" hidden="1" x14ac:dyDescent="0.25">
      <c r="A1282" s="28" t="s">
        <v>453</v>
      </c>
      <c r="B1282" s="28" t="s">
        <v>321</v>
      </c>
      <c r="C1282" s="30">
        <v>44428</v>
      </c>
      <c r="D1282" s="28">
        <v>70.599999999999994</v>
      </c>
      <c r="E1282" s="28">
        <v>71.45</v>
      </c>
      <c r="F1282" s="28">
        <v>74.849999999999994</v>
      </c>
      <c r="G1282" s="28">
        <v>72</v>
      </c>
      <c r="H1282" s="28">
        <v>72.3</v>
      </c>
      <c r="I1282" s="28">
        <v>28935</v>
      </c>
      <c r="J1282" s="28">
        <v>10556</v>
      </c>
      <c r="K1282" s="28">
        <v>36.479999999999997</v>
      </c>
      <c r="L1282" s="29">
        <f>SUM(NSE_BhavCopy[[#This Row],[ CLOSE_PRICE]]-NSE_BhavCopy[[#This Row],[ PREV_CLOSE]])/NSE_BhavCopy[[#This Row],[ PREV_CLOSE]]*100</f>
        <v>1.9830028328611982</v>
      </c>
    </row>
    <row r="1283" spans="1:12" hidden="1" x14ac:dyDescent="0.25">
      <c r="A1283" s="28" t="s">
        <v>1289</v>
      </c>
      <c r="B1283" s="28" t="s">
        <v>321</v>
      </c>
      <c r="C1283" s="30">
        <v>44428</v>
      </c>
      <c r="D1283" s="28">
        <v>127.4</v>
      </c>
      <c r="E1283" s="28">
        <v>123.5</v>
      </c>
      <c r="F1283" s="28">
        <v>128.05000000000001</v>
      </c>
      <c r="G1283" s="28">
        <v>125.2</v>
      </c>
      <c r="H1283" s="28">
        <v>126.04</v>
      </c>
      <c r="I1283" s="28">
        <v>95599</v>
      </c>
      <c r="J1283" s="28">
        <v>34837</v>
      </c>
      <c r="K1283" s="28">
        <v>36.44</v>
      </c>
      <c r="L1283" s="29">
        <f>SUM(NSE_BhavCopy[[#This Row],[ CLOSE_PRICE]]-NSE_BhavCopy[[#This Row],[ PREV_CLOSE]])/NSE_BhavCopy[[#This Row],[ PREV_CLOSE]]*100</f>
        <v>-1.7268445839874433</v>
      </c>
    </row>
    <row r="1284" spans="1:12" hidden="1" x14ac:dyDescent="0.25">
      <c r="A1284" s="28" t="s">
        <v>1516</v>
      </c>
      <c r="B1284" s="28" t="s">
        <v>321</v>
      </c>
      <c r="C1284" s="30">
        <v>44428</v>
      </c>
      <c r="D1284" s="28">
        <v>460.1</v>
      </c>
      <c r="E1284" s="28">
        <v>457</v>
      </c>
      <c r="F1284" s="28">
        <v>457.8</v>
      </c>
      <c r="G1284" s="28">
        <v>453.1</v>
      </c>
      <c r="H1284" s="28">
        <v>451.07</v>
      </c>
      <c r="I1284" s="28">
        <v>674279</v>
      </c>
      <c r="J1284" s="28">
        <v>245226</v>
      </c>
      <c r="K1284" s="28">
        <v>36.369999999999997</v>
      </c>
      <c r="L1284" s="29">
        <f>SUM(NSE_BhavCopy[[#This Row],[ CLOSE_PRICE]]-NSE_BhavCopy[[#This Row],[ PREV_CLOSE]])/NSE_BhavCopy[[#This Row],[ PREV_CLOSE]]*100</f>
        <v>-1.5214083894805477</v>
      </c>
    </row>
    <row r="1285" spans="1:12" hidden="1" x14ac:dyDescent="0.25">
      <c r="A1285" s="28" t="s">
        <v>333</v>
      </c>
      <c r="B1285" s="28" t="s">
        <v>321</v>
      </c>
      <c r="C1285" s="30">
        <v>44428</v>
      </c>
      <c r="D1285" s="28">
        <v>18886.7</v>
      </c>
      <c r="E1285" s="28">
        <v>18820</v>
      </c>
      <c r="F1285" s="28">
        <v>19210</v>
      </c>
      <c r="G1285" s="28">
        <v>19074.400000000001</v>
      </c>
      <c r="H1285" s="28">
        <v>18966.59</v>
      </c>
      <c r="I1285" s="28">
        <v>12055</v>
      </c>
      <c r="J1285" s="28">
        <v>4371</v>
      </c>
      <c r="K1285" s="28">
        <v>36.26</v>
      </c>
      <c r="L1285" s="29">
        <f>SUM(NSE_BhavCopy[[#This Row],[ CLOSE_PRICE]]-NSE_BhavCopy[[#This Row],[ PREV_CLOSE]])/NSE_BhavCopy[[#This Row],[ PREV_CLOSE]]*100</f>
        <v>0.99382104867446786</v>
      </c>
    </row>
    <row r="1286" spans="1:12" hidden="1" x14ac:dyDescent="0.25">
      <c r="A1286" s="28" t="s">
        <v>1689</v>
      </c>
      <c r="B1286" s="28" t="s">
        <v>321</v>
      </c>
      <c r="C1286" s="30">
        <v>44428</v>
      </c>
      <c r="D1286" s="28">
        <v>1544.65</v>
      </c>
      <c r="E1286" s="28">
        <v>1580</v>
      </c>
      <c r="F1286" s="28">
        <v>1599</v>
      </c>
      <c r="G1286" s="28">
        <v>1544.1</v>
      </c>
      <c r="H1286" s="28">
        <v>1556.28</v>
      </c>
      <c r="I1286" s="28">
        <v>365365</v>
      </c>
      <c r="J1286" s="28">
        <v>132286</v>
      </c>
      <c r="K1286" s="28">
        <v>36.21</v>
      </c>
      <c r="L1286" s="29">
        <f>SUM(NSE_BhavCopy[[#This Row],[ CLOSE_PRICE]]-NSE_BhavCopy[[#This Row],[ PREV_CLOSE]])/NSE_BhavCopy[[#This Row],[ PREV_CLOSE]]*100</f>
        <v>-3.560677176060479E-2</v>
      </c>
    </row>
    <row r="1287" spans="1:12" hidden="1" x14ac:dyDescent="0.25">
      <c r="A1287" s="28" t="s">
        <v>1107</v>
      </c>
      <c r="B1287" s="28" t="s">
        <v>321</v>
      </c>
      <c r="C1287" s="30">
        <v>44428</v>
      </c>
      <c r="D1287" s="28">
        <v>773.2</v>
      </c>
      <c r="E1287" s="28">
        <v>764.9</v>
      </c>
      <c r="F1287" s="28">
        <v>807.75</v>
      </c>
      <c r="G1287" s="28">
        <v>783.35</v>
      </c>
      <c r="H1287" s="28">
        <v>781.74</v>
      </c>
      <c r="I1287" s="28">
        <v>138771</v>
      </c>
      <c r="J1287" s="28">
        <v>50088</v>
      </c>
      <c r="K1287" s="28">
        <v>36.090000000000003</v>
      </c>
      <c r="L1287" s="29">
        <f>SUM(NSE_BhavCopy[[#This Row],[ CLOSE_PRICE]]-NSE_BhavCopy[[#This Row],[ PREV_CLOSE]])/NSE_BhavCopy[[#This Row],[ PREV_CLOSE]]*100</f>
        <v>1.3127263321262257</v>
      </c>
    </row>
    <row r="1288" spans="1:12" hidden="1" x14ac:dyDescent="0.25">
      <c r="A1288" s="28" t="s">
        <v>1224</v>
      </c>
      <c r="B1288" s="28" t="s">
        <v>321</v>
      </c>
      <c r="C1288" s="30">
        <v>44428</v>
      </c>
      <c r="D1288" s="28">
        <v>2225.3000000000002</v>
      </c>
      <c r="E1288" s="28">
        <v>2223</v>
      </c>
      <c r="F1288" s="28">
        <v>2285</v>
      </c>
      <c r="G1288" s="28">
        <v>2267.1999999999998</v>
      </c>
      <c r="H1288" s="28">
        <v>2256.0500000000002</v>
      </c>
      <c r="I1288" s="28">
        <v>1043017</v>
      </c>
      <c r="J1288" s="28">
        <v>376167</v>
      </c>
      <c r="K1288" s="28">
        <v>36.07</v>
      </c>
      <c r="L1288" s="29">
        <f>SUM(NSE_BhavCopy[[#This Row],[ CLOSE_PRICE]]-NSE_BhavCopy[[#This Row],[ PREV_CLOSE]])/NSE_BhavCopy[[#This Row],[ PREV_CLOSE]]*100</f>
        <v>1.8828921943108627</v>
      </c>
    </row>
    <row r="1289" spans="1:12" hidden="1" x14ac:dyDescent="0.25">
      <c r="A1289" s="28" t="s">
        <v>360</v>
      </c>
      <c r="B1289" s="28" t="s">
        <v>321</v>
      </c>
      <c r="C1289" s="30">
        <v>44428</v>
      </c>
      <c r="D1289" s="28">
        <v>408.3</v>
      </c>
      <c r="E1289" s="28">
        <v>401</v>
      </c>
      <c r="F1289" s="28">
        <v>426</v>
      </c>
      <c r="G1289" s="28">
        <v>417.95</v>
      </c>
      <c r="H1289" s="28">
        <v>413.75</v>
      </c>
      <c r="I1289" s="28">
        <v>40810</v>
      </c>
      <c r="J1289" s="28">
        <v>14685</v>
      </c>
      <c r="K1289" s="28">
        <v>35.979999999999997</v>
      </c>
      <c r="L1289" s="29">
        <f>SUM(NSE_BhavCopy[[#This Row],[ CLOSE_PRICE]]-NSE_BhavCopy[[#This Row],[ PREV_CLOSE]])/NSE_BhavCopy[[#This Row],[ PREV_CLOSE]]*100</f>
        <v>2.3634582414890954</v>
      </c>
    </row>
    <row r="1290" spans="1:12" hidden="1" x14ac:dyDescent="0.25">
      <c r="A1290" s="28" t="s">
        <v>50</v>
      </c>
      <c r="B1290" s="28" t="s">
        <v>321</v>
      </c>
      <c r="C1290" s="30">
        <v>44428</v>
      </c>
      <c r="D1290" s="28">
        <v>622.95000000000005</v>
      </c>
      <c r="E1290" s="28">
        <v>619.5</v>
      </c>
      <c r="F1290" s="28">
        <v>633</v>
      </c>
      <c r="G1290" s="28">
        <v>613.70000000000005</v>
      </c>
      <c r="H1290" s="28">
        <v>621.98</v>
      </c>
      <c r="I1290" s="28">
        <v>12534832</v>
      </c>
      <c r="J1290" s="28">
        <v>4508471</v>
      </c>
      <c r="K1290" s="28">
        <v>35.97</v>
      </c>
      <c r="L1290" s="29">
        <f>SUM(NSE_BhavCopy[[#This Row],[ CLOSE_PRICE]]-NSE_BhavCopy[[#This Row],[ PREV_CLOSE]])/NSE_BhavCopy[[#This Row],[ PREV_CLOSE]]*100</f>
        <v>-1.4848703748294405</v>
      </c>
    </row>
    <row r="1291" spans="1:12" hidden="1" x14ac:dyDescent="0.25">
      <c r="A1291" s="28" t="s">
        <v>1109</v>
      </c>
      <c r="B1291" s="28" t="s">
        <v>321</v>
      </c>
      <c r="C1291" s="30">
        <v>44428</v>
      </c>
      <c r="D1291" s="28">
        <v>1261.3</v>
      </c>
      <c r="E1291" s="28">
        <v>1245</v>
      </c>
      <c r="F1291" s="28">
        <v>1294.9000000000001</v>
      </c>
      <c r="G1291" s="28">
        <v>1234.8499999999999</v>
      </c>
      <c r="H1291" s="28">
        <v>1257.52</v>
      </c>
      <c r="I1291" s="28">
        <v>125701</v>
      </c>
      <c r="J1291" s="28">
        <v>45216</v>
      </c>
      <c r="K1291" s="28">
        <v>35.97</v>
      </c>
      <c r="L1291" s="29">
        <f>SUM(NSE_BhavCopy[[#This Row],[ CLOSE_PRICE]]-NSE_BhavCopy[[#This Row],[ PREV_CLOSE]])/NSE_BhavCopy[[#This Row],[ PREV_CLOSE]]*100</f>
        <v>-2.0970427336874691</v>
      </c>
    </row>
    <row r="1292" spans="1:12" hidden="1" x14ac:dyDescent="0.25">
      <c r="A1292" s="28" t="s">
        <v>458</v>
      </c>
      <c r="B1292" s="28" t="s">
        <v>321</v>
      </c>
      <c r="C1292" s="30">
        <v>44428</v>
      </c>
      <c r="D1292" s="28">
        <v>78.75</v>
      </c>
      <c r="E1292" s="28">
        <v>77.3</v>
      </c>
      <c r="F1292" s="28">
        <v>78.25</v>
      </c>
      <c r="G1292" s="28">
        <v>74.150000000000006</v>
      </c>
      <c r="H1292" s="28">
        <v>75.84</v>
      </c>
      <c r="I1292" s="28">
        <v>37053960</v>
      </c>
      <c r="J1292" s="28">
        <v>13297252</v>
      </c>
      <c r="K1292" s="28">
        <v>35.89</v>
      </c>
      <c r="L1292" s="29">
        <f>SUM(NSE_BhavCopy[[#This Row],[ CLOSE_PRICE]]-NSE_BhavCopy[[#This Row],[ PREV_CLOSE]])/NSE_BhavCopy[[#This Row],[ PREV_CLOSE]]*100</f>
        <v>-5.8412698412698338</v>
      </c>
    </row>
    <row r="1293" spans="1:12" hidden="1" x14ac:dyDescent="0.25">
      <c r="A1293" s="28" t="s">
        <v>266</v>
      </c>
      <c r="B1293" s="28" t="s">
        <v>321</v>
      </c>
      <c r="C1293" s="30">
        <v>44428</v>
      </c>
      <c r="D1293" s="28">
        <v>45.1</v>
      </c>
      <c r="E1293" s="28">
        <v>44.5</v>
      </c>
      <c r="F1293" s="28">
        <v>44.95</v>
      </c>
      <c r="G1293" s="28">
        <v>42.85</v>
      </c>
      <c r="H1293" s="28">
        <v>43.73</v>
      </c>
      <c r="I1293" s="28">
        <v>1700807</v>
      </c>
      <c r="J1293" s="28">
        <v>607123</v>
      </c>
      <c r="K1293" s="28">
        <v>35.700000000000003</v>
      </c>
      <c r="L1293" s="29">
        <f>SUM(NSE_BhavCopy[[#This Row],[ CLOSE_PRICE]]-NSE_BhavCopy[[#This Row],[ PREV_CLOSE]])/NSE_BhavCopy[[#This Row],[ PREV_CLOSE]]*100</f>
        <v>-4.9889135254988917</v>
      </c>
    </row>
    <row r="1294" spans="1:12" hidden="1" x14ac:dyDescent="0.25">
      <c r="A1294" s="28" t="s">
        <v>1419</v>
      </c>
      <c r="B1294" s="28" t="s">
        <v>321</v>
      </c>
      <c r="C1294" s="30">
        <v>44428</v>
      </c>
      <c r="D1294" s="28">
        <v>289.64999999999998</v>
      </c>
      <c r="E1294" s="28">
        <v>285.75</v>
      </c>
      <c r="F1294" s="28">
        <v>286.89999999999998</v>
      </c>
      <c r="G1294" s="28">
        <v>275.8</v>
      </c>
      <c r="H1294" s="28">
        <v>278.20999999999998</v>
      </c>
      <c r="I1294" s="28">
        <v>2172351</v>
      </c>
      <c r="J1294" s="28">
        <v>775494</v>
      </c>
      <c r="K1294" s="28">
        <v>35.700000000000003</v>
      </c>
      <c r="L1294" s="29">
        <f>SUM(NSE_BhavCopy[[#This Row],[ CLOSE_PRICE]]-NSE_BhavCopy[[#This Row],[ PREV_CLOSE]])/NSE_BhavCopy[[#This Row],[ PREV_CLOSE]]*100</f>
        <v>-4.7816330053512743</v>
      </c>
    </row>
    <row r="1295" spans="1:12" hidden="1" x14ac:dyDescent="0.25">
      <c r="A1295" s="28" t="s">
        <v>1477</v>
      </c>
      <c r="B1295" s="28" t="s">
        <v>321</v>
      </c>
      <c r="C1295" s="30">
        <v>44428</v>
      </c>
      <c r="D1295" s="28">
        <v>18611.8</v>
      </c>
      <c r="E1295" s="28">
        <v>18400</v>
      </c>
      <c r="F1295" s="28">
        <v>18730</v>
      </c>
      <c r="G1295" s="28">
        <v>18130.599999999999</v>
      </c>
      <c r="H1295" s="28">
        <v>18373.04</v>
      </c>
      <c r="I1295" s="28">
        <v>2453</v>
      </c>
      <c r="J1295" s="28">
        <v>875</v>
      </c>
      <c r="K1295" s="28">
        <v>35.67</v>
      </c>
      <c r="L1295" s="29">
        <f>SUM(NSE_BhavCopy[[#This Row],[ CLOSE_PRICE]]-NSE_BhavCopy[[#This Row],[ PREV_CLOSE]])/NSE_BhavCopy[[#This Row],[ PREV_CLOSE]]*100</f>
        <v>-2.5854565383251527</v>
      </c>
    </row>
    <row r="1296" spans="1:12" hidden="1" x14ac:dyDescent="0.25">
      <c r="A1296" s="28" t="s">
        <v>374</v>
      </c>
      <c r="B1296" s="28" t="s">
        <v>321</v>
      </c>
      <c r="C1296" s="30">
        <v>44428</v>
      </c>
      <c r="D1296" s="28">
        <v>711.5</v>
      </c>
      <c r="E1296" s="28">
        <v>705</v>
      </c>
      <c r="F1296" s="28">
        <v>709.55</v>
      </c>
      <c r="G1296" s="28">
        <v>697.25</v>
      </c>
      <c r="H1296" s="28">
        <v>701.3</v>
      </c>
      <c r="I1296" s="28">
        <v>1300227</v>
      </c>
      <c r="J1296" s="28">
        <v>463519</v>
      </c>
      <c r="K1296" s="28">
        <v>35.65</v>
      </c>
      <c r="L1296" s="29">
        <f>SUM(NSE_BhavCopy[[#This Row],[ CLOSE_PRICE]]-NSE_BhavCopy[[#This Row],[ PREV_CLOSE]])/NSE_BhavCopy[[#This Row],[ PREV_CLOSE]]*100</f>
        <v>-2.0028109627547437</v>
      </c>
    </row>
    <row r="1297" spans="1:12" hidden="1" x14ac:dyDescent="0.25">
      <c r="A1297" s="28" t="s">
        <v>615</v>
      </c>
      <c r="B1297" s="28" t="s">
        <v>321</v>
      </c>
      <c r="C1297" s="30">
        <v>44428</v>
      </c>
      <c r="D1297" s="28">
        <v>336.65</v>
      </c>
      <c r="E1297" s="28">
        <v>331</v>
      </c>
      <c r="F1297" s="28">
        <v>336</v>
      </c>
      <c r="G1297" s="28">
        <v>330.35</v>
      </c>
      <c r="H1297" s="28">
        <v>331.35</v>
      </c>
      <c r="I1297" s="28">
        <v>53661</v>
      </c>
      <c r="J1297" s="28">
        <v>19097</v>
      </c>
      <c r="K1297" s="28">
        <v>35.590000000000003</v>
      </c>
      <c r="L1297" s="29">
        <f>SUM(NSE_BhavCopy[[#This Row],[ CLOSE_PRICE]]-NSE_BhavCopy[[#This Row],[ PREV_CLOSE]])/NSE_BhavCopy[[#This Row],[ PREV_CLOSE]]*100</f>
        <v>-1.8713797712757922</v>
      </c>
    </row>
    <row r="1298" spans="1:12" hidden="1" x14ac:dyDescent="0.25">
      <c r="A1298" s="28" t="s">
        <v>669</v>
      </c>
      <c r="B1298" s="28" t="s">
        <v>321</v>
      </c>
      <c r="C1298" s="30">
        <v>44428</v>
      </c>
      <c r="D1298" s="28">
        <v>94.25</v>
      </c>
      <c r="E1298" s="28">
        <v>92.5</v>
      </c>
      <c r="F1298" s="28">
        <v>94.3</v>
      </c>
      <c r="G1298" s="28">
        <v>92.2</v>
      </c>
      <c r="H1298" s="28">
        <v>92.91</v>
      </c>
      <c r="I1298" s="28">
        <v>540188</v>
      </c>
      <c r="J1298" s="28">
        <v>192265</v>
      </c>
      <c r="K1298" s="28">
        <v>35.590000000000003</v>
      </c>
      <c r="L1298" s="29">
        <f>SUM(NSE_BhavCopy[[#This Row],[ CLOSE_PRICE]]-NSE_BhavCopy[[#This Row],[ PREV_CLOSE]])/NSE_BhavCopy[[#This Row],[ PREV_CLOSE]]*100</f>
        <v>-2.1750663129973447</v>
      </c>
    </row>
    <row r="1299" spans="1:12" hidden="1" x14ac:dyDescent="0.25">
      <c r="A1299" s="28" t="s">
        <v>1215</v>
      </c>
      <c r="B1299" s="28" t="s">
        <v>321</v>
      </c>
      <c r="C1299" s="30">
        <v>44428</v>
      </c>
      <c r="D1299" s="28">
        <v>128.19999999999999</v>
      </c>
      <c r="E1299" s="28">
        <v>127</v>
      </c>
      <c r="F1299" s="28">
        <v>128.44999999999999</v>
      </c>
      <c r="G1299" s="28">
        <v>124.4</v>
      </c>
      <c r="H1299" s="28">
        <v>125.82</v>
      </c>
      <c r="I1299" s="28">
        <v>4037976</v>
      </c>
      <c r="J1299" s="28">
        <v>1436601</v>
      </c>
      <c r="K1299" s="28">
        <v>35.58</v>
      </c>
      <c r="L1299" s="29">
        <f>SUM(NSE_BhavCopy[[#This Row],[ CLOSE_PRICE]]-NSE_BhavCopy[[#This Row],[ PREV_CLOSE]])/NSE_BhavCopy[[#This Row],[ PREV_CLOSE]]*100</f>
        <v>-2.9641185647425767</v>
      </c>
    </row>
    <row r="1300" spans="1:12" hidden="1" x14ac:dyDescent="0.25">
      <c r="A1300" s="28" t="s">
        <v>717</v>
      </c>
      <c r="B1300" s="28" t="s">
        <v>321</v>
      </c>
      <c r="C1300" s="30">
        <v>44428</v>
      </c>
      <c r="D1300" s="28">
        <v>61.9</v>
      </c>
      <c r="E1300" s="28">
        <v>61</v>
      </c>
      <c r="F1300" s="28">
        <v>65.55</v>
      </c>
      <c r="G1300" s="28">
        <v>62.6</v>
      </c>
      <c r="H1300" s="28">
        <v>63.43</v>
      </c>
      <c r="I1300" s="28">
        <v>1407962</v>
      </c>
      <c r="J1300" s="28">
        <v>499355</v>
      </c>
      <c r="K1300" s="28">
        <v>35.47</v>
      </c>
      <c r="L1300" s="29">
        <f>SUM(NSE_BhavCopy[[#This Row],[ CLOSE_PRICE]]-NSE_BhavCopy[[#This Row],[ PREV_CLOSE]])/NSE_BhavCopy[[#This Row],[ PREV_CLOSE]]*100</f>
        <v>1.1308562197092131</v>
      </c>
    </row>
    <row r="1301" spans="1:12" hidden="1" x14ac:dyDescent="0.25">
      <c r="A1301" s="28" t="s">
        <v>416</v>
      </c>
      <c r="B1301" s="28" t="s">
        <v>321</v>
      </c>
      <c r="C1301" s="30">
        <v>44428</v>
      </c>
      <c r="D1301" s="28">
        <v>125.15</v>
      </c>
      <c r="E1301" s="28">
        <v>124.15</v>
      </c>
      <c r="F1301" s="28">
        <v>124.2</v>
      </c>
      <c r="G1301" s="28">
        <v>119</v>
      </c>
      <c r="H1301" s="28">
        <v>120.74</v>
      </c>
      <c r="I1301" s="28">
        <v>21031189</v>
      </c>
      <c r="J1301" s="28">
        <v>7445571</v>
      </c>
      <c r="K1301" s="28">
        <v>35.4</v>
      </c>
      <c r="L1301" s="29">
        <f>SUM(NSE_BhavCopy[[#This Row],[ CLOSE_PRICE]]-NSE_BhavCopy[[#This Row],[ PREV_CLOSE]])/NSE_BhavCopy[[#This Row],[ PREV_CLOSE]]*100</f>
        <v>-4.9141030763084341</v>
      </c>
    </row>
    <row r="1302" spans="1:12" hidden="1" x14ac:dyDescent="0.25">
      <c r="A1302" s="28" t="s">
        <v>48</v>
      </c>
      <c r="B1302" s="28" t="s">
        <v>321</v>
      </c>
      <c r="C1302" s="30">
        <v>44428</v>
      </c>
      <c r="D1302" s="28">
        <v>419.7</v>
      </c>
      <c r="E1302" s="28">
        <v>415</v>
      </c>
      <c r="F1302" s="28">
        <v>417.35</v>
      </c>
      <c r="G1302" s="28">
        <v>406.7</v>
      </c>
      <c r="H1302" s="28">
        <v>411.06</v>
      </c>
      <c r="I1302" s="28">
        <v>25541790</v>
      </c>
      <c r="J1302" s="28">
        <v>9038684</v>
      </c>
      <c r="K1302" s="28">
        <v>35.39</v>
      </c>
      <c r="L1302" s="29">
        <f>SUM(NSE_BhavCopy[[#This Row],[ CLOSE_PRICE]]-NSE_BhavCopy[[#This Row],[ PREV_CLOSE]])/NSE_BhavCopy[[#This Row],[ PREV_CLOSE]]*100</f>
        <v>-3.0974505599237552</v>
      </c>
    </row>
    <row r="1303" spans="1:12" hidden="1" x14ac:dyDescent="0.25">
      <c r="A1303" s="28" t="s">
        <v>1272</v>
      </c>
      <c r="B1303" s="28" t="s">
        <v>321</v>
      </c>
      <c r="C1303" s="30">
        <v>44428</v>
      </c>
      <c r="D1303" s="28">
        <v>214.5</v>
      </c>
      <c r="E1303" s="28">
        <v>212.3</v>
      </c>
      <c r="F1303" s="28">
        <v>217.8</v>
      </c>
      <c r="G1303" s="28">
        <v>206.65</v>
      </c>
      <c r="H1303" s="28">
        <v>211.23</v>
      </c>
      <c r="I1303" s="28">
        <v>2804284</v>
      </c>
      <c r="J1303" s="28">
        <v>991652</v>
      </c>
      <c r="K1303" s="28">
        <v>35.36</v>
      </c>
      <c r="L1303" s="29">
        <f>SUM(NSE_BhavCopy[[#This Row],[ CLOSE_PRICE]]-NSE_BhavCopy[[#This Row],[ PREV_CLOSE]])/NSE_BhavCopy[[#This Row],[ PREV_CLOSE]]*100</f>
        <v>-3.6596736596736568</v>
      </c>
    </row>
    <row r="1304" spans="1:12" hidden="1" x14ac:dyDescent="0.25">
      <c r="A1304" s="28" t="s">
        <v>917</v>
      </c>
      <c r="B1304" s="28" t="s">
        <v>321</v>
      </c>
      <c r="C1304" s="30">
        <v>44428</v>
      </c>
      <c r="D1304" s="28">
        <v>3161.9</v>
      </c>
      <c r="E1304" s="28">
        <v>3140</v>
      </c>
      <c r="F1304" s="28">
        <v>3169.15</v>
      </c>
      <c r="G1304" s="28">
        <v>3113.15</v>
      </c>
      <c r="H1304" s="28">
        <v>3127.17</v>
      </c>
      <c r="I1304" s="28">
        <v>27414</v>
      </c>
      <c r="J1304" s="28">
        <v>9680</v>
      </c>
      <c r="K1304" s="28">
        <v>35.31</v>
      </c>
      <c r="L1304" s="29">
        <f>SUM(NSE_BhavCopy[[#This Row],[ CLOSE_PRICE]]-NSE_BhavCopy[[#This Row],[ PREV_CLOSE]])/NSE_BhavCopy[[#This Row],[ PREV_CLOSE]]*100</f>
        <v>-1.5417944906543535</v>
      </c>
    </row>
    <row r="1305" spans="1:12" hidden="1" x14ac:dyDescent="0.25">
      <c r="A1305" s="28" t="s">
        <v>1240</v>
      </c>
      <c r="B1305" s="28" t="s">
        <v>321</v>
      </c>
      <c r="C1305" s="30">
        <v>44428</v>
      </c>
      <c r="D1305" s="28">
        <v>1819.5</v>
      </c>
      <c r="E1305" s="28">
        <v>1812</v>
      </c>
      <c r="F1305" s="28">
        <v>1868.35</v>
      </c>
      <c r="G1305" s="28">
        <v>1817.4</v>
      </c>
      <c r="H1305" s="28">
        <v>1828.07</v>
      </c>
      <c r="I1305" s="28">
        <v>52665</v>
      </c>
      <c r="J1305" s="28">
        <v>18541</v>
      </c>
      <c r="K1305" s="28">
        <v>35.21</v>
      </c>
      <c r="L1305" s="29">
        <f>SUM(NSE_BhavCopy[[#This Row],[ CLOSE_PRICE]]-NSE_BhavCopy[[#This Row],[ PREV_CLOSE]])/NSE_BhavCopy[[#This Row],[ PREV_CLOSE]]*100</f>
        <v>-0.11541632316569986</v>
      </c>
    </row>
    <row r="1306" spans="1:12" hidden="1" x14ac:dyDescent="0.25">
      <c r="A1306" s="28" t="s">
        <v>1110</v>
      </c>
      <c r="B1306" s="28" t="s">
        <v>321</v>
      </c>
      <c r="C1306" s="30">
        <v>44428</v>
      </c>
      <c r="D1306" s="28">
        <v>17.850000000000001</v>
      </c>
      <c r="E1306" s="28">
        <v>17.7</v>
      </c>
      <c r="F1306" s="28">
        <v>18.95</v>
      </c>
      <c r="G1306" s="28">
        <v>18.2</v>
      </c>
      <c r="H1306" s="28">
        <v>17.989999999999998</v>
      </c>
      <c r="I1306" s="28">
        <v>1656485</v>
      </c>
      <c r="J1306" s="28">
        <v>582382</v>
      </c>
      <c r="K1306" s="28">
        <v>35.159999999999997</v>
      </c>
      <c r="L1306" s="29">
        <f>SUM(NSE_BhavCopy[[#This Row],[ CLOSE_PRICE]]-NSE_BhavCopy[[#This Row],[ PREV_CLOSE]])/NSE_BhavCopy[[#This Row],[ PREV_CLOSE]]*100</f>
        <v>1.9607843137254781</v>
      </c>
    </row>
    <row r="1307" spans="1:12" hidden="1" x14ac:dyDescent="0.25">
      <c r="A1307" s="28" t="s">
        <v>591</v>
      </c>
      <c r="B1307" s="28" t="s">
        <v>321</v>
      </c>
      <c r="C1307" s="30">
        <v>44428</v>
      </c>
      <c r="D1307" s="28">
        <v>130.80000000000001</v>
      </c>
      <c r="E1307" s="28">
        <v>125</v>
      </c>
      <c r="F1307" s="28">
        <v>143.6</v>
      </c>
      <c r="G1307" s="28">
        <v>135.94999999999999</v>
      </c>
      <c r="H1307" s="28">
        <v>137.62</v>
      </c>
      <c r="I1307" s="28">
        <v>405592</v>
      </c>
      <c r="J1307" s="28">
        <v>142515</v>
      </c>
      <c r="K1307" s="28">
        <v>35.14</v>
      </c>
      <c r="L1307" s="29">
        <f>SUM(NSE_BhavCopy[[#This Row],[ CLOSE_PRICE]]-NSE_BhavCopy[[#This Row],[ PREV_CLOSE]])/NSE_BhavCopy[[#This Row],[ PREV_CLOSE]]*100</f>
        <v>3.9373088685015114</v>
      </c>
    </row>
    <row r="1308" spans="1:12" hidden="1" x14ac:dyDescent="0.25">
      <c r="A1308" s="28" t="s">
        <v>1264</v>
      </c>
      <c r="B1308" s="28" t="s">
        <v>321</v>
      </c>
      <c r="C1308" s="30">
        <v>44428</v>
      </c>
      <c r="D1308" s="28">
        <v>1388.4</v>
      </c>
      <c r="E1308" s="28">
        <v>1388.1</v>
      </c>
      <c r="F1308" s="28">
        <v>1388.1</v>
      </c>
      <c r="G1308" s="28">
        <v>1325.45</v>
      </c>
      <c r="H1308" s="28">
        <v>1348.05</v>
      </c>
      <c r="I1308" s="28">
        <v>641014</v>
      </c>
      <c r="J1308" s="28">
        <v>224969</v>
      </c>
      <c r="K1308" s="28">
        <v>35.1</v>
      </c>
      <c r="L1308" s="29">
        <f>SUM(NSE_BhavCopy[[#This Row],[ CLOSE_PRICE]]-NSE_BhavCopy[[#This Row],[ PREV_CLOSE]])/NSE_BhavCopy[[#This Row],[ PREV_CLOSE]]*100</f>
        <v>-4.533995966580239</v>
      </c>
    </row>
    <row r="1309" spans="1:12" hidden="1" x14ac:dyDescent="0.25">
      <c r="A1309" s="28" t="s">
        <v>179</v>
      </c>
      <c r="B1309" s="28" t="s">
        <v>321</v>
      </c>
      <c r="C1309" s="30">
        <v>44428</v>
      </c>
      <c r="D1309" s="28">
        <v>528.1</v>
      </c>
      <c r="E1309" s="28">
        <v>528.1</v>
      </c>
      <c r="F1309" s="28">
        <v>536.5</v>
      </c>
      <c r="G1309" s="28">
        <v>521.9</v>
      </c>
      <c r="H1309" s="28">
        <v>527.54</v>
      </c>
      <c r="I1309" s="28">
        <v>1917601</v>
      </c>
      <c r="J1309" s="28">
        <v>671646</v>
      </c>
      <c r="K1309" s="28">
        <v>35.03</v>
      </c>
      <c r="L1309" s="29">
        <f>SUM(NSE_BhavCopy[[#This Row],[ CLOSE_PRICE]]-NSE_BhavCopy[[#This Row],[ PREV_CLOSE]])/NSE_BhavCopy[[#This Row],[ PREV_CLOSE]]*100</f>
        <v>-1.1740200719560774</v>
      </c>
    </row>
    <row r="1310" spans="1:12" hidden="1" x14ac:dyDescent="0.25">
      <c r="A1310" s="28" t="s">
        <v>1058</v>
      </c>
      <c r="B1310" s="28" t="s">
        <v>321</v>
      </c>
      <c r="C1310" s="30">
        <v>44428</v>
      </c>
      <c r="D1310" s="28">
        <v>523.70000000000005</v>
      </c>
      <c r="E1310" s="28">
        <v>523.70000000000005</v>
      </c>
      <c r="F1310" s="28">
        <v>543.70000000000005</v>
      </c>
      <c r="G1310" s="28">
        <v>537.9</v>
      </c>
      <c r="H1310" s="28">
        <v>532.77</v>
      </c>
      <c r="I1310" s="28">
        <v>5237598</v>
      </c>
      <c r="J1310" s="28">
        <v>1831431</v>
      </c>
      <c r="K1310" s="28">
        <v>34.97</v>
      </c>
      <c r="L1310" s="29">
        <f>SUM(NSE_BhavCopy[[#This Row],[ CLOSE_PRICE]]-NSE_BhavCopy[[#This Row],[ PREV_CLOSE]])/NSE_BhavCopy[[#This Row],[ PREV_CLOSE]]*100</f>
        <v>2.7114760358984018</v>
      </c>
    </row>
    <row r="1311" spans="1:12" hidden="1" x14ac:dyDescent="0.25">
      <c r="A1311" s="28" t="s">
        <v>433</v>
      </c>
      <c r="B1311" s="28" t="s">
        <v>321</v>
      </c>
      <c r="C1311" s="30">
        <v>44428</v>
      </c>
      <c r="D1311" s="28">
        <v>567.79999999999995</v>
      </c>
      <c r="E1311" s="28">
        <v>540</v>
      </c>
      <c r="F1311" s="28">
        <v>567.79999999999995</v>
      </c>
      <c r="G1311" s="28">
        <v>545.75</v>
      </c>
      <c r="H1311" s="28">
        <v>551.92999999999995</v>
      </c>
      <c r="I1311" s="28">
        <v>362874</v>
      </c>
      <c r="J1311" s="28">
        <v>126499</v>
      </c>
      <c r="K1311" s="28">
        <v>34.86</v>
      </c>
      <c r="L1311" s="29">
        <f>SUM(NSE_BhavCopy[[#This Row],[ CLOSE_PRICE]]-NSE_BhavCopy[[#This Row],[ PREV_CLOSE]])/NSE_BhavCopy[[#This Row],[ PREV_CLOSE]]*100</f>
        <v>-3.883409651285656</v>
      </c>
    </row>
    <row r="1312" spans="1:12" hidden="1" x14ac:dyDescent="0.25">
      <c r="A1312" s="28" t="s">
        <v>1454</v>
      </c>
      <c r="B1312" s="28" t="s">
        <v>321</v>
      </c>
      <c r="C1312" s="30">
        <v>44428</v>
      </c>
      <c r="D1312" s="28">
        <v>349.1</v>
      </c>
      <c r="E1312" s="28">
        <v>344.9</v>
      </c>
      <c r="F1312" s="28">
        <v>347</v>
      </c>
      <c r="G1312" s="28">
        <v>332.5</v>
      </c>
      <c r="H1312" s="28">
        <v>337.18</v>
      </c>
      <c r="I1312" s="28">
        <v>414584</v>
      </c>
      <c r="J1312" s="28">
        <v>144464</v>
      </c>
      <c r="K1312" s="28">
        <v>34.85</v>
      </c>
      <c r="L1312" s="29">
        <f>SUM(NSE_BhavCopy[[#This Row],[ CLOSE_PRICE]]-NSE_BhavCopy[[#This Row],[ PREV_CLOSE]])/NSE_BhavCopy[[#This Row],[ PREV_CLOSE]]*100</f>
        <v>-4.7550845030077404</v>
      </c>
    </row>
    <row r="1313" spans="1:12" hidden="1" x14ac:dyDescent="0.25">
      <c r="A1313" s="28" t="s">
        <v>1625</v>
      </c>
      <c r="B1313" s="28" t="s">
        <v>321</v>
      </c>
      <c r="C1313" s="30">
        <v>44428</v>
      </c>
      <c r="D1313" s="28">
        <v>82.6</v>
      </c>
      <c r="E1313" s="28">
        <v>78.099999999999994</v>
      </c>
      <c r="F1313" s="28">
        <v>83.35</v>
      </c>
      <c r="G1313" s="28">
        <v>79.2</v>
      </c>
      <c r="H1313" s="28">
        <v>81.069999999999993</v>
      </c>
      <c r="I1313" s="28">
        <v>232185</v>
      </c>
      <c r="J1313" s="28">
        <v>80868</v>
      </c>
      <c r="K1313" s="28">
        <v>34.83</v>
      </c>
      <c r="L1313" s="29">
        <f>SUM(NSE_BhavCopy[[#This Row],[ CLOSE_PRICE]]-NSE_BhavCopy[[#This Row],[ PREV_CLOSE]])/NSE_BhavCopy[[#This Row],[ PREV_CLOSE]]*100</f>
        <v>-4.1162227602905475</v>
      </c>
    </row>
    <row r="1314" spans="1:12" hidden="1" x14ac:dyDescent="0.25">
      <c r="A1314" s="28" t="s">
        <v>454</v>
      </c>
      <c r="B1314" s="28" t="s">
        <v>321</v>
      </c>
      <c r="C1314" s="30">
        <v>44428</v>
      </c>
      <c r="D1314" s="28">
        <v>1842.7</v>
      </c>
      <c r="E1314" s="28">
        <v>1838.1</v>
      </c>
      <c r="F1314" s="28">
        <v>1850</v>
      </c>
      <c r="G1314" s="28">
        <v>1790.7</v>
      </c>
      <c r="H1314" s="28">
        <v>1815.83</v>
      </c>
      <c r="I1314" s="28">
        <v>4469</v>
      </c>
      <c r="J1314" s="28">
        <v>1556</v>
      </c>
      <c r="K1314" s="28">
        <v>34.82</v>
      </c>
      <c r="L1314" s="29">
        <f>SUM(NSE_BhavCopy[[#This Row],[ CLOSE_PRICE]]-NSE_BhavCopy[[#This Row],[ PREV_CLOSE]])/NSE_BhavCopy[[#This Row],[ PREV_CLOSE]]*100</f>
        <v>-2.8219460574157487</v>
      </c>
    </row>
    <row r="1315" spans="1:12" hidden="1" x14ac:dyDescent="0.25">
      <c r="A1315" s="28" t="s">
        <v>412</v>
      </c>
      <c r="B1315" s="28" t="s">
        <v>321</v>
      </c>
      <c r="C1315" s="30">
        <v>44428</v>
      </c>
      <c r="D1315" s="28">
        <v>358.05</v>
      </c>
      <c r="E1315" s="28">
        <v>354</v>
      </c>
      <c r="F1315" s="28">
        <v>357.1</v>
      </c>
      <c r="G1315" s="28">
        <v>344.45</v>
      </c>
      <c r="H1315" s="28">
        <v>347.81</v>
      </c>
      <c r="I1315" s="28">
        <v>28652</v>
      </c>
      <c r="J1315" s="28">
        <v>9968</v>
      </c>
      <c r="K1315" s="28">
        <v>34.79</v>
      </c>
      <c r="L1315" s="29">
        <f>SUM(NSE_BhavCopy[[#This Row],[ CLOSE_PRICE]]-NSE_BhavCopy[[#This Row],[ PREV_CLOSE]])/NSE_BhavCopy[[#This Row],[ PREV_CLOSE]]*100</f>
        <v>-3.7983521854489659</v>
      </c>
    </row>
    <row r="1316" spans="1:12" hidden="1" x14ac:dyDescent="0.25">
      <c r="A1316" s="28" t="s">
        <v>1479</v>
      </c>
      <c r="B1316" s="28" t="s">
        <v>321</v>
      </c>
      <c r="C1316" s="30">
        <v>44428</v>
      </c>
      <c r="D1316" s="28">
        <v>199.95</v>
      </c>
      <c r="E1316" s="28">
        <v>197</v>
      </c>
      <c r="F1316" s="28">
        <v>197.85</v>
      </c>
      <c r="G1316" s="28">
        <v>189.2</v>
      </c>
      <c r="H1316" s="28">
        <v>192.81</v>
      </c>
      <c r="I1316" s="28">
        <v>2462470</v>
      </c>
      <c r="J1316" s="28">
        <v>856392</v>
      </c>
      <c r="K1316" s="28">
        <v>34.78</v>
      </c>
      <c r="L1316" s="29">
        <f>SUM(NSE_BhavCopy[[#This Row],[ CLOSE_PRICE]]-NSE_BhavCopy[[#This Row],[ PREV_CLOSE]])/NSE_BhavCopy[[#This Row],[ PREV_CLOSE]]*100</f>
        <v>-5.376344086021505</v>
      </c>
    </row>
    <row r="1317" spans="1:12" hidden="1" x14ac:dyDescent="0.25">
      <c r="A1317" s="28" t="s">
        <v>1401</v>
      </c>
      <c r="B1317" s="28" t="s">
        <v>321</v>
      </c>
      <c r="C1317" s="30">
        <v>44428</v>
      </c>
      <c r="D1317" s="28">
        <v>108.15</v>
      </c>
      <c r="E1317" s="28">
        <v>107.55</v>
      </c>
      <c r="F1317" s="28">
        <v>109.45</v>
      </c>
      <c r="G1317" s="28">
        <v>105.4</v>
      </c>
      <c r="H1317" s="28">
        <v>106.36</v>
      </c>
      <c r="I1317" s="28">
        <v>22173</v>
      </c>
      <c r="J1317" s="28">
        <v>7705</v>
      </c>
      <c r="K1317" s="28">
        <v>34.75</v>
      </c>
      <c r="L1317" s="29">
        <f>SUM(NSE_BhavCopy[[#This Row],[ CLOSE_PRICE]]-NSE_BhavCopy[[#This Row],[ PREV_CLOSE]])/NSE_BhavCopy[[#This Row],[ PREV_CLOSE]]*100</f>
        <v>-2.5427646786870088</v>
      </c>
    </row>
    <row r="1318" spans="1:12" hidden="1" x14ac:dyDescent="0.25">
      <c r="A1318" s="28" t="s">
        <v>976</v>
      </c>
      <c r="B1318" s="28" t="s">
        <v>321</v>
      </c>
      <c r="C1318" s="30">
        <v>44428</v>
      </c>
      <c r="D1318" s="28">
        <v>226.6</v>
      </c>
      <c r="E1318" s="28">
        <v>225</v>
      </c>
      <c r="F1318" s="28">
        <v>230</v>
      </c>
      <c r="G1318" s="28">
        <v>221.45</v>
      </c>
      <c r="H1318" s="28">
        <v>224.26</v>
      </c>
      <c r="I1318" s="28">
        <v>376274</v>
      </c>
      <c r="J1318" s="28">
        <v>130535</v>
      </c>
      <c r="K1318" s="28">
        <v>34.69</v>
      </c>
      <c r="L1318" s="29">
        <f>SUM(NSE_BhavCopy[[#This Row],[ CLOSE_PRICE]]-NSE_BhavCopy[[#This Row],[ PREV_CLOSE]])/NSE_BhavCopy[[#This Row],[ PREV_CLOSE]]*100</f>
        <v>-2.2727272727272751</v>
      </c>
    </row>
    <row r="1319" spans="1:12" hidden="1" x14ac:dyDescent="0.25">
      <c r="A1319" s="28" t="s">
        <v>1492</v>
      </c>
      <c r="B1319" s="28" t="s">
        <v>321</v>
      </c>
      <c r="C1319" s="30">
        <v>44428</v>
      </c>
      <c r="D1319" s="28">
        <v>237.15</v>
      </c>
      <c r="E1319" s="28">
        <v>234.9</v>
      </c>
      <c r="F1319" s="28">
        <v>259.7</v>
      </c>
      <c r="G1319" s="28">
        <v>237.6</v>
      </c>
      <c r="H1319" s="28">
        <v>245.28</v>
      </c>
      <c r="I1319" s="28">
        <v>233684</v>
      </c>
      <c r="J1319" s="28">
        <v>80778</v>
      </c>
      <c r="K1319" s="28">
        <v>34.57</v>
      </c>
      <c r="L1319" s="29">
        <f>SUM(NSE_BhavCopy[[#This Row],[ CLOSE_PRICE]]-NSE_BhavCopy[[#This Row],[ PREV_CLOSE]])/NSE_BhavCopy[[#This Row],[ PREV_CLOSE]]*100</f>
        <v>0.18975332068310716</v>
      </c>
    </row>
    <row r="1320" spans="1:12" hidden="1" x14ac:dyDescent="0.25">
      <c r="A1320" s="28" t="s">
        <v>1158</v>
      </c>
      <c r="B1320" s="28" t="s">
        <v>321</v>
      </c>
      <c r="C1320" s="30">
        <v>44428</v>
      </c>
      <c r="D1320" s="28">
        <v>328.2</v>
      </c>
      <c r="E1320" s="28">
        <v>324</v>
      </c>
      <c r="F1320" s="28">
        <v>327.85</v>
      </c>
      <c r="G1320" s="28">
        <v>310.2</v>
      </c>
      <c r="H1320" s="28">
        <v>316.36</v>
      </c>
      <c r="I1320" s="28">
        <v>1090481</v>
      </c>
      <c r="J1320" s="28">
        <v>375411</v>
      </c>
      <c r="K1320" s="28">
        <v>34.43</v>
      </c>
      <c r="L1320" s="29">
        <f>SUM(NSE_BhavCopy[[#This Row],[ CLOSE_PRICE]]-NSE_BhavCopy[[#This Row],[ PREV_CLOSE]])/NSE_BhavCopy[[#This Row],[ PREV_CLOSE]]*100</f>
        <v>-5.4844606946983552</v>
      </c>
    </row>
    <row r="1321" spans="1:12" hidden="1" x14ac:dyDescent="0.25">
      <c r="A1321" s="28" t="s">
        <v>677</v>
      </c>
      <c r="B1321" s="28" t="s">
        <v>321</v>
      </c>
      <c r="C1321" s="30">
        <v>44428</v>
      </c>
      <c r="D1321" s="28">
        <v>1358.25</v>
      </c>
      <c r="E1321" s="28">
        <v>1346.65</v>
      </c>
      <c r="F1321" s="28">
        <v>1346.65</v>
      </c>
      <c r="G1321" s="28">
        <v>1316.8</v>
      </c>
      <c r="H1321" s="28">
        <v>1330.46</v>
      </c>
      <c r="I1321" s="28">
        <v>44079</v>
      </c>
      <c r="J1321" s="28">
        <v>15154</v>
      </c>
      <c r="K1321" s="28">
        <v>34.380000000000003</v>
      </c>
      <c r="L1321" s="29">
        <f>SUM(NSE_BhavCopy[[#This Row],[ CLOSE_PRICE]]-NSE_BhavCopy[[#This Row],[ PREV_CLOSE]])/NSE_BhavCopy[[#This Row],[ PREV_CLOSE]]*100</f>
        <v>-3.0517209644763517</v>
      </c>
    </row>
    <row r="1322" spans="1:12" hidden="1" x14ac:dyDescent="0.25">
      <c r="A1322" s="28" t="s">
        <v>1339</v>
      </c>
      <c r="B1322" s="28" t="s">
        <v>321</v>
      </c>
      <c r="C1322" s="30">
        <v>44428</v>
      </c>
      <c r="D1322" s="28">
        <v>1345.65</v>
      </c>
      <c r="E1322" s="28">
        <v>1335</v>
      </c>
      <c r="F1322" s="28">
        <v>1377</v>
      </c>
      <c r="G1322" s="28">
        <v>1298.8</v>
      </c>
      <c r="H1322" s="28">
        <v>1338.49</v>
      </c>
      <c r="I1322" s="28">
        <v>103285</v>
      </c>
      <c r="J1322" s="28">
        <v>35493</v>
      </c>
      <c r="K1322" s="28">
        <v>34.36</v>
      </c>
      <c r="L1322" s="29">
        <f>SUM(NSE_BhavCopy[[#This Row],[ CLOSE_PRICE]]-NSE_BhavCopy[[#This Row],[ PREV_CLOSE]])/NSE_BhavCopy[[#This Row],[ PREV_CLOSE]]*100</f>
        <v>-3.4815888232452816</v>
      </c>
    </row>
    <row r="1323" spans="1:12" hidden="1" x14ac:dyDescent="0.25">
      <c r="A1323" s="28" t="s">
        <v>1766</v>
      </c>
      <c r="B1323" s="28" t="s">
        <v>321</v>
      </c>
      <c r="C1323" s="30">
        <v>44428</v>
      </c>
      <c r="D1323" s="28">
        <v>237.7</v>
      </c>
      <c r="E1323" s="28">
        <v>237.7</v>
      </c>
      <c r="F1323" s="28">
        <v>248</v>
      </c>
      <c r="G1323" s="28">
        <v>239.95</v>
      </c>
      <c r="H1323" s="28">
        <v>234.6</v>
      </c>
      <c r="I1323" s="28">
        <v>101829</v>
      </c>
      <c r="J1323" s="28">
        <v>34856</v>
      </c>
      <c r="K1323" s="28">
        <v>34.229999999999997</v>
      </c>
      <c r="L1323" s="29">
        <f>SUM(NSE_BhavCopy[[#This Row],[ CLOSE_PRICE]]-NSE_BhavCopy[[#This Row],[ PREV_CLOSE]])/NSE_BhavCopy[[#This Row],[ PREV_CLOSE]]*100</f>
        <v>0.94657130837189729</v>
      </c>
    </row>
    <row r="1324" spans="1:12" hidden="1" x14ac:dyDescent="0.25">
      <c r="A1324" s="28" t="s">
        <v>1338</v>
      </c>
      <c r="B1324" s="28" t="s">
        <v>321</v>
      </c>
      <c r="C1324" s="30">
        <v>44428</v>
      </c>
      <c r="D1324" s="28">
        <v>43.75</v>
      </c>
      <c r="E1324" s="28">
        <v>42.9</v>
      </c>
      <c r="F1324" s="28">
        <v>44.6</v>
      </c>
      <c r="G1324" s="28">
        <v>42.9</v>
      </c>
      <c r="H1324" s="28">
        <v>43.33</v>
      </c>
      <c r="I1324" s="28">
        <v>313460</v>
      </c>
      <c r="J1324" s="28">
        <v>107160</v>
      </c>
      <c r="K1324" s="28">
        <v>34.19</v>
      </c>
      <c r="L1324" s="29">
        <f>SUM(NSE_BhavCopy[[#This Row],[ CLOSE_PRICE]]-NSE_BhavCopy[[#This Row],[ PREV_CLOSE]])/NSE_BhavCopy[[#This Row],[ PREV_CLOSE]]*100</f>
        <v>-1.9428571428571462</v>
      </c>
    </row>
    <row r="1325" spans="1:12" hidden="1" x14ac:dyDescent="0.25">
      <c r="A1325" s="28" t="s">
        <v>1432</v>
      </c>
      <c r="B1325" s="28" t="s">
        <v>321</v>
      </c>
      <c r="C1325" s="30">
        <v>44428</v>
      </c>
      <c r="D1325" s="28">
        <v>154.1</v>
      </c>
      <c r="E1325" s="28">
        <v>151.55000000000001</v>
      </c>
      <c r="F1325" s="28">
        <v>154.6</v>
      </c>
      <c r="G1325" s="28">
        <v>150.5</v>
      </c>
      <c r="H1325" s="28">
        <v>152.26</v>
      </c>
      <c r="I1325" s="28">
        <v>142467</v>
      </c>
      <c r="J1325" s="28">
        <v>48690</v>
      </c>
      <c r="K1325" s="28">
        <v>34.18</v>
      </c>
      <c r="L1325" s="29">
        <f>SUM(NSE_BhavCopy[[#This Row],[ CLOSE_PRICE]]-NSE_BhavCopy[[#This Row],[ PREV_CLOSE]])/NSE_BhavCopy[[#This Row],[ PREV_CLOSE]]*100</f>
        <v>-2.3361453601557396</v>
      </c>
    </row>
    <row r="1326" spans="1:12" hidden="1" x14ac:dyDescent="0.25">
      <c r="A1326" s="28" t="s">
        <v>1238</v>
      </c>
      <c r="B1326" s="28" t="s">
        <v>321</v>
      </c>
      <c r="C1326" s="30">
        <v>44428</v>
      </c>
      <c r="D1326" s="28">
        <v>892.8</v>
      </c>
      <c r="E1326" s="28">
        <v>870</v>
      </c>
      <c r="F1326" s="28">
        <v>917.85</v>
      </c>
      <c r="G1326" s="28">
        <v>906.9</v>
      </c>
      <c r="H1326" s="28">
        <v>895.15</v>
      </c>
      <c r="I1326" s="28">
        <v>106261</v>
      </c>
      <c r="J1326" s="28">
        <v>36128</v>
      </c>
      <c r="K1326" s="28">
        <v>34</v>
      </c>
      <c r="L1326" s="29">
        <f>SUM(NSE_BhavCopy[[#This Row],[ CLOSE_PRICE]]-NSE_BhavCopy[[#This Row],[ PREV_CLOSE]])/NSE_BhavCopy[[#This Row],[ PREV_CLOSE]]*100</f>
        <v>1.5793010752688199</v>
      </c>
    </row>
    <row r="1327" spans="1:12" hidden="1" x14ac:dyDescent="0.25">
      <c r="A1327" s="28" t="s">
        <v>1412</v>
      </c>
      <c r="B1327" s="28" t="s">
        <v>321</v>
      </c>
      <c r="C1327" s="30">
        <v>44428</v>
      </c>
      <c r="D1327" s="28">
        <v>868.05</v>
      </c>
      <c r="E1327" s="28">
        <v>870</v>
      </c>
      <c r="F1327" s="28">
        <v>879.3</v>
      </c>
      <c r="G1327" s="28">
        <v>846.35</v>
      </c>
      <c r="H1327" s="28">
        <v>853.73</v>
      </c>
      <c r="I1327" s="28">
        <v>329359</v>
      </c>
      <c r="J1327" s="28">
        <v>111904</v>
      </c>
      <c r="K1327" s="28">
        <v>33.979999999999997</v>
      </c>
      <c r="L1327" s="29">
        <f>SUM(NSE_BhavCopy[[#This Row],[ CLOSE_PRICE]]-NSE_BhavCopy[[#This Row],[ PREV_CLOSE]])/NSE_BhavCopy[[#This Row],[ PREV_CLOSE]]*100</f>
        <v>-2.4998559990783864</v>
      </c>
    </row>
    <row r="1328" spans="1:12" hidden="1" x14ac:dyDescent="0.25">
      <c r="A1328" s="28" t="s">
        <v>1115</v>
      </c>
      <c r="B1328" s="28" t="s">
        <v>321</v>
      </c>
      <c r="C1328" s="30">
        <v>44428</v>
      </c>
      <c r="D1328" s="28">
        <v>397.1</v>
      </c>
      <c r="E1328" s="28">
        <v>400</v>
      </c>
      <c r="F1328" s="28">
        <v>405</v>
      </c>
      <c r="G1328" s="28">
        <v>389.75</v>
      </c>
      <c r="H1328" s="28">
        <v>395.27</v>
      </c>
      <c r="I1328" s="28">
        <v>46979</v>
      </c>
      <c r="J1328" s="28">
        <v>15927</v>
      </c>
      <c r="K1328" s="28">
        <v>33.9</v>
      </c>
      <c r="L1328" s="29">
        <f>SUM(NSE_BhavCopy[[#This Row],[ CLOSE_PRICE]]-NSE_BhavCopy[[#This Row],[ PREV_CLOSE]])/NSE_BhavCopy[[#This Row],[ PREV_CLOSE]]*100</f>
        <v>-1.85091916393856</v>
      </c>
    </row>
    <row r="1329" spans="1:12" hidden="1" x14ac:dyDescent="0.25">
      <c r="A1329" s="28" t="s">
        <v>1462</v>
      </c>
      <c r="B1329" s="28" t="s">
        <v>321</v>
      </c>
      <c r="C1329" s="30">
        <v>44428</v>
      </c>
      <c r="D1329" s="28">
        <v>84.65</v>
      </c>
      <c r="E1329" s="28">
        <v>82</v>
      </c>
      <c r="F1329" s="28">
        <v>86</v>
      </c>
      <c r="G1329" s="28">
        <v>84.4</v>
      </c>
      <c r="H1329" s="28">
        <v>84.26</v>
      </c>
      <c r="I1329" s="28">
        <v>605302</v>
      </c>
      <c r="J1329" s="28">
        <v>205018</v>
      </c>
      <c r="K1329" s="28">
        <v>33.869999999999997</v>
      </c>
      <c r="L1329" s="29">
        <f>SUM(NSE_BhavCopy[[#This Row],[ CLOSE_PRICE]]-NSE_BhavCopy[[#This Row],[ PREV_CLOSE]])/NSE_BhavCopy[[#This Row],[ PREV_CLOSE]]*100</f>
        <v>-0.29533372711163614</v>
      </c>
    </row>
    <row r="1330" spans="1:12" hidden="1" x14ac:dyDescent="0.25">
      <c r="A1330" s="28" t="s">
        <v>651</v>
      </c>
      <c r="B1330" s="28" t="s">
        <v>321</v>
      </c>
      <c r="C1330" s="30">
        <v>44428</v>
      </c>
      <c r="D1330" s="28">
        <v>732.45</v>
      </c>
      <c r="E1330" s="28">
        <v>719.95</v>
      </c>
      <c r="F1330" s="28">
        <v>738.9</v>
      </c>
      <c r="G1330" s="28">
        <v>733.1</v>
      </c>
      <c r="H1330" s="28">
        <v>728.88</v>
      </c>
      <c r="I1330" s="28">
        <v>79611</v>
      </c>
      <c r="J1330" s="28">
        <v>26919</v>
      </c>
      <c r="K1330" s="28">
        <v>33.81</v>
      </c>
      <c r="L1330" s="29">
        <f>SUM(NSE_BhavCopy[[#This Row],[ CLOSE_PRICE]]-NSE_BhavCopy[[#This Row],[ PREV_CLOSE]])/NSE_BhavCopy[[#This Row],[ PREV_CLOSE]]*100</f>
        <v>8.8743258925520818E-2</v>
      </c>
    </row>
    <row r="1331" spans="1:12" hidden="1" x14ac:dyDescent="0.25">
      <c r="A1331" s="28" t="s">
        <v>662</v>
      </c>
      <c r="B1331" s="28" t="s">
        <v>321</v>
      </c>
      <c r="C1331" s="30">
        <v>44428</v>
      </c>
      <c r="D1331" s="28">
        <v>101.95</v>
      </c>
      <c r="E1331" s="28">
        <v>100.9</v>
      </c>
      <c r="F1331" s="28">
        <v>104.9</v>
      </c>
      <c r="G1331" s="28">
        <v>102.9</v>
      </c>
      <c r="H1331" s="28">
        <v>101.2</v>
      </c>
      <c r="I1331" s="28">
        <v>1009136</v>
      </c>
      <c r="J1331" s="28">
        <v>340746</v>
      </c>
      <c r="K1331" s="28">
        <v>33.770000000000003</v>
      </c>
      <c r="L1331" s="29">
        <f>SUM(NSE_BhavCopy[[#This Row],[ CLOSE_PRICE]]-NSE_BhavCopy[[#This Row],[ PREV_CLOSE]])/NSE_BhavCopy[[#This Row],[ PREV_CLOSE]]*100</f>
        <v>0.93182932810201358</v>
      </c>
    </row>
    <row r="1332" spans="1:12" hidden="1" x14ac:dyDescent="0.25">
      <c r="A1332" s="28" t="s">
        <v>911</v>
      </c>
      <c r="B1332" s="28" t="s">
        <v>321</v>
      </c>
      <c r="C1332" s="30">
        <v>44428</v>
      </c>
      <c r="D1332" s="28">
        <v>994.4</v>
      </c>
      <c r="E1332" s="28">
        <v>940</v>
      </c>
      <c r="F1332" s="28">
        <v>1002.65</v>
      </c>
      <c r="G1332" s="28">
        <v>964.95</v>
      </c>
      <c r="H1332" s="28">
        <v>978.07</v>
      </c>
      <c r="I1332" s="28">
        <v>138122</v>
      </c>
      <c r="J1332" s="28">
        <v>46592</v>
      </c>
      <c r="K1332" s="28">
        <v>33.729999999999997</v>
      </c>
      <c r="L1332" s="29">
        <f>SUM(NSE_BhavCopy[[#This Row],[ CLOSE_PRICE]]-NSE_BhavCopy[[#This Row],[ PREV_CLOSE]])/NSE_BhavCopy[[#This Row],[ PREV_CLOSE]]*100</f>
        <v>-2.9615848753016825</v>
      </c>
    </row>
    <row r="1333" spans="1:12" hidden="1" x14ac:dyDescent="0.25">
      <c r="A1333" s="28" t="s">
        <v>1285</v>
      </c>
      <c r="B1333" s="28" t="s">
        <v>321</v>
      </c>
      <c r="C1333" s="30">
        <v>44428</v>
      </c>
      <c r="D1333" s="28">
        <v>73.55</v>
      </c>
      <c r="E1333" s="28">
        <v>72.400000000000006</v>
      </c>
      <c r="F1333" s="28">
        <v>73.150000000000006</v>
      </c>
      <c r="G1333" s="28">
        <v>71.55</v>
      </c>
      <c r="H1333" s="28">
        <v>72.12</v>
      </c>
      <c r="I1333" s="28">
        <v>1539494</v>
      </c>
      <c r="J1333" s="28">
        <v>519106</v>
      </c>
      <c r="K1333" s="28">
        <v>33.72</v>
      </c>
      <c r="L1333" s="29">
        <f>SUM(NSE_BhavCopy[[#This Row],[ CLOSE_PRICE]]-NSE_BhavCopy[[#This Row],[ PREV_CLOSE]])/NSE_BhavCopy[[#This Row],[ PREV_CLOSE]]*100</f>
        <v>-2.7192386131883071</v>
      </c>
    </row>
    <row r="1334" spans="1:12" hidden="1" x14ac:dyDescent="0.25">
      <c r="A1334" s="28" t="s">
        <v>1687</v>
      </c>
      <c r="B1334" s="28" t="s">
        <v>321</v>
      </c>
      <c r="C1334" s="30">
        <v>44428</v>
      </c>
      <c r="D1334" s="28">
        <v>208.8</v>
      </c>
      <c r="E1334" s="28">
        <v>201</v>
      </c>
      <c r="F1334" s="28">
        <v>211.25</v>
      </c>
      <c r="G1334" s="28">
        <v>207.2</v>
      </c>
      <c r="H1334" s="28">
        <v>205.09</v>
      </c>
      <c r="I1334" s="28">
        <v>4640</v>
      </c>
      <c r="J1334" s="28">
        <v>1564</v>
      </c>
      <c r="K1334" s="28">
        <v>33.71</v>
      </c>
      <c r="L1334" s="29">
        <f>SUM(NSE_BhavCopy[[#This Row],[ CLOSE_PRICE]]-NSE_BhavCopy[[#This Row],[ PREV_CLOSE]])/NSE_BhavCopy[[#This Row],[ PREV_CLOSE]]*100</f>
        <v>-0.76628352490422547</v>
      </c>
    </row>
    <row r="1335" spans="1:12" hidden="1" x14ac:dyDescent="0.25">
      <c r="A1335" s="28" t="s">
        <v>1078</v>
      </c>
      <c r="B1335" s="28" t="s">
        <v>321</v>
      </c>
      <c r="C1335" s="30">
        <v>44428</v>
      </c>
      <c r="D1335" s="28">
        <v>1066.8</v>
      </c>
      <c r="E1335" s="28">
        <v>1050</v>
      </c>
      <c r="F1335" s="28">
        <v>1075.3</v>
      </c>
      <c r="G1335" s="28">
        <v>1036.4000000000001</v>
      </c>
      <c r="H1335" s="28">
        <v>1048.55</v>
      </c>
      <c r="I1335" s="28">
        <v>582652</v>
      </c>
      <c r="J1335" s="28">
        <v>195716</v>
      </c>
      <c r="K1335" s="28">
        <v>33.590000000000003</v>
      </c>
      <c r="L1335" s="29">
        <f>SUM(NSE_BhavCopy[[#This Row],[ CLOSE_PRICE]]-NSE_BhavCopy[[#This Row],[ PREV_CLOSE]])/NSE_BhavCopy[[#This Row],[ PREV_CLOSE]]*100</f>
        <v>-2.8496437945256714</v>
      </c>
    </row>
    <row r="1336" spans="1:12" hidden="1" x14ac:dyDescent="0.25">
      <c r="A1336" s="28" t="s">
        <v>364</v>
      </c>
      <c r="B1336" s="28" t="s">
        <v>321</v>
      </c>
      <c r="C1336" s="30">
        <v>44428</v>
      </c>
      <c r="D1336" s="28">
        <v>105.05</v>
      </c>
      <c r="E1336" s="28">
        <v>104</v>
      </c>
      <c r="F1336" s="28">
        <v>104.8</v>
      </c>
      <c r="G1336" s="28">
        <v>102.4</v>
      </c>
      <c r="H1336" s="28">
        <v>103.32</v>
      </c>
      <c r="I1336" s="28">
        <v>329365</v>
      </c>
      <c r="J1336" s="28">
        <v>110553</v>
      </c>
      <c r="K1336" s="28">
        <v>33.57</v>
      </c>
      <c r="L1336" s="29">
        <f>SUM(NSE_BhavCopy[[#This Row],[ CLOSE_PRICE]]-NSE_BhavCopy[[#This Row],[ PREV_CLOSE]])/NSE_BhavCopy[[#This Row],[ PREV_CLOSE]]*100</f>
        <v>-2.5226082817705775</v>
      </c>
    </row>
    <row r="1337" spans="1:12" hidden="1" x14ac:dyDescent="0.25">
      <c r="A1337" s="28" t="s">
        <v>1276</v>
      </c>
      <c r="B1337" s="28" t="s">
        <v>321</v>
      </c>
      <c r="C1337" s="30">
        <v>44428</v>
      </c>
      <c r="D1337" s="28">
        <v>989.3</v>
      </c>
      <c r="E1337" s="28">
        <v>981.3</v>
      </c>
      <c r="F1337" s="28">
        <v>991.95</v>
      </c>
      <c r="G1337" s="28">
        <v>958.15</v>
      </c>
      <c r="H1337" s="28">
        <v>967.31</v>
      </c>
      <c r="I1337" s="28">
        <v>515861</v>
      </c>
      <c r="J1337" s="28">
        <v>173175</v>
      </c>
      <c r="K1337" s="28">
        <v>33.57</v>
      </c>
      <c r="L1337" s="29">
        <f>SUM(NSE_BhavCopy[[#This Row],[ CLOSE_PRICE]]-NSE_BhavCopy[[#This Row],[ PREV_CLOSE]])/NSE_BhavCopy[[#This Row],[ PREV_CLOSE]]*100</f>
        <v>-3.1486909936318588</v>
      </c>
    </row>
    <row r="1338" spans="1:12" hidden="1" x14ac:dyDescent="0.25">
      <c r="A1338" s="28" t="s">
        <v>1123</v>
      </c>
      <c r="B1338" s="28" t="s">
        <v>321</v>
      </c>
      <c r="C1338" s="30">
        <v>44428</v>
      </c>
      <c r="D1338" s="28">
        <v>78.650000000000006</v>
      </c>
      <c r="E1338" s="28">
        <v>76.3</v>
      </c>
      <c r="F1338" s="28">
        <v>78</v>
      </c>
      <c r="G1338" s="28">
        <v>73.3</v>
      </c>
      <c r="H1338" s="28">
        <v>75.02</v>
      </c>
      <c r="I1338" s="28">
        <v>33877528</v>
      </c>
      <c r="J1338" s="28">
        <v>11334157</v>
      </c>
      <c r="K1338" s="28">
        <v>33.46</v>
      </c>
      <c r="L1338" s="29">
        <f>SUM(NSE_BhavCopy[[#This Row],[ CLOSE_PRICE]]-NSE_BhavCopy[[#This Row],[ PREV_CLOSE]])/NSE_BhavCopy[[#This Row],[ PREV_CLOSE]]*100</f>
        <v>-6.8022886204704491</v>
      </c>
    </row>
    <row r="1339" spans="1:12" hidden="1" x14ac:dyDescent="0.25">
      <c r="A1339" s="28" t="s">
        <v>590</v>
      </c>
      <c r="B1339" s="28" t="s">
        <v>321</v>
      </c>
      <c r="C1339" s="30">
        <v>44428</v>
      </c>
      <c r="D1339" s="28">
        <v>2134.3000000000002</v>
      </c>
      <c r="E1339" s="28">
        <v>2114</v>
      </c>
      <c r="F1339" s="28">
        <v>2146</v>
      </c>
      <c r="G1339" s="28">
        <v>2098.85</v>
      </c>
      <c r="H1339" s="28">
        <v>2113.3000000000002</v>
      </c>
      <c r="I1339" s="28">
        <v>706512</v>
      </c>
      <c r="J1339" s="28">
        <v>235847</v>
      </c>
      <c r="K1339" s="28">
        <v>33.380000000000003</v>
      </c>
      <c r="L1339" s="29">
        <f>SUM(NSE_BhavCopy[[#This Row],[ CLOSE_PRICE]]-NSE_BhavCopy[[#This Row],[ PREV_CLOSE]])/NSE_BhavCopy[[#This Row],[ PREV_CLOSE]]*100</f>
        <v>-1.6609661247247467</v>
      </c>
    </row>
    <row r="1340" spans="1:12" hidden="1" x14ac:dyDescent="0.25">
      <c r="A1340" s="28" t="s">
        <v>577</v>
      </c>
      <c r="B1340" s="28" t="s">
        <v>321</v>
      </c>
      <c r="C1340" s="30">
        <v>44428</v>
      </c>
      <c r="D1340" s="28">
        <v>597.4</v>
      </c>
      <c r="E1340" s="28">
        <v>594.65</v>
      </c>
      <c r="F1340" s="28">
        <v>616</v>
      </c>
      <c r="G1340" s="28">
        <v>611.70000000000005</v>
      </c>
      <c r="H1340" s="28">
        <v>605.97</v>
      </c>
      <c r="I1340" s="28">
        <v>4420438</v>
      </c>
      <c r="J1340" s="28">
        <v>1475169</v>
      </c>
      <c r="K1340" s="28">
        <v>33.369999999999997</v>
      </c>
      <c r="L1340" s="29">
        <f>SUM(NSE_BhavCopy[[#This Row],[ CLOSE_PRICE]]-NSE_BhavCopy[[#This Row],[ PREV_CLOSE]])/NSE_BhavCopy[[#This Row],[ PREV_CLOSE]]*100</f>
        <v>2.3937060595915751</v>
      </c>
    </row>
    <row r="1341" spans="1:12" hidden="1" x14ac:dyDescent="0.25">
      <c r="A1341" s="28" t="s">
        <v>432</v>
      </c>
      <c r="B1341" s="28" t="s">
        <v>321</v>
      </c>
      <c r="C1341" s="30">
        <v>44428</v>
      </c>
      <c r="D1341" s="28">
        <v>457.2</v>
      </c>
      <c r="E1341" s="28">
        <v>448</v>
      </c>
      <c r="F1341" s="28">
        <v>460</v>
      </c>
      <c r="G1341" s="28">
        <v>444.35</v>
      </c>
      <c r="H1341" s="28">
        <v>450.87</v>
      </c>
      <c r="I1341" s="28">
        <v>69326</v>
      </c>
      <c r="J1341" s="28">
        <v>23128</v>
      </c>
      <c r="K1341" s="28">
        <v>33.36</v>
      </c>
      <c r="L1341" s="29">
        <f>SUM(NSE_BhavCopy[[#This Row],[ CLOSE_PRICE]]-NSE_BhavCopy[[#This Row],[ PREV_CLOSE]])/NSE_BhavCopy[[#This Row],[ PREV_CLOSE]]*100</f>
        <v>-2.8105861767279019</v>
      </c>
    </row>
    <row r="1342" spans="1:12" hidden="1" x14ac:dyDescent="0.25">
      <c r="A1342" s="28" t="s">
        <v>1467</v>
      </c>
      <c r="B1342" s="28" t="s">
        <v>321</v>
      </c>
      <c r="C1342" s="30">
        <v>44428</v>
      </c>
      <c r="D1342" s="28">
        <v>128.44999999999999</v>
      </c>
      <c r="E1342" s="28">
        <v>126</v>
      </c>
      <c r="F1342" s="28">
        <v>129.6</v>
      </c>
      <c r="G1342" s="28">
        <v>126.55</v>
      </c>
      <c r="H1342" s="28">
        <v>127.01</v>
      </c>
      <c r="I1342" s="28">
        <v>83238</v>
      </c>
      <c r="J1342" s="28">
        <v>27762</v>
      </c>
      <c r="K1342" s="28">
        <v>33.35</v>
      </c>
      <c r="L1342" s="29">
        <f>SUM(NSE_BhavCopy[[#This Row],[ CLOSE_PRICE]]-NSE_BhavCopy[[#This Row],[ PREV_CLOSE]])/NSE_BhavCopy[[#This Row],[ PREV_CLOSE]]*100</f>
        <v>-1.4791747761774945</v>
      </c>
    </row>
    <row r="1343" spans="1:12" hidden="1" x14ac:dyDescent="0.25">
      <c r="A1343" s="28" t="s">
        <v>901</v>
      </c>
      <c r="B1343" s="28" t="s">
        <v>321</v>
      </c>
      <c r="C1343" s="30">
        <v>44428</v>
      </c>
      <c r="D1343" s="28">
        <v>129.6</v>
      </c>
      <c r="E1343" s="28">
        <v>128.80000000000001</v>
      </c>
      <c r="F1343" s="28">
        <v>128.80000000000001</v>
      </c>
      <c r="G1343" s="28">
        <v>122.7</v>
      </c>
      <c r="H1343" s="28">
        <v>125.11</v>
      </c>
      <c r="I1343" s="28">
        <v>821381</v>
      </c>
      <c r="J1343" s="28">
        <v>273799</v>
      </c>
      <c r="K1343" s="28">
        <v>33.33</v>
      </c>
      <c r="L1343" s="29">
        <f>SUM(NSE_BhavCopy[[#This Row],[ CLOSE_PRICE]]-NSE_BhavCopy[[#This Row],[ PREV_CLOSE]])/NSE_BhavCopy[[#This Row],[ PREV_CLOSE]]*100</f>
        <v>-5.3240740740740682</v>
      </c>
    </row>
    <row r="1344" spans="1:12" hidden="1" x14ac:dyDescent="0.25">
      <c r="A1344" s="28" t="s">
        <v>1005</v>
      </c>
      <c r="B1344" s="28" t="s">
        <v>321</v>
      </c>
      <c r="C1344" s="30">
        <v>44428</v>
      </c>
      <c r="D1344" s="28">
        <v>165.05</v>
      </c>
      <c r="E1344" s="28">
        <v>164</v>
      </c>
      <c r="F1344" s="28">
        <v>164</v>
      </c>
      <c r="G1344" s="28">
        <v>161</v>
      </c>
      <c r="H1344" s="28">
        <v>161.47999999999999</v>
      </c>
      <c r="I1344" s="28">
        <v>85188</v>
      </c>
      <c r="J1344" s="28">
        <v>28338</v>
      </c>
      <c r="K1344" s="28">
        <v>33.270000000000003</v>
      </c>
      <c r="L1344" s="29">
        <f>SUM(NSE_BhavCopy[[#This Row],[ CLOSE_PRICE]]-NSE_BhavCopy[[#This Row],[ PREV_CLOSE]])/NSE_BhavCopy[[#This Row],[ PREV_CLOSE]]*100</f>
        <v>-2.4538018782187283</v>
      </c>
    </row>
    <row r="1345" spans="1:12" hidden="1" x14ac:dyDescent="0.25">
      <c r="A1345" s="28" t="s">
        <v>167</v>
      </c>
      <c r="B1345" s="28" t="s">
        <v>321</v>
      </c>
      <c r="C1345" s="30">
        <v>44428</v>
      </c>
      <c r="D1345" s="28">
        <v>166.95</v>
      </c>
      <c r="E1345" s="28">
        <v>161.85</v>
      </c>
      <c r="F1345" s="28">
        <v>161.85</v>
      </c>
      <c r="G1345" s="28">
        <v>151</v>
      </c>
      <c r="H1345" s="28">
        <v>155.43</v>
      </c>
      <c r="I1345" s="28">
        <v>29132391</v>
      </c>
      <c r="J1345" s="28">
        <v>9688306</v>
      </c>
      <c r="K1345" s="28">
        <v>33.26</v>
      </c>
      <c r="L1345" s="29">
        <f>SUM(NSE_BhavCopy[[#This Row],[ CLOSE_PRICE]]-NSE_BhavCopy[[#This Row],[ PREV_CLOSE]])/NSE_BhavCopy[[#This Row],[ PREV_CLOSE]]*100</f>
        <v>-9.5537586103623777</v>
      </c>
    </row>
    <row r="1346" spans="1:12" hidden="1" x14ac:dyDescent="0.25">
      <c r="A1346" s="28" t="s">
        <v>1577</v>
      </c>
      <c r="B1346" s="28" t="s">
        <v>321</v>
      </c>
      <c r="C1346" s="30">
        <v>44428</v>
      </c>
      <c r="D1346" s="28">
        <v>312.8</v>
      </c>
      <c r="E1346" s="28">
        <v>303.05</v>
      </c>
      <c r="F1346" s="28">
        <v>353.5</v>
      </c>
      <c r="G1346" s="28">
        <v>346.8</v>
      </c>
      <c r="H1346" s="28">
        <v>337.71</v>
      </c>
      <c r="I1346" s="28">
        <v>518972</v>
      </c>
      <c r="J1346" s="28">
        <v>172238</v>
      </c>
      <c r="K1346" s="28">
        <v>33.19</v>
      </c>
      <c r="L1346" s="29">
        <f>SUM(NSE_BhavCopy[[#This Row],[ CLOSE_PRICE]]-NSE_BhavCopy[[#This Row],[ PREV_CLOSE]])/NSE_BhavCopy[[#This Row],[ PREV_CLOSE]]*100</f>
        <v>10.869565217391305</v>
      </c>
    </row>
    <row r="1347" spans="1:12" hidden="1" x14ac:dyDescent="0.25">
      <c r="A1347" s="28" t="s">
        <v>471</v>
      </c>
      <c r="B1347" s="28" t="s">
        <v>321</v>
      </c>
      <c r="C1347" s="30">
        <v>44428</v>
      </c>
      <c r="D1347" s="28">
        <v>1305.5</v>
      </c>
      <c r="E1347" s="28">
        <v>1292</v>
      </c>
      <c r="F1347" s="28">
        <v>1300</v>
      </c>
      <c r="G1347" s="28">
        <v>1286.2</v>
      </c>
      <c r="H1347" s="28">
        <v>1283</v>
      </c>
      <c r="I1347" s="28">
        <v>214190</v>
      </c>
      <c r="J1347" s="28">
        <v>71020</v>
      </c>
      <c r="K1347" s="28">
        <v>33.159999999999997</v>
      </c>
      <c r="L1347" s="29">
        <f>SUM(NSE_BhavCopy[[#This Row],[ CLOSE_PRICE]]-NSE_BhavCopy[[#This Row],[ PREV_CLOSE]])/NSE_BhavCopy[[#This Row],[ PREV_CLOSE]]*100</f>
        <v>-1.4783607813098394</v>
      </c>
    </row>
    <row r="1348" spans="1:12" hidden="1" x14ac:dyDescent="0.25">
      <c r="A1348" s="28" t="s">
        <v>1208</v>
      </c>
      <c r="B1348" s="28" t="s">
        <v>321</v>
      </c>
      <c r="C1348" s="30">
        <v>44428</v>
      </c>
      <c r="D1348" s="28">
        <v>42.15</v>
      </c>
      <c r="E1348" s="28">
        <v>42</v>
      </c>
      <c r="F1348" s="28">
        <v>43.35</v>
      </c>
      <c r="G1348" s="28">
        <v>41.15</v>
      </c>
      <c r="H1348" s="28">
        <v>41.79</v>
      </c>
      <c r="I1348" s="28">
        <v>450214</v>
      </c>
      <c r="J1348" s="28">
        <v>149234</v>
      </c>
      <c r="K1348" s="28">
        <v>33.15</v>
      </c>
      <c r="L1348" s="29">
        <f>SUM(NSE_BhavCopy[[#This Row],[ CLOSE_PRICE]]-NSE_BhavCopy[[#This Row],[ PREV_CLOSE]])/NSE_BhavCopy[[#This Row],[ PREV_CLOSE]]*100</f>
        <v>-2.3724792408066429</v>
      </c>
    </row>
    <row r="1349" spans="1:12" hidden="1" x14ac:dyDescent="0.25">
      <c r="A1349" s="28" t="s">
        <v>1316</v>
      </c>
      <c r="B1349" s="28" t="s">
        <v>321</v>
      </c>
      <c r="C1349" s="30">
        <v>44428</v>
      </c>
      <c r="D1349" s="28">
        <v>288.95</v>
      </c>
      <c r="E1349" s="28">
        <v>283.10000000000002</v>
      </c>
      <c r="F1349" s="28">
        <v>287.85000000000002</v>
      </c>
      <c r="G1349" s="28">
        <v>278.3</v>
      </c>
      <c r="H1349" s="28">
        <v>281.43</v>
      </c>
      <c r="I1349" s="28">
        <v>48543</v>
      </c>
      <c r="J1349" s="28">
        <v>16019</v>
      </c>
      <c r="K1349" s="28">
        <v>33</v>
      </c>
      <c r="L1349" s="29">
        <f>SUM(NSE_BhavCopy[[#This Row],[ CLOSE_PRICE]]-NSE_BhavCopy[[#This Row],[ PREV_CLOSE]])/NSE_BhavCopy[[#This Row],[ PREV_CLOSE]]*100</f>
        <v>-3.6857587817961508</v>
      </c>
    </row>
    <row r="1350" spans="1:12" hidden="1" x14ac:dyDescent="0.25">
      <c r="A1350" s="28" t="s">
        <v>698</v>
      </c>
      <c r="B1350" s="28" t="s">
        <v>321</v>
      </c>
      <c r="C1350" s="30">
        <v>44428</v>
      </c>
      <c r="D1350" s="28">
        <v>60.85</v>
      </c>
      <c r="E1350" s="28">
        <v>63.6</v>
      </c>
      <c r="F1350" s="28">
        <v>68</v>
      </c>
      <c r="G1350" s="28">
        <v>61.95</v>
      </c>
      <c r="H1350" s="28">
        <v>64.25</v>
      </c>
      <c r="I1350" s="28">
        <v>3550270</v>
      </c>
      <c r="J1350" s="28">
        <v>1168677</v>
      </c>
      <c r="K1350" s="28">
        <v>32.92</v>
      </c>
      <c r="L1350" s="29">
        <f>SUM(NSE_BhavCopy[[#This Row],[ CLOSE_PRICE]]-NSE_BhavCopy[[#This Row],[ PREV_CLOSE]])/NSE_BhavCopy[[#This Row],[ PREV_CLOSE]]*100</f>
        <v>1.8077239112571923</v>
      </c>
    </row>
    <row r="1351" spans="1:12" hidden="1" x14ac:dyDescent="0.25">
      <c r="A1351" s="28" t="s">
        <v>836</v>
      </c>
      <c r="B1351" s="28" t="s">
        <v>321</v>
      </c>
      <c r="C1351" s="30">
        <v>44428</v>
      </c>
      <c r="D1351" s="28">
        <v>37.6</v>
      </c>
      <c r="E1351" s="28">
        <v>37.049999999999997</v>
      </c>
      <c r="F1351" s="28">
        <v>37.9</v>
      </c>
      <c r="G1351" s="28">
        <v>37.450000000000003</v>
      </c>
      <c r="H1351" s="28">
        <v>37.46</v>
      </c>
      <c r="I1351" s="28">
        <v>11907060</v>
      </c>
      <c r="J1351" s="28">
        <v>3915455</v>
      </c>
      <c r="K1351" s="28">
        <v>32.880000000000003</v>
      </c>
      <c r="L1351" s="29">
        <f>SUM(NSE_BhavCopy[[#This Row],[ CLOSE_PRICE]]-NSE_BhavCopy[[#This Row],[ PREV_CLOSE]])/NSE_BhavCopy[[#This Row],[ PREV_CLOSE]]*100</f>
        <v>-0.39893617021276218</v>
      </c>
    </row>
    <row r="1352" spans="1:12" hidden="1" x14ac:dyDescent="0.25">
      <c r="A1352" s="28" t="s">
        <v>808</v>
      </c>
      <c r="B1352" s="28" t="s">
        <v>321</v>
      </c>
      <c r="C1352" s="30">
        <v>44428</v>
      </c>
      <c r="D1352" s="28">
        <v>225.9</v>
      </c>
      <c r="E1352" s="28">
        <v>223.6</v>
      </c>
      <c r="F1352" s="28">
        <v>227.15</v>
      </c>
      <c r="G1352" s="28">
        <v>222</v>
      </c>
      <c r="H1352" s="28">
        <v>223.45</v>
      </c>
      <c r="I1352" s="28">
        <v>113166</v>
      </c>
      <c r="J1352" s="28">
        <v>36983</v>
      </c>
      <c r="K1352" s="28">
        <v>32.68</v>
      </c>
      <c r="L1352" s="29">
        <f>SUM(NSE_BhavCopy[[#This Row],[ CLOSE_PRICE]]-NSE_BhavCopy[[#This Row],[ PREV_CLOSE]])/NSE_BhavCopy[[#This Row],[ PREV_CLOSE]]*100</f>
        <v>-1.7264276228419682</v>
      </c>
    </row>
    <row r="1353" spans="1:12" hidden="1" x14ac:dyDescent="0.25">
      <c r="A1353" s="28" t="s">
        <v>1006</v>
      </c>
      <c r="B1353" s="28" t="s">
        <v>321</v>
      </c>
      <c r="C1353" s="30">
        <v>44428</v>
      </c>
      <c r="D1353" s="28">
        <v>384.75</v>
      </c>
      <c r="E1353" s="28">
        <v>380</v>
      </c>
      <c r="F1353" s="28">
        <v>384.85</v>
      </c>
      <c r="G1353" s="28">
        <v>375.5</v>
      </c>
      <c r="H1353" s="28">
        <v>379.91</v>
      </c>
      <c r="I1353" s="28">
        <v>3045747</v>
      </c>
      <c r="J1353" s="28">
        <v>993182</v>
      </c>
      <c r="K1353" s="28">
        <v>32.61</v>
      </c>
      <c r="L1353" s="29">
        <f>SUM(NSE_BhavCopy[[#This Row],[ CLOSE_PRICE]]-NSE_BhavCopy[[#This Row],[ PREV_CLOSE]])/NSE_BhavCopy[[#This Row],[ PREV_CLOSE]]*100</f>
        <v>-2.4041585445094213</v>
      </c>
    </row>
    <row r="1354" spans="1:12" hidden="1" x14ac:dyDescent="0.25">
      <c r="A1354" s="28" t="s">
        <v>1129</v>
      </c>
      <c r="B1354" s="28" t="s">
        <v>321</v>
      </c>
      <c r="C1354" s="30">
        <v>44428</v>
      </c>
      <c r="D1354" s="28">
        <v>43.6</v>
      </c>
      <c r="E1354" s="28">
        <v>43</v>
      </c>
      <c r="F1354" s="28">
        <v>44.15</v>
      </c>
      <c r="G1354" s="28">
        <v>42.85</v>
      </c>
      <c r="H1354" s="28">
        <v>43.22</v>
      </c>
      <c r="I1354" s="28">
        <v>5557546</v>
      </c>
      <c r="J1354" s="28">
        <v>1812081</v>
      </c>
      <c r="K1354" s="28">
        <v>32.61</v>
      </c>
      <c r="L1354" s="29">
        <f>SUM(NSE_BhavCopy[[#This Row],[ CLOSE_PRICE]]-NSE_BhavCopy[[#This Row],[ PREV_CLOSE]])/NSE_BhavCopy[[#This Row],[ PREV_CLOSE]]*100</f>
        <v>-1.7201834862385321</v>
      </c>
    </row>
    <row r="1355" spans="1:12" hidden="1" x14ac:dyDescent="0.25">
      <c r="A1355" s="28" t="s">
        <v>1023</v>
      </c>
      <c r="B1355" s="28" t="s">
        <v>321</v>
      </c>
      <c r="C1355" s="30">
        <v>44428</v>
      </c>
      <c r="D1355" s="28">
        <v>368.95</v>
      </c>
      <c r="E1355" s="28">
        <v>360</v>
      </c>
      <c r="F1355" s="28">
        <v>374.45</v>
      </c>
      <c r="G1355" s="28">
        <v>362.3</v>
      </c>
      <c r="H1355" s="28">
        <v>366.18</v>
      </c>
      <c r="I1355" s="28">
        <v>3633725</v>
      </c>
      <c r="J1355" s="28">
        <v>1183873</v>
      </c>
      <c r="K1355" s="28">
        <v>32.58</v>
      </c>
      <c r="L1355" s="29">
        <f>SUM(NSE_BhavCopy[[#This Row],[ CLOSE_PRICE]]-NSE_BhavCopy[[#This Row],[ PREV_CLOSE]])/NSE_BhavCopy[[#This Row],[ PREV_CLOSE]]*100</f>
        <v>-1.802412250982512</v>
      </c>
    </row>
    <row r="1356" spans="1:12" hidden="1" x14ac:dyDescent="0.25">
      <c r="A1356" s="28" t="s">
        <v>1104</v>
      </c>
      <c r="B1356" s="28" t="s">
        <v>321</v>
      </c>
      <c r="C1356" s="30">
        <v>44428</v>
      </c>
      <c r="D1356" s="28">
        <v>813.1</v>
      </c>
      <c r="E1356" s="28">
        <v>806</v>
      </c>
      <c r="F1356" s="28">
        <v>815.55</v>
      </c>
      <c r="G1356" s="28">
        <v>784.15</v>
      </c>
      <c r="H1356" s="28">
        <v>797.28</v>
      </c>
      <c r="I1356" s="28">
        <v>310546</v>
      </c>
      <c r="J1356" s="28">
        <v>100998</v>
      </c>
      <c r="K1356" s="28">
        <v>32.520000000000003</v>
      </c>
      <c r="L1356" s="29">
        <f>SUM(NSE_BhavCopy[[#This Row],[ CLOSE_PRICE]]-NSE_BhavCopy[[#This Row],[ PREV_CLOSE]])/NSE_BhavCopy[[#This Row],[ PREV_CLOSE]]*100</f>
        <v>-3.5604476694133615</v>
      </c>
    </row>
    <row r="1357" spans="1:12" hidden="1" x14ac:dyDescent="0.25">
      <c r="A1357" s="28" t="s">
        <v>435</v>
      </c>
      <c r="B1357" s="28" t="s">
        <v>321</v>
      </c>
      <c r="C1357" s="30">
        <v>44428</v>
      </c>
      <c r="D1357" s="28">
        <v>361.3</v>
      </c>
      <c r="E1357" s="28">
        <v>354</v>
      </c>
      <c r="F1357" s="28">
        <v>377.3</v>
      </c>
      <c r="G1357" s="28">
        <v>353.95</v>
      </c>
      <c r="H1357" s="28">
        <v>364.77</v>
      </c>
      <c r="I1357" s="28">
        <v>386095</v>
      </c>
      <c r="J1357" s="28">
        <v>125524</v>
      </c>
      <c r="K1357" s="28">
        <v>32.51</v>
      </c>
      <c r="L1357" s="29">
        <f>SUM(NSE_BhavCopy[[#This Row],[ CLOSE_PRICE]]-NSE_BhavCopy[[#This Row],[ PREV_CLOSE]])/NSE_BhavCopy[[#This Row],[ PREV_CLOSE]]*100</f>
        <v>-2.0343205092720793</v>
      </c>
    </row>
    <row r="1358" spans="1:12" hidden="1" x14ac:dyDescent="0.25">
      <c r="A1358" s="28" t="s">
        <v>805</v>
      </c>
      <c r="B1358" s="28" t="s">
        <v>321</v>
      </c>
      <c r="C1358" s="30">
        <v>44428</v>
      </c>
      <c r="D1358" s="28">
        <v>1254.8499999999999</v>
      </c>
      <c r="E1358" s="28">
        <v>1254.8499999999999</v>
      </c>
      <c r="F1358" s="28">
        <v>1254.8499999999999</v>
      </c>
      <c r="G1358" s="28">
        <v>1215.5999999999999</v>
      </c>
      <c r="H1358" s="28">
        <v>1223.06</v>
      </c>
      <c r="I1358" s="28">
        <v>11079</v>
      </c>
      <c r="J1358" s="28">
        <v>3594</v>
      </c>
      <c r="K1358" s="28">
        <v>32.44</v>
      </c>
      <c r="L1358" s="29">
        <f>SUM(NSE_BhavCopy[[#This Row],[ CLOSE_PRICE]]-NSE_BhavCopy[[#This Row],[ PREV_CLOSE]])/NSE_BhavCopy[[#This Row],[ PREV_CLOSE]]*100</f>
        <v>-3.127863888114117</v>
      </c>
    </row>
    <row r="1359" spans="1:12" hidden="1" x14ac:dyDescent="0.25">
      <c r="A1359" s="28" t="s">
        <v>1782</v>
      </c>
      <c r="B1359" s="28" t="s">
        <v>321</v>
      </c>
      <c r="C1359" s="30">
        <v>44428</v>
      </c>
      <c r="D1359" s="28">
        <v>134.94999999999999</v>
      </c>
      <c r="E1359" s="28">
        <v>134.94999999999999</v>
      </c>
      <c r="F1359" s="28">
        <v>141.44999999999999</v>
      </c>
      <c r="G1359" s="28">
        <v>139.30000000000001</v>
      </c>
      <c r="H1359" s="28">
        <v>138.54</v>
      </c>
      <c r="I1359" s="28">
        <v>53789580</v>
      </c>
      <c r="J1359" s="28">
        <v>17328381</v>
      </c>
      <c r="K1359" s="28">
        <v>32.22</v>
      </c>
      <c r="L1359" s="29">
        <f>SUM(NSE_BhavCopy[[#This Row],[ CLOSE_PRICE]]-NSE_BhavCopy[[#This Row],[ PREV_CLOSE]])/NSE_BhavCopy[[#This Row],[ PREV_CLOSE]]*100</f>
        <v>3.2234160800296578</v>
      </c>
    </row>
    <row r="1360" spans="1:12" hidden="1" x14ac:dyDescent="0.25">
      <c r="A1360" s="28" t="s">
        <v>42</v>
      </c>
      <c r="B1360" s="28" t="s">
        <v>321</v>
      </c>
      <c r="C1360" s="30">
        <v>44428</v>
      </c>
      <c r="D1360" s="28">
        <v>26327.3</v>
      </c>
      <c r="E1360" s="28">
        <v>26200</v>
      </c>
      <c r="F1360" s="28">
        <v>26365</v>
      </c>
      <c r="G1360" s="28">
        <v>26291.15</v>
      </c>
      <c r="H1360" s="28">
        <v>26140.9</v>
      </c>
      <c r="I1360" s="28">
        <v>35529</v>
      </c>
      <c r="J1360" s="28">
        <v>11428</v>
      </c>
      <c r="K1360" s="28">
        <v>32.17</v>
      </c>
      <c r="L1360" s="29">
        <f>SUM(NSE_BhavCopy[[#This Row],[ CLOSE_PRICE]]-NSE_BhavCopy[[#This Row],[ PREV_CLOSE]])/NSE_BhavCopy[[#This Row],[ PREV_CLOSE]]*100</f>
        <v>-0.13730994063195931</v>
      </c>
    </row>
    <row r="1361" spans="1:12" hidden="1" x14ac:dyDescent="0.25">
      <c r="A1361" s="28" t="s">
        <v>725</v>
      </c>
      <c r="B1361" s="28" t="s">
        <v>321</v>
      </c>
      <c r="C1361" s="30">
        <v>44428</v>
      </c>
      <c r="D1361" s="28">
        <v>1005.2</v>
      </c>
      <c r="E1361" s="28">
        <v>1000</v>
      </c>
      <c r="F1361" s="28">
        <v>1045</v>
      </c>
      <c r="G1361" s="28">
        <v>1033.1500000000001</v>
      </c>
      <c r="H1361" s="28">
        <v>1019.37</v>
      </c>
      <c r="I1361" s="28">
        <v>2742914</v>
      </c>
      <c r="J1361" s="28">
        <v>879980</v>
      </c>
      <c r="K1361" s="28">
        <v>32.08</v>
      </c>
      <c r="L1361" s="29">
        <f>SUM(NSE_BhavCopy[[#This Row],[ CLOSE_PRICE]]-NSE_BhavCopy[[#This Row],[ PREV_CLOSE]])/NSE_BhavCopy[[#This Row],[ PREV_CLOSE]]*100</f>
        <v>2.7805411858336693</v>
      </c>
    </row>
    <row r="1362" spans="1:12" hidden="1" x14ac:dyDescent="0.25">
      <c r="A1362" s="28" t="s">
        <v>892</v>
      </c>
      <c r="B1362" s="28" t="s">
        <v>321</v>
      </c>
      <c r="C1362" s="30">
        <v>44428</v>
      </c>
      <c r="D1362" s="28">
        <v>116.75</v>
      </c>
      <c r="E1362" s="28">
        <v>116.5</v>
      </c>
      <c r="F1362" s="28">
        <v>118.65</v>
      </c>
      <c r="G1362" s="28">
        <v>113.05</v>
      </c>
      <c r="H1362" s="28">
        <v>115.46</v>
      </c>
      <c r="I1362" s="28">
        <v>375891</v>
      </c>
      <c r="J1362" s="28">
        <v>120506</v>
      </c>
      <c r="K1362" s="28">
        <v>32.06</v>
      </c>
      <c r="L1362" s="29">
        <f>SUM(NSE_BhavCopy[[#This Row],[ CLOSE_PRICE]]-NSE_BhavCopy[[#This Row],[ PREV_CLOSE]])/NSE_BhavCopy[[#This Row],[ PREV_CLOSE]]*100</f>
        <v>-3.1691648822269833</v>
      </c>
    </row>
    <row r="1363" spans="1:12" hidden="1" x14ac:dyDescent="0.25">
      <c r="A1363" s="28" t="s">
        <v>1585</v>
      </c>
      <c r="B1363" s="28" t="s">
        <v>321</v>
      </c>
      <c r="C1363" s="30">
        <v>44428</v>
      </c>
      <c r="D1363" s="28">
        <v>474.05</v>
      </c>
      <c r="E1363" s="28">
        <v>464</v>
      </c>
      <c r="F1363" s="28">
        <v>475</v>
      </c>
      <c r="G1363" s="28">
        <v>458.75</v>
      </c>
      <c r="H1363" s="28">
        <v>459.86</v>
      </c>
      <c r="I1363" s="28">
        <v>523422</v>
      </c>
      <c r="J1363" s="28">
        <v>167335</v>
      </c>
      <c r="K1363" s="28">
        <v>31.97</v>
      </c>
      <c r="L1363" s="29">
        <f>SUM(NSE_BhavCopy[[#This Row],[ CLOSE_PRICE]]-NSE_BhavCopy[[#This Row],[ PREV_CLOSE]])/NSE_BhavCopy[[#This Row],[ PREV_CLOSE]]*100</f>
        <v>-3.2275076468726951</v>
      </c>
    </row>
    <row r="1364" spans="1:12" hidden="1" x14ac:dyDescent="0.25">
      <c r="A1364" s="28" t="s">
        <v>660</v>
      </c>
      <c r="B1364" s="28" t="s">
        <v>321</v>
      </c>
      <c r="C1364" s="30">
        <v>44428</v>
      </c>
      <c r="D1364" s="28">
        <v>125.8</v>
      </c>
      <c r="E1364" s="28">
        <v>125.5</v>
      </c>
      <c r="F1364" s="28">
        <v>125.5</v>
      </c>
      <c r="G1364" s="28">
        <v>119.45</v>
      </c>
      <c r="H1364" s="28">
        <v>121.91</v>
      </c>
      <c r="I1364" s="28">
        <v>177150</v>
      </c>
      <c r="J1364" s="28">
        <v>56618</v>
      </c>
      <c r="K1364" s="28">
        <v>31.96</v>
      </c>
      <c r="L1364" s="29">
        <f>SUM(NSE_BhavCopy[[#This Row],[ CLOSE_PRICE]]-NSE_BhavCopy[[#This Row],[ PREV_CLOSE]])/NSE_BhavCopy[[#This Row],[ PREV_CLOSE]]*100</f>
        <v>-5.047694753577102</v>
      </c>
    </row>
    <row r="1365" spans="1:12" hidden="1" x14ac:dyDescent="0.25">
      <c r="A1365" s="28" t="s">
        <v>616</v>
      </c>
      <c r="B1365" s="28" t="s">
        <v>321</v>
      </c>
      <c r="C1365" s="30">
        <v>44428</v>
      </c>
      <c r="D1365" s="28">
        <v>131.4</v>
      </c>
      <c r="E1365" s="28">
        <v>133</v>
      </c>
      <c r="F1365" s="28">
        <v>136.44999999999999</v>
      </c>
      <c r="G1365" s="28">
        <v>129.19999999999999</v>
      </c>
      <c r="H1365" s="28">
        <v>131.99</v>
      </c>
      <c r="I1365" s="28">
        <v>50126</v>
      </c>
      <c r="J1365" s="28">
        <v>16010</v>
      </c>
      <c r="K1365" s="28">
        <v>31.94</v>
      </c>
      <c r="L1365" s="29">
        <f>SUM(NSE_BhavCopy[[#This Row],[ CLOSE_PRICE]]-NSE_BhavCopy[[#This Row],[ PREV_CLOSE]])/NSE_BhavCopy[[#This Row],[ PREV_CLOSE]]*100</f>
        <v>-1.674277016742783</v>
      </c>
    </row>
    <row r="1366" spans="1:12" hidden="1" x14ac:dyDescent="0.25">
      <c r="A1366" s="28" t="s">
        <v>638</v>
      </c>
      <c r="B1366" s="28" t="s">
        <v>321</v>
      </c>
      <c r="C1366" s="30">
        <v>44428</v>
      </c>
      <c r="D1366" s="28">
        <v>597.45000000000005</v>
      </c>
      <c r="E1366" s="28">
        <v>582.79999999999995</v>
      </c>
      <c r="F1366" s="28">
        <v>597</v>
      </c>
      <c r="G1366" s="28">
        <v>586.20000000000005</v>
      </c>
      <c r="H1366" s="28">
        <v>583.77</v>
      </c>
      <c r="I1366" s="28">
        <v>729302</v>
      </c>
      <c r="J1366" s="28">
        <v>232645</v>
      </c>
      <c r="K1366" s="28">
        <v>31.9</v>
      </c>
      <c r="L1366" s="29">
        <f>SUM(NSE_BhavCopy[[#This Row],[ CLOSE_PRICE]]-NSE_BhavCopy[[#This Row],[ PREV_CLOSE]])/NSE_BhavCopy[[#This Row],[ PREV_CLOSE]]*100</f>
        <v>-1.8830027617373839</v>
      </c>
    </row>
    <row r="1367" spans="1:12" hidden="1" x14ac:dyDescent="0.25">
      <c r="A1367" s="28" t="s">
        <v>1279</v>
      </c>
      <c r="B1367" s="28" t="s">
        <v>321</v>
      </c>
      <c r="C1367" s="30">
        <v>44428</v>
      </c>
      <c r="D1367" s="28">
        <v>310.64999999999998</v>
      </c>
      <c r="E1367" s="28">
        <v>303</v>
      </c>
      <c r="F1367" s="28">
        <v>312.10000000000002</v>
      </c>
      <c r="G1367" s="28">
        <v>298.64999999999998</v>
      </c>
      <c r="H1367" s="28">
        <v>305.62</v>
      </c>
      <c r="I1367" s="28">
        <v>12841</v>
      </c>
      <c r="J1367" s="28">
        <v>4073</v>
      </c>
      <c r="K1367" s="28">
        <v>31.72</v>
      </c>
      <c r="L1367" s="29">
        <f>SUM(NSE_BhavCopy[[#This Row],[ CLOSE_PRICE]]-NSE_BhavCopy[[#This Row],[ PREV_CLOSE]])/NSE_BhavCopy[[#This Row],[ PREV_CLOSE]]*100</f>
        <v>-3.862868179623371</v>
      </c>
    </row>
    <row r="1368" spans="1:12" hidden="1" x14ac:dyDescent="0.25">
      <c r="A1368" s="28" t="s">
        <v>991</v>
      </c>
      <c r="B1368" s="28" t="s">
        <v>321</v>
      </c>
      <c r="C1368" s="30">
        <v>44428</v>
      </c>
      <c r="D1368" s="28">
        <v>583.70000000000005</v>
      </c>
      <c r="E1368" s="28">
        <v>575.4</v>
      </c>
      <c r="F1368" s="28">
        <v>584</v>
      </c>
      <c r="G1368" s="28">
        <v>564.25</v>
      </c>
      <c r="H1368" s="28">
        <v>569.02</v>
      </c>
      <c r="I1368" s="28">
        <v>1035026</v>
      </c>
      <c r="J1368" s="28">
        <v>327383</v>
      </c>
      <c r="K1368" s="28">
        <v>31.63</v>
      </c>
      <c r="L1368" s="29">
        <f>SUM(NSE_BhavCopy[[#This Row],[ CLOSE_PRICE]]-NSE_BhavCopy[[#This Row],[ PREV_CLOSE]])/NSE_BhavCopy[[#This Row],[ PREV_CLOSE]]*100</f>
        <v>-3.3321911941065694</v>
      </c>
    </row>
    <row r="1369" spans="1:12" hidden="1" x14ac:dyDescent="0.25">
      <c r="A1369" s="28" t="s">
        <v>1569</v>
      </c>
      <c r="B1369" s="28" t="s">
        <v>321</v>
      </c>
      <c r="C1369" s="30">
        <v>44428</v>
      </c>
      <c r="D1369" s="28">
        <v>295.89999999999998</v>
      </c>
      <c r="E1369" s="28">
        <v>289</v>
      </c>
      <c r="F1369" s="28">
        <v>289</v>
      </c>
      <c r="G1369" s="28">
        <v>269.25</v>
      </c>
      <c r="H1369" s="28">
        <v>276.83999999999997</v>
      </c>
      <c r="I1369" s="28">
        <v>33985528</v>
      </c>
      <c r="J1369" s="28">
        <v>10737669</v>
      </c>
      <c r="K1369" s="28">
        <v>31.59</v>
      </c>
      <c r="L1369" s="29">
        <f>SUM(NSE_BhavCopy[[#This Row],[ CLOSE_PRICE]]-NSE_BhavCopy[[#This Row],[ PREV_CLOSE]])/NSE_BhavCopy[[#This Row],[ PREV_CLOSE]]*100</f>
        <v>-9.0064210882054692</v>
      </c>
    </row>
    <row r="1370" spans="1:12" hidden="1" x14ac:dyDescent="0.25">
      <c r="A1370" s="28" t="s">
        <v>1594</v>
      </c>
      <c r="B1370" s="28" t="s">
        <v>321</v>
      </c>
      <c r="C1370" s="30">
        <v>44428</v>
      </c>
      <c r="D1370" s="28">
        <v>334.1</v>
      </c>
      <c r="E1370" s="28">
        <v>325</v>
      </c>
      <c r="F1370" s="28">
        <v>335.45</v>
      </c>
      <c r="G1370" s="28">
        <v>324.3</v>
      </c>
      <c r="H1370" s="28">
        <v>327.91</v>
      </c>
      <c r="I1370" s="28">
        <v>219856</v>
      </c>
      <c r="J1370" s="28">
        <v>69409</v>
      </c>
      <c r="K1370" s="28">
        <v>31.57</v>
      </c>
      <c r="L1370" s="29">
        <f>SUM(NSE_BhavCopy[[#This Row],[ CLOSE_PRICE]]-NSE_BhavCopy[[#This Row],[ PREV_CLOSE]])/NSE_BhavCopy[[#This Row],[ PREV_CLOSE]]*100</f>
        <v>-2.9332535169111074</v>
      </c>
    </row>
    <row r="1371" spans="1:12" hidden="1" x14ac:dyDescent="0.25">
      <c r="A1371" s="28" t="s">
        <v>415</v>
      </c>
      <c r="B1371" s="28" t="s">
        <v>321</v>
      </c>
      <c r="C1371" s="30">
        <v>44428</v>
      </c>
      <c r="D1371" s="28">
        <v>101.55</v>
      </c>
      <c r="E1371" s="28">
        <v>100</v>
      </c>
      <c r="F1371" s="28">
        <v>102.8</v>
      </c>
      <c r="G1371" s="28">
        <v>99.35</v>
      </c>
      <c r="H1371" s="28">
        <v>100.03</v>
      </c>
      <c r="I1371" s="28">
        <v>2177793</v>
      </c>
      <c r="J1371" s="28">
        <v>687308</v>
      </c>
      <c r="K1371" s="28">
        <v>31.56</v>
      </c>
      <c r="L1371" s="29">
        <f>SUM(NSE_BhavCopy[[#This Row],[ CLOSE_PRICE]]-NSE_BhavCopy[[#This Row],[ PREV_CLOSE]])/NSE_BhavCopy[[#This Row],[ PREV_CLOSE]]*100</f>
        <v>-2.1664204825209286</v>
      </c>
    </row>
    <row r="1372" spans="1:12" hidden="1" x14ac:dyDescent="0.25">
      <c r="A1372" s="28" t="s">
        <v>470</v>
      </c>
      <c r="B1372" s="28" t="s">
        <v>321</v>
      </c>
      <c r="C1372" s="30">
        <v>44428</v>
      </c>
      <c r="D1372" s="28">
        <v>174.1</v>
      </c>
      <c r="E1372" s="28">
        <v>171.9</v>
      </c>
      <c r="F1372" s="28">
        <v>174.9</v>
      </c>
      <c r="G1372" s="28">
        <v>171.05</v>
      </c>
      <c r="H1372" s="28">
        <v>173.01</v>
      </c>
      <c r="I1372" s="28">
        <v>5180721</v>
      </c>
      <c r="J1372" s="28">
        <v>1627456</v>
      </c>
      <c r="K1372" s="28">
        <v>31.41</v>
      </c>
      <c r="L1372" s="29">
        <f>SUM(NSE_BhavCopy[[#This Row],[ CLOSE_PRICE]]-NSE_BhavCopy[[#This Row],[ PREV_CLOSE]])/NSE_BhavCopy[[#This Row],[ PREV_CLOSE]]*100</f>
        <v>-1.7518667432509953</v>
      </c>
    </row>
    <row r="1373" spans="1:12" hidden="1" x14ac:dyDescent="0.25">
      <c r="A1373" s="28" t="s">
        <v>1366</v>
      </c>
      <c r="B1373" s="28" t="s">
        <v>321</v>
      </c>
      <c r="C1373" s="30">
        <v>44428</v>
      </c>
      <c r="D1373" s="28">
        <v>189.05</v>
      </c>
      <c r="E1373" s="28">
        <v>189.1</v>
      </c>
      <c r="F1373" s="28">
        <v>193.2</v>
      </c>
      <c r="G1373" s="28">
        <v>186.3</v>
      </c>
      <c r="H1373" s="28">
        <v>188.9</v>
      </c>
      <c r="I1373" s="28">
        <v>349946</v>
      </c>
      <c r="J1373" s="28">
        <v>109228</v>
      </c>
      <c r="K1373" s="28">
        <v>31.21</v>
      </c>
      <c r="L1373" s="29">
        <f>SUM(NSE_BhavCopy[[#This Row],[ CLOSE_PRICE]]-NSE_BhavCopy[[#This Row],[ PREV_CLOSE]])/NSE_BhavCopy[[#This Row],[ PREV_CLOSE]]*100</f>
        <v>-1.4546416291986246</v>
      </c>
    </row>
    <row r="1374" spans="1:12" hidden="1" x14ac:dyDescent="0.25">
      <c r="A1374" s="28" t="s">
        <v>1284</v>
      </c>
      <c r="B1374" s="28" t="s">
        <v>321</v>
      </c>
      <c r="C1374" s="30">
        <v>44428</v>
      </c>
      <c r="D1374" s="28">
        <v>168.85</v>
      </c>
      <c r="E1374" s="28">
        <v>166.05</v>
      </c>
      <c r="F1374" s="28">
        <v>168.3</v>
      </c>
      <c r="G1374" s="28">
        <v>162.75</v>
      </c>
      <c r="H1374" s="28">
        <v>164.8</v>
      </c>
      <c r="I1374" s="28">
        <v>8191287</v>
      </c>
      <c r="J1374" s="28">
        <v>2553180</v>
      </c>
      <c r="K1374" s="28">
        <v>31.17</v>
      </c>
      <c r="L1374" s="29">
        <f>SUM(NSE_BhavCopy[[#This Row],[ CLOSE_PRICE]]-NSE_BhavCopy[[#This Row],[ PREV_CLOSE]])/NSE_BhavCopy[[#This Row],[ PREV_CLOSE]]*100</f>
        <v>-3.6126739709801567</v>
      </c>
    </row>
    <row r="1375" spans="1:12" hidden="1" x14ac:dyDescent="0.25">
      <c r="A1375" s="28" t="s">
        <v>1287</v>
      </c>
      <c r="B1375" s="28" t="s">
        <v>321</v>
      </c>
      <c r="C1375" s="30">
        <v>44428</v>
      </c>
      <c r="D1375" s="28">
        <v>148.05000000000001</v>
      </c>
      <c r="E1375" s="28">
        <v>148.1</v>
      </c>
      <c r="F1375" s="28">
        <v>149</v>
      </c>
      <c r="G1375" s="28">
        <v>143.94999999999999</v>
      </c>
      <c r="H1375" s="28">
        <v>146.26</v>
      </c>
      <c r="I1375" s="28">
        <v>7624179</v>
      </c>
      <c r="J1375" s="28">
        <v>2375363</v>
      </c>
      <c r="K1375" s="28">
        <v>31.16</v>
      </c>
      <c r="L1375" s="29">
        <f>SUM(NSE_BhavCopy[[#This Row],[ CLOSE_PRICE]]-NSE_BhavCopy[[#This Row],[ PREV_CLOSE]])/NSE_BhavCopy[[#This Row],[ PREV_CLOSE]]*100</f>
        <v>-2.7693346842283164</v>
      </c>
    </row>
    <row r="1376" spans="1:12" hidden="1" x14ac:dyDescent="0.25">
      <c r="A1376" s="28" t="s">
        <v>681</v>
      </c>
      <c r="B1376" s="28" t="s">
        <v>321</v>
      </c>
      <c r="C1376" s="30">
        <v>44428</v>
      </c>
      <c r="D1376" s="28">
        <v>202.9</v>
      </c>
      <c r="E1376" s="28">
        <v>200</v>
      </c>
      <c r="F1376" s="28">
        <v>201</v>
      </c>
      <c r="G1376" s="28">
        <v>190.3</v>
      </c>
      <c r="H1376" s="28">
        <v>194.79</v>
      </c>
      <c r="I1376" s="28">
        <v>5234984</v>
      </c>
      <c r="J1376" s="28">
        <v>1630501</v>
      </c>
      <c r="K1376" s="28">
        <v>31.15</v>
      </c>
      <c r="L1376" s="29">
        <f>SUM(NSE_BhavCopy[[#This Row],[ CLOSE_PRICE]]-NSE_BhavCopy[[#This Row],[ PREV_CLOSE]])/NSE_BhavCopy[[#This Row],[ PREV_CLOSE]]*100</f>
        <v>-6.2099556431739744</v>
      </c>
    </row>
    <row r="1377" spans="1:12" hidden="1" x14ac:dyDescent="0.25">
      <c r="A1377" s="28" t="s">
        <v>630</v>
      </c>
      <c r="B1377" s="28" t="s">
        <v>321</v>
      </c>
      <c r="C1377" s="30">
        <v>44428</v>
      </c>
      <c r="D1377" s="28">
        <v>314</v>
      </c>
      <c r="E1377" s="28">
        <v>310</v>
      </c>
      <c r="F1377" s="28">
        <v>317.85000000000002</v>
      </c>
      <c r="G1377" s="28">
        <v>313.2</v>
      </c>
      <c r="H1377" s="28">
        <v>314.12</v>
      </c>
      <c r="I1377" s="28">
        <v>9726</v>
      </c>
      <c r="J1377" s="28">
        <v>3025</v>
      </c>
      <c r="K1377" s="28">
        <v>31.1</v>
      </c>
      <c r="L1377" s="29">
        <f>SUM(NSE_BhavCopy[[#This Row],[ CLOSE_PRICE]]-NSE_BhavCopy[[#This Row],[ PREV_CLOSE]])/NSE_BhavCopy[[#This Row],[ PREV_CLOSE]]*100</f>
        <v>-0.25477707006369787</v>
      </c>
    </row>
    <row r="1378" spans="1:12" hidden="1" x14ac:dyDescent="0.25">
      <c r="A1378" s="28" t="s">
        <v>342</v>
      </c>
      <c r="B1378" s="28" t="s">
        <v>321</v>
      </c>
      <c r="C1378" s="30">
        <v>44428</v>
      </c>
      <c r="D1378" s="28">
        <v>1460</v>
      </c>
      <c r="E1378" s="28">
        <v>1438</v>
      </c>
      <c r="F1378" s="28">
        <v>1482.65</v>
      </c>
      <c r="G1378" s="28">
        <v>1430.1</v>
      </c>
      <c r="H1378" s="28">
        <v>1450.89</v>
      </c>
      <c r="I1378" s="28">
        <v>4933377</v>
      </c>
      <c r="J1378" s="28">
        <v>1532300</v>
      </c>
      <c r="K1378" s="28">
        <v>31.06</v>
      </c>
      <c r="L1378" s="29">
        <f>SUM(NSE_BhavCopy[[#This Row],[ CLOSE_PRICE]]-NSE_BhavCopy[[#This Row],[ PREV_CLOSE]])/NSE_BhavCopy[[#This Row],[ PREV_CLOSE]]*100</f>
        <v>-2.0479452054794582</v>
      </c>
    </row>
    <row r="1379" spans="1:12" hidden="1" x14ac:dyDescent="0.25">
      <c r="A1379" s="28" t="s">
        <v>512</v>
      </c>
      <c r="B1379" s="28" t="s">
        <v>321</v>
      </c>
      <c r="C1379" s="30">
        <v>44428</v>
      </c>
      <c r="D1379" s="28">
        <v>542.79999999999995</v>
      </c>
      <c r="E1379" s="28">
        <v>540</v>
      </c>
      <c r="F1379" s="28">
        <v>548</v>
      </c>
      <c r="G1379" s="28">
        <v>534.85</v>
      </c>
      <c r="H1379" s="28">
        <v>535.95000000000005</v>
      </c>
      <c r="I1379" s="28">
        <v>5112841</v>
      </c>
      <c r="J1379" s="28">
        <v>1577732</v>
      </c>
      <c r="K1379" s="28">
        <v>30.86</v>
      </c>
      <c r="L1379" s="29">
        <f>SUM(NSE_BhavCopy[[#This Row],[ CLOSE_PRICE]]-NSE_BhavCopy[[#This Row],[ PREV_CLOSE]])/NSE_BhavCopy[[#This Row],[ PREV_CLOSE]]*100</f>
        <v>-1.4646278555637311</v>
      </c>
    </row>
    <row r="1380" spans="1:12" hidden="1" x14ac:dyDescent="0.25">
      <c r="A1380" s="28" t="s">
        <v>1470</v>
      </c>
      <c r="B1380" s="28" t="s">
        <v>321</v>
      </c>
      <c r="C1380" s="30">
        <v>44428</v>
      </c>
      <c r="D1380" s="28">
        <v>276.45</v>
      </c>
      <c r="E1380" s="28">
        <v>273.55</v>
      </c>
      <c r="F1380" s="28">
        <v>282</v>
      </c>
      <c r="G1380" s="28">
        <v>266.64999999999998</v>
      </c>
      <c r="H1380" s="28">
        <v>273.67</v>
      </c>
      <c r="I1380" s="28">
        <v>1201193</v>
      </c>
      <c r="J1380" s="28">
        <v>370217</v>
      </c>
      <c r="K1380" s="28">
        <v>30.82</v>
      </c>
      <c r="L1380" s="29">
        <f>SUM(NSE_BhavCopy[[#This Row],[ CLOSE_PRICE]]-NSE_BhavCopy[[#This Row],[ PREV_CLOSE]])/NSE_BhavCopy[[#This Row],[ PREV_CLOSE]]*100</f>
        <v>-3.5449448363176024</v>
      </c>
    </row>
    <row r="1381" spans="1:12" hidden="1" x14ac:dyDescent="0.25">
      <c r="A1381" s="28" t="s">
        <v>487</v>
      </c>
      <c r="B1381" s="28" t="s">
        <v>321</v>
      </c>
      <c r="C1381" s="30">
        <v>44428</v>
      </c>
      <c r="D1381" s="28">
        <v>370</v>
      </c>
      <c r="E1381" s="28">
        <v>367.7</v>
      </c>
      <c r="F1381" s="28">
        <v>370.8</v>
      </c>
      <c r="G1381" s="28">
        <v>357.35</v>
      </c>
      <c r="H1381" s="28">
        <v>362.9</v>
      </c>
      <c r="I1381" s="28">
        <v>1544686</v>
      </c>
      <c r="J1381" s="28">
        <v>475922</v>
      </c>
      <c r="K1381" s="28">
        <v>30.81</v>
      </c>
      <c r="L1381" s="29">
        <f>SUM(NSE_BhavCopy[[#This Row],[ CLOSE_PRICE]]-NSE_BhavCopy[[#This Row],[ PREV_CLOSE]])/NSE_BhavCopy[[#This Row],[ PREV_CLOSE]]*100</f>
        <v>-3.4189189189189126</v>
      </c>
    </row>
    <row r="1382" spans="1:12" hidden="1" x14ac:dyDescent="0.25">
      <c r="A1382" s="28" t="s">
        <v>1482</v>
      </c>
      <c r="B1382" s="28" t="s">
        <v>321</v>
      </c>
      <c r="C1382" s="30">
        <v>44428</v>
      </c>
      <c r="D1382" s="28">
        <v>1266.3</v>
      </c>
      <c r="E1382" s="28">
        <v>1266.3</v>
      </c>
      <c r="F1382" s="28">
        <v>1267</v>
      </c>
      <c r="G1382" s="28">
        <v>1233.1500000000001</v>
      </c>
      <c r="H1382" s="28">
        <v>1246.3900000000001</v>
      </c>
      <c r="I1382" s="28">
        <v>52946</v>
      </c>
      <c r="J1382" s="28">
        <v>16292</v>
      </c>
      <c r="K1382" s="28">
        <v>30.77</v>
      </c>
      <c r="L1382" s="29">
        <f>SUM(NSE_BhavCopy[[#This Row],[ CLOSE_PRICE]]-NSE_BhavCopy[[#This Row],[ PREV_CLOSE]])/NSE_BhavCopy[[#This Row],[ PREV_CLOSE]]*100</f>
        <v>-2.617863065624249</v>
      </c>
    </row>
    <row r="1383" spans="1:12" hidden="1" x14ac:dyDescent="0.25">
      <c r="A1383" s="28" t="s">
        <v>1177</v>
      </c>
      <c r="B1383" s="28" t="s">
        <v>321</v>
      </c>
      <c r="C1383" s="30">
        <v>44428</v>
      </c>
      <c r="D1383" s="28">
        <v>684.55</v>
      </c>
      <c r="E1383" s="28">
        <v>678</v>
      </c>
      <c r="F1383" s="28">
        <v>678.95</v>
      </c>
      <c r="G1383" s="28">
        <v>656.35</v>
      </c>
      <c r="H1383" s="28">
        <v>661.55</v>
      </c>
      <c r="I1383" s="28">
        <v>455423</v>
      </c>
      <c r="J1383" s="28">
        <v>139993</v>
      </c>
      <c r="K1383" s="28">
        <v>30.74</v>
      </c>
      <c r="L1383" s="29">
        <f>SUM(NSE_BhavCopy[[#This Row],[ CLOSE_PRICE]]-NSE_BhavCopy[[#This Row],[ PREV_CLOSE]])/NSE_BhavCopy[[#This Row],[ PREV_CLOSE]]*100</f>
        <v>-4.1194945584690581</v>
      </c>
    </row>
    <row r="1384" spans="1:12" hidden="1" x14ac:dyDescent="0.25">
      <c r="A1384" s="28" t="s">
        <v>1485</v>
      </c>
      <c r="B1384" s="28" t="s">
        <v>321</v>
      </c>
      <c r="C1384" s="30">
        <v>44428</v>
      </c>
      <c r="D1384" s="28">
        <v>130.44999999999999</v>
      </c>
      <c r="E1384" s="28">
        <v>129</v>
      </c>
      <c r="F1384" s="28">
        <v>130.19999999999999</v>
      </c>
      <c r="G1384" s="28">
        <v>126.2</v>
      </c>
      <c r="H1384" s="28">
        <v>128.11000000000001</v>
      </c>
      <c r="I1384" s="28">
        <v>27402061</v>
      </c>
      <c r="J1384" s="28">
        <v>8416107</v>
      </c>
      <c r="K1384" s="28">
        <v>30.71</v>
      </c>
      <c r="L1384" s="29">
        <f>SUM(NSE_BhavCopy[[#This Row],[ CLOSE_PRICE]]-NSE_BhavCopy[[#This Row],[ PREV_CLOSE]])/NSE_BhavCopy[[#This Row],[ PREV_CLOSE]]*100</f>
        <v>-3.2579532387887973</v>
      </c>
    </row>
    <row r="1385" spans="1:12" hidden="1" x14ac:dyDescent="0.25">
      <c r="A1385" s="28" t="s">
        <v>1313</v>
      </c>
      <c r="B1385" s="28" t="s">
        <v>321</v>
      </c>
      <c r="C1385" s="30">
        <v>44428</v>
      </c>
      <c r="D1385" s="28">
        <v>648.95000000000005</v>
      </c>
      <c r="E1385" s="28">
        <v>635.25</v>
      </c>
      <c r="F1385" s="28">
        <v>649.5</v>
      </c>
      <c r="G1385" s="28">
        <v>626.65</v>
      </c>
      <c r="H1385" s="28">
        <v>631.22</v>
      </c>
      <c r="I1385" s="28">
        <v>65876</v>
      </c>
      <c r="J1385" s="28">
        <v>20219</v>
      </c>
      <c r="K1385" s="28">
        <v>30.69</v>
      </c>
      <c r="L1385" s="29">
        <f>SUM(NSE_BhavCopy[[#This Row],[ CLOSE_PRICE]]-NSE_BhavCopy[[#This Row],[ PREV_CLOSE]])/NSE_BhavCopy[[#This Row],[ PREV_CLOSE]]*100</f>
        <v>-3.4363202095693142</v>
      </c>
    </row>
    <row r="1386" spans="1:12" hidden="1" x14ac:dyDescent="0.25">
      <c r="A1386" s="28" t="s">
        <v>880</v>
      </c>
      <c r="B1386" s="28" t="s">
        <v>321</v>
      </c>
      <c r="C1386" s="30">
        <v>44428</v>
      </c>
      <c r="D1386" s="28">
        <v>20.05</v>
      </c>
      <c r="E1386" s="28">
        <v>19.649999999999999</v>
      </c>
      <c r="F1386" s="28">
        <v>20.05</v>
      </c>
      <c r="G1386" s="28">
        <v>19.55</v>
      </c>
      <c r="H1386" s="28">
        <v>19.760000000000002</v>
      </c>
      <c r="I1386" s="28">
        <v>5901963</v>
      </c>
      <c r="J1386" s="28">
        <v>1807299</v>
      </c>
      <c r="K1386" s="28">
        <v>30.62</v>
      </c>
      <c r="L1386" s="29">
        <f>SUM(NSE_BhavCopy[[#This Row],[ CLOSE_PRICE]]-NSE_BhavCopy[[#This Row],[ PREV_CLOSE]])/NSE_BhavCopy[[#This Row],[ PREV_CLOSE]]*100</f>
        <v>-2.4937655860349124</v>
      </c>
    </row>
    <row r="1387" spans="1:12" hidden="1" x14ac:dyDescent="0.25">
      <c r="A1387" s="28" t="s">
        <v>369</v>
      </c>
      <c r="B1387" s="28" t="s">
        <v>321</v>
      </c>
      <c r="C1387" s="30">
        <v>44428</v>
      </c>
      <c r="D1387" s="28">
        <v>220.4</v>
      </c>
      <c r="E1387" s="28">
        <v>216</v>
      </c>
      <c r="F1387" s="28">
        <v>219.35</v>
      </c>
      <c r="G1387" s="28">
        <v>205.05</v>
      </c>
      <c r="H1387" s="28">
        <v>210.9</v>
      </c>
      <c r="I1387" s="28">
        <v>1978848</v>
      </c>
      <c r="J1387" s="28">
        <v>604656</v>
      </c>
      <c r="K1387" s="28">
        <v>30.56</v>
      </c>
      <c r="L1387" s="29">
        <f>SUM(NSE_BhavCopy[[#This Row],[ CLOSE_PRICE]]-NSE_BhavCopy[[#This Row],[ PREV_CLOSE]])/NSE_BhavCopy[[#This Row],[ PREV_CLOSE]]*100</f>
        <v>-6.9646098003629735</v>
      </c>
    </row>
    <row r="1388" spans="1:12" hidden="1" x14ac:dyDescent="0.25">
      <c r="A1388" s="28" t="s">
        <v>1185</v>
      </c>
      <c r="B1388" s="28" t="s">
        <v>321</v>
      </c>
      <c r="C1388" s="30">
        <v>44428</v>
      </c>
      <c r="D1388" s="28">
        <v>76.099999999999994</v>
      </c>
      <c r="E1388" s="28">
        <v>76</v>
      </c>
      <c r="F1388" s="28">
        <v>82.9</v>
      </c>
      <c r="G1388" s="28">
        <v>77.400000000000006</v>
      </c>
      <c r="H1388" s="28">
        <v>79.12</v>
      </c>
      <c r="I1388" s="28">
        <v>58098</v>
      </c>
      <c r="J1388" s="28">
        <v>17668</v>
      </c>
      <c r="K1388" s="28">
        <v>30.41</v>
      </c>
      <c r="L1388" s="29">
        <f>SUM(NSE_BhavCopy[[#This Row],[ CLOSE_PRICE]]-NSE_BhavCopy[[#This Row],[ PREV_CLOSE]])/NSE_BhavCopy[[#This Row],[ PREV_CLOSE]]*100</f>
        <v>1.7082785808147327</v>
      </c>
    </row>
    <row r="1389" spans="1:12" hidden="1" x14ac:dyDescent="0.25">
      <c r="A1389" s="28" t="s">
        <v>581</v>
      </c>
      <c r="B1389" s="28" t="s">
        <v>321</v>
      </c>
      <c r="C1389" s="30">
        <v>44428</v>
      </c>
      <c r="D1389" s="28">
        <v>86.85</v>
      </c>
      <c r="E1389" s="28">
        <v>86.85</v>
      </c>
      <c r="F1389" s="28">
        <v>89.45</v>
      </c>
      <c r="G1389" s="28">
        <v>86.9</v>
      </c>
      <c r="H1389" s="28">
        <v>87.62</v>
      </c>
      <c r="I1389" s="28">
        <v>312680</v>
      </c>
      <c r="J1389" s="28">
        <v>95017</v>
      </c>
      <c r="K1389" s="28">
        <v>30.39</v>
      </c>
      <c r="L1389" s="29">
        <f>SUM(NSE_BhavCopy[[#This Row],[ CLOSE_PRICE]]-NSE_BhavCopy[[#This Row],[ PREV_CLOSE]])/NSE_BhavCopy[[#This Row],[ PREV_CLOSE]]*100</f>
        <v>5.7570523891780509E-2</v>
      </c>
    </row>
    <row r="1390" spans="1:12" hidden="1" x14ac:dyDescent="0.25">
      <c r="A1390" s="28" t="s">
        <v>1428</v>
      </c>
      <c r="B1390" s="28" t="s">
        <v>321</v>
      </c>
      <c r="C1390" s="30">
        <v>44428</v>
      </c>
      <c r="D1390" s="28">
        <v>1293.8499999999999</v>
      </c>
      <c r="E1390" s="28">
        <v>1280</v>
      </c>
      <c r="F1390" s="28">
        <v>1286</v>
      </c>
      <c r="G1390" s="28">
        <v>1254.5</v>
      </c>
      <c r="H1390" s="28">
        <v>1263.67</v>
      </c>
      <c r="I1390" s="28">
        <v>872490</v>
      </c>
      <c r="J1390" s="28">
        <v>265159</v>
      </c>
      <c r="K1390" s="28">
        <v>30.39</v>
      </c>
      <c r="L1390" s="29">
        <f>SUM(NSE_BhavCopy[[#This Row],[ CLOSE_PRICE]]-NSE_BhavCopy[[#This Row],[ PREV_CLOSE]])/NSE_BhavCopy[[#This Row],[ PREV_CLOSE]]*100</f>
        <v>-3.0413108165552356</v>
      </c>
    </row>
    <row r="1391" spans="1:12" hidden="1" x14ac:dyDescent="0.25">
      <c r="A1391" s="28" t="s">
        <v>24</v>
      </c>
      <c r="B1391" s="28" t="s">
        <v>321</v>
      </c>
      <c r="C1391" s="30">
        <v>44428</v>
      </c>
      <c r="D1391" s="28">
        <v>6544.1</v>
      </c>
      <c r="E1391" s="28">
        <v>6471.95</v>
      </c>
      <c r="F1391" s="28">
        <v>6732.7</v>
      </c>
      <c r="G1391" s="28">
        <v>6661.1</v>
      </c>
      <c r="H1391" s="28">
        <v>6631.33</v>
      </c>
      <c r="I1391" s="28">
        <v>2164732</v>
      </c>
      <c r="J1391" s="28">
        <v>655989</v>
      </c>
      <c r="K1391" s="28">
        <v>30.3</v>
      </c>
      <c r="L1391" s="29">
        <f>SUM(NSE_BhavCopy[[#This Row],[ CLOSE_PRICE]]-NSE_BhavCopy[[#This Row],[ PREV_CLOSE]])/NSE_BhavCopy[[#This Row],[ PREV_CLOSE]]*100</f>
        <v>1.78786998976177</v>
      </c>
    </row>
    <row r="1392" spans="1:12" hidden="1" x14ac:dyDescent="0.25">
      <c r="A1392" s="28" t="s">
        <v>390</v>
      </c>
      <c r="B1392" s="28" t="s">
        <v>321</v>
      </c>
      <c r="C1392" s="30">
        <v>44428</v>
      </c>
      <c r="D1392" s="28">
        <v>609.25</v>
      </c>
      <c r="E1392" s="28">
        <v>606.20000000000005</v>
      </c>
      <c r="F1392" s="28">
        <v>639.45000000000005</v>
      </c>
      <c r="G1392" s="28">
        <v>610.79999999999995</v>
      </c>
      <c r="H1392" s="28">
        <v>615.87</v>
      </c>
      <c r="I1392" s="28">
        <v>95339</v>
      </c>
      <c r="J1392" s="28">
        <v>28863</v>
      </c>
      <c r="K1392" s="28">
        <v>30.27</v>
      </c>
      <c r="L1392" s="29">
        <f>SUM(NSE_BhavCopy[[#This Row],[ CLOSE_PRICE]]-NSE_BhavCopy[[#This Row],[ PREV_CLOSE]])/NSE_BhavCopy[[#This Row],[ PREV_CLOSE]]*100</f>
        <v>0.2544111612638415</v>
      </c>
    </row>
    <row r="1393" spans="1:12" hidden="1" x14ac:dyDescent="0.25">
      <c r="A1393" s="28" t="s">
        <v>569</v>
      </c>
      <c r="B1393" s="28" t="s">
        <v>321</v>
      </c>
      <c r="C1393" s="30">
        <v>44428</v>
      </c>
      <c r="D1393" s="28">
        <v>314</v>
      </c>
      <c r="E1393" s="28">
        <v>314</v>
      </c>
      <c r="F1393" s="28">
        <v>314.89999999999998</v>
      </c>
      <c r="G1393" s="28">
        <v>307.25</v>
      </c>
      <c r="H1393" s="28">
        <v>310.02999999999997</v>
      </c>
      <c r="I1393" s="28">
        <v>170514</v>
      </c>
      <c r="J1393" s="28">
        <v>51609</v>
      </c>
      <c r="K1393" s="28">
        <v>30.27</v>
      </c>
      <c r="L1393" s="29">
        <f>SUM(NSE_BhavCopy[[#This Row],[ CLOSE_PRICE]]-NSE_BhavCopy[[#This Row],[ PREV_CLOSE]])/NSE_BhavCopy[[#This Row],[ PREV_CLOSE]]*100</f>
        <v>-2.1496815286624202</v>
      </c>
    </row>
    <row r="1394" spans="1:12" hidden="1" x14ac:dyDescent="0.25">
      <c r="A1394" s="28" t="s">
        <v>856</v>
      </c>
      <c r="B1394" s="28" t="s">
        <v>321</v>
      </c>
      <c r="C1394" s="30">
        <v>44428</v>
      </c>
      <c r="D1394" s="28">
        <v>712.9</v>
      </c>
      <c r="E1394" s="28">
        <v>700</v>
      </c>
      <c r="F1394" s="28">
        <v>719.85</v>
      </c>
      <c r="G1394" s="28">
        <v>688.05</v>
      </c>
      <c r="H1394" s="28">
        <v>698.6</v>
      </c>
      <c r="I1394" s="28">
        <v>246682</v>
      </c>
      <c r="J1394" s="28">
        <v>74524</v>
      </c>
      <c r="K1394" s="28">
        <v>30.21</v>
      </c>
      <c r="L1394" s="29">
        <f>SUM(NSE_BhavCopy[[#This Row],[ CLOSE_PRICE]]-NSE_BhavCopy[[#This Row],[ PREV_CLOSE]])/NSE_BhavCopy[[#This Row],[ PREV_CLOSE]]*100</f>
        <v>-3.4857623790152927</v>
      </c>
    </row>
    <row r="1395" spans="1:12" hidden="1" x14ac:dyDescent="0.25">
      <c r="A1395" s="28" t="s">
        <v>1225</v>
      </c>
      <c r="B1395" s="28" t="s">
        <v>321</v>
      </c>
      <c r="C1395" s="30">
        <v>44428</v>
      </c>
      <c r="D1395" s="28">
        <v>3183.05</v>
      </c>
      <c r="E1395" s="28">
        <v>3181</v>
      </c>
      <c r="F1395" s="28">
        <v>3213.35</v>
      </c>
      <c r="G1395" s="28">
        <v>3182.2</v>
      </c>
      <c r="H1395" s="28">
        <v>3177.32</v>
      </c>
      <c r="I1395" s="28">
        <v>178169</v>
      </c>
      <c r="J1395" s="28">
        <v>53659</v>
      </c>
      <c r="K1395" s="28">
        <v>30.12</v>
      </c>
      <c r="L1395" s="29">
        <f>SUM(NSE_BhavCopy[[#This Row],[ CLOSE_PRICE]]-NSE_BhavCopy[[#This Row],[ PREV_CLOSE]])/NSE_BhavCopy[[#This Row],[ PREV_CLOSE]]*100</f>
        <v>-2.670394747177593E-2</v>
      </c>
    </row>
    <row r="1396" spans="1:12" hidden="1" x14ac:dyDescent="0.25">
      <c r="A1396" s="28" t="s">
        <v>537</v>
      </c>
      <c r="B1396" s="28" t="s">
        <v>321</v>
      </c>
      <c r="C1396" s="30">
        <v>44428</v>
      </c>
      <c r="D1396" s="28">
        <v>525.45000000000005</v>
      </c>
      <c r="E1396" s="28">
        <v>518.79999999999995</v>
      </c>
      <c r="F1396" s="28">
        <v>533</v>
      </c>
      <c r="G1396" s="28">
        <v>517.4</v>
      </c>
      <c r="H1396" s="28">
        <v>521.58000000000004</v>
      </c>
      <c r="I1396" s="28">
        <v>52584</v>
      </c>
      <c r="J1396" s="28">
        <v>15781</v>
      </c>
      <c r="K1396" s="28">
        <v>30.01</v>
      </c>
      <c r="L1396" s="29">
        <f>SUM(NSE_BhavCopy[[#This Row],[ CLOSE_PRICE]]-NSE_BhavCopy[[#This Row],[ PREV_CLOSE]])/NSE_BhavCopy[[#This Row],[ PREV_CLOSE]]*100</f>
        <v>-1.5320201731849019</v>
      </c>
    </row>
    <row r="1397" spans="1:12" hidden="1" x14ac:dyDescent="0.25">
      <c r="A1397" s="28" t="s">
        <v>1430</v>
      </c>
      <c r="B1397" s="28" t="s">
        <v>321</v>
      </c>
      <c r="C1397" s="30">
        <v>44428</v>
      </c>
      <c r="D1397" s="28">
        <v>631.9</v>
      </c>
      <c r="E1397" s="28">
        <v>618</v>
      </c>
      <c r="F1397" s="28">
        <v>628.5</v>
      </c>
      <c r="G1397" s="28">
        <v>601.6</v>
      </c>
      <c r="H1397" s="28">
        <v>608.66999999999996</v>
      </c>
      <c r="I1397" s="28">
        <v>745763</v>
      </c>
      <c r="J1397" s="28">
        <v>222823</v>
      </c>
      <c r="K1397" s="28">
        <v>29.88</v>
      </c>
      <c r="L1397" s="29">
        <f>SUM(NSE_BhavCopy[[#This Row],[ CLOSE_PRICE]]-NSE_BhavCopy[[#This Row],[ PREV_CLOSE]])/NSE_BhavCopy[[#This Row],[ PREV_CLOSE]]*100</f>
        <v>-4.7950625098907986</v>
      </c>
    </row>
    <row r="1398" spans="1:12" hidden="1" x14ac:dyDescent="0.25">
      <c r="A1398" s="28" t="s">
        <v>210</v>
      </c>
      <c r="B1398" s="28" t="s">
        <v>321</v>
      </c>
      <c r="C1398" s="30">
        <v>44428</v>
      </c>
      <c r="D1398" s="28">
        <v>79347.149999999994</v>
      </c>
      <c r="E1398" s="28">
        <v>79399</v>
      </c>
      <c r="F1398" s="28">
        <v>79399</v>
      </c>
      <c r="G1398" s="28">
        <v>78076.95</v>
      </c>
      <c r="H1398" s="28">
        <v>78326.13</v>
      </c>
      <c r="I1398" s="28">
        <v>8520</v>
      </c>
      <c r="J1398" s="28">
        <v>2544</v>
      </c>
      <c r="K1398" s="28">
        <v>29.86</v>
      </c>
      <c r="L1398" s="29">
        <f>SUM(NSE_BhavCopy[[#This Row],[ CLOSE_PRICE]]-NSE_BhavCopy[[#This Row],[ PREV_CLOSE]])/NSE_BhavCopy[[#This Row],[ PREV_CLOSE]]*100</f>
        <v>-1.6008136398093658</v>
      </c>
    </row>
    <row r="1399" spans="1:12" hidden="1" x14ac:dyDescent="0.25">
      <c r="A1399" s="28" t="s">
        <v>1108</v>
      </c>
      <c r="B1399" s="28" t="s">
        <v>321</v>
      </c>
      <c r="C1399" s="30">
        <v>44428</v>
      </c>
      <c r="D1399" s="28">
        <v>265.25</v>
      </c>
      <c r="E1399" s="28">
        <v>259.8</v>
      </c>
      <c r="F1399" s="28">
        <v>268.85000000000002</v>
      </c>
      <c r="G1399" s="28">
        <v>261.39999999999998</v>
      </c>
      <c r="H1399" s="28">
        <v>264.83999999999997</v>
      </c>
      <c r="I1399" s="28">
        <v>385427</v>
      </c>
      <c r="J1399" s="28">
        <v>114623</v>
      </c>
      <c r="K1399" s="28">
        <v>29.74</v>
      </c>
      <c r="L1399" s="29">
        <f>SUM(NSE_BhavCopy[[#This Row],[ CLOSE_PRICE]]-NSE_BhavCopy[[#This Row],[ PREV_CLOSE]])/NSE_BhavCopy[[#This Row],[ PREV_CLOSE]]*100</f>
        <v>-1.4514608859566533</v>
      </c>
    </row>
    <row r="1400" spans="1:12" hidden="1" x14ac:dyDescent="0.25">
      <c r="A1400" s="28" t="s">
        <v>1515</v>
      </c>
      <c r="B1400" s="28" t="s">
        <v>321</v>
      </c>
      <c r="C1400" s="30">
        <v>44428</v>
      </c>
      <c r="D1400" s="28">
        <v>3052.25</v>
      </c>
      <c r="E1400" s="28">
        <v>3052</v>
      </c>
      <c r="F1400" s="28">
        <v>3105</v>
      </c>
      <c r="G1400" s="28">
        <v>3036.1</v>
      </c>
      <c r="H1400" s="28">
        <v>3041.09</v>
      </c>
      <c r="I1400" s="28">
        <v>265107</v>
      </c>
      <c r="J1400" s="28">
        <v>78447</v>
      </c>
      <c r="K1400" s="28">
        <v>29.59</v>
      </c>
      <c r="L1400" s="29">
        <f>SUM(NSE_BhavCopy[[#This Row],[ CLOSE_PRICE]]-NSE_BhavCopy[[#This Row],[ PREV_CLOSE]])/NSE_BhavCopy[[#This Row],[ PREV_CLOSE]]*100</f>
        <v>-0.52911786387091786</v>
      </c>
    </row>
    <row r="1401" spans="1:12" hidden="1" x14ac:dyDescent="0.25">
      <c r="A1401" s="28" t="s">
        <v>1200</v>
      </c>
      <c r="B1401" s="28" t="s">
        <v>321</v>
      </c>
      <c r="C1401" s="30">
        <v>44428</v>
      </c>
      <c r="D1401" s="28">
        <v>110.4</v>
      </c>
      <c r="E1401" s="28">
        <v>112.9</v>
      </c>
      <c r="F1401" s="28">
        <v>116</v>
      </c>
      <c r="G1401" s="28">
        <v>107.3</v>
      </c>
      <c r="H1401" s="28">
        <v>112.2</v>
      </c>
      <c r="I1401" s="28">
        <v>320430</v>
      </c>
      <c r="J1401" s="28">
        <v>94731</v>
      </c>
      <c r="K1401" s="28">
        <v>29.56</v>
      </c>
      <c r="L1401" s="29">
        <f>SUM(NSE_BhavCopy[[#This Row],[ CLOSE_PRICE]]-NSE_BhavCopy[[#This Row],[ PREV_CLOSE]])/NSE_BhavCopy[[#This Row],[ PREV_CLOSE]]*100</f>
        <v>-2.8079710144927614</v>
      </c>
    </row>
    <row r="1402" spans="1:12" hidden="1" x14ac:dyDescent="0.25">
      <c r="A1402" s="28" t="s">
        <v>188</v>
      </c>
      <c r="B1402" s="28" t="s">
        <v>321</v>
      </c>
      <c r="C1402" s="30">
        <v>44428</v>
      </c>
      <c r="D1402" s="28">
        <v>2356.3000000000002</v>
      </c>
      <c r="E1402" s="28">
        <v>2330.15</v>
      </c>
      <c r="F1402" s="28">
        <v>2373.8000000000002</v>
      </c>
      <c r="G1402" s="28">
        <v>2290.5500000000002</v>
      </c>
      <c r="H1402" s="28">
        <v>2324.09</v>
      </c>
      <c r="I1402" s="28">
        <v>596640</v>
      </c>
      <c r="J1402" s="28">
        <v>175504</v>
      </c>
      <c r="K1402" s="28">
        <v>29.42</v>
      </c>
      <c r="L1402" s="29">
        <f>SUM(NSE_BhavCopy[[#This Row],[ CLOSE_PRICE]]-NSE_BhavCopy[[#This Row],[ PREV_CLOSE]])/NSE_BhavCopy[[#This Row],[ PREV_CLOSE]]*100</f>
        <v>-2.7903917158256584</v>
      </c>
    </row>
    <row r="1403" spans="1:12" hidden="1" x14ac:dyDescent="0.25">
      <c r="A1403" s="28" t="s">
        <v>1494</v>
      </c>
      <c r="B1403" s="28" t="s">
        <v>321</v>
      </c>
      <c r="C1403" s="30">
        <v>44428</v>
      </c>
      <c r="D1403" s="28">
        <v>280.75</v>
      </c>
      <c r="E1403" s="28">
        <v>275</v>
      </c>
      <c r="F1403" s="28">
        <v>288.7</v>
      </c>
      <c r="G1403" s="28">
        <v>273.55</v>
      </c>
      <c r="H1403" s="28">
        <v>279.33</v>
      </c>
      <c r="I1403" s="28">
        <v>140886</v>
      </c>
      <c r="J1403" s="28">
        <v>41306</v>
      </c>
      <c r="K1403" s="28">
        <v>29.32</v>
      </c>
      <c r="L1403" s="29">
        <f>SUM(NSE_BhavCopy[[#This Row],[ CLOSE_PRICE]]-NSE_BhavCopy[[#This Row],[ PREV_CLOSE]])/NSE_BhavCopy[[#This Row],[ PREV_CLOSE]]*100</f>
        <v>-2.56455921638468</v>
      </c>
    </row>
    <row r="1404" spans="1:12" hidden="1" x14ac:dyDescent="0.25">
      <c r="A1404" s="28" t="s">
        <v>855</v>
      </c>
      <c r="B1404" s="28" t="s">
        <v>321</v>
      </c>
      <c r="C1404" s="30">
        <v>44428</v>
      </c>
      <c r="D1404" s="28">
        <v>171.6</v>
      </c>
      <c r="E1404" s="28">
        <v>170</v>
      </c>
      <c r="F1404" s="28">
        <v>172.6</v>
      </c>
      <c r="G1404" s="28">
        <v>167.8</v>
      </c>
      <c r="H1404" s="28">
        <v>169.27</v>
      </c>
      <c r="I1404" s="28">
        <v>1389661</v>
      </c>
      <c r="J1404" s="28">
        <v>407083</v>
      </c>
      <c r="K1404" s="28">
        <v>29.29</v>
      </c>
      <c r="L1404" s="29">
        <f>SUM(NSE_BhavCopy[[#This Row],[ CLOSE_PRICE]]-NSE_BhavCopy[[#This Row],[ PREV_CLOSE]])/NSE_BhavCopy[[#This Row],[ PREV_CLOSE]]*100</f>
        <v>-2.2144522144522045</v>
      </c>
    </row>
    <row r="1405" spans="1:12" hidden="1" x14ac:dyDescent="0.25">
      <c r="A1405" s="28" t="s">
        <v>1263</v>
      </c>
      <c r="B1405" s="28" t="s">
        <v>321</v>
      </c>
      <c r="C1405" s="30">
        <v>44428</v>
      </c>
      <c r="D1405" s="28">
        <v>100.4</v>
      </c>
      <c r="E1405" s="28">
        <v>99.8</v>
      </c>
      <c r="F1405" s="28">
        <v>101.5</v>
      </c>
      <c r="G1405" s="28">
        <v>96.15</v>
      </c>
      <c r="H1405" s="28">
        <v>98.12</v>
      </c>
      <c r="I1405" s="28">
        <v>495624</v>
      </c>
      <c r="J1405" s="28">
        <v>144672</v>
      </c>
      <c r="K1405" s="28">
        <v>29.19</v>
      </c>
      <c r="L1405" s="29">
        <f>SUM(NSE_BhavCopy[[#This Row],[ CLOSE_PRICE]]-NSE_BhavCopy[[#This Row],[ PREV_CLOSE]])/NSE_BhavCopy[[#This Row],[ PREV_CLOSE]]*100</f>
        <v>-4.2330677290836647</v>
      </c>
    </row>
    <row r="1406" spans="1:12" hidden="1" x14ac:dyDescent="0.25">
      <c r="A1406" s="28" t="s">
        <v>768</v>
      </c>
      <c r="B1406" s="28" t="s">
        <v>321</v>
      </c>
      <c r="C1406" s="30">
        <v>44428</v>
      </c>
      <c r="D1406" s="28">
        <v>49.1</v>
      </c>
      <c r="E1406" s="28">
        <v>49</v>
      </c>
      <c r="F1406" s="28">
        <v>50.55</v>
      </c>
      <c r="G1406" s="28">
        <v>47.6</v>
      </c>
      <c r="H1406" s="28">
        <v>48.44</v>
      </c>
      <c r="I1406" s="28">
        <v>1334770</v>
      </c>
      <c r="J1406" s="28">
        <v>389311</v>
      </c>
      <c r="K1406" s="28">
        <v>29.17</v>
      </c>
      <c r="L1406" s="29">
        <f>SUM(NSE_BhavCopy[[#This Row],[ CLOSE_PRICE]]-NSE_BhavCopy[[#This Row],[ PREV_CLOSE]])/NSE_BhavCopy[[#This Row],[ PREV_CLOSE]]*100</f>
        <v>-3.0549898167006111</v>
      </c>
    </row>
    <row r="1407" spans="1:12" hidden="1" x14ac:dyDescent="0.25">
      <c r="A1407" s="28" t="s">
        <v>1792</v>
      </c>
      <c r="B1407" s="28" t="s">
        <v>321</v>
      </c>
      <c r="C1407" s="30">
        <v>44428</v>
      </c>
      <c r="D1407" s="28">
        <v>377.73</v>
      </c>
      <c r="E1407" s="28">
        <v>384.99</v>
      </c>
      <c r="F1407" s="28">
        <v>384.99</v>
      </c>
      <c r="G1407" s="28">
        <v>383.73</v>
      </c>
      <c r="H1407" s="28">
        <v>382.19</v>
      </c>
      <c r="I1407" s="28">
        <v>7173</v>
      </c>
      <c r="J1407" s="28">
        <v>2087</v>
      </c>
      <c r="K1407" s="28">
        <v>29.1</v>
      </c>
      <c r="L1407" s="29">
        <f>SUM(NSE_BhavCopy[[#This Row],[ CLOSE_PRICE]]-NSE_BhavCopy[[#This Row],[ PREV_CLOSE]])/NSE_BhavCopy[[#This Row],[ PREV_CLOSE]]*100</f>
        <v>1.5884361845762844</v>
      </c>
    </row>
    <row r="1408" spans="1:12" hidden="1" x14ac:dyDescent="0.25">
      <c r="A1408" s="28" t="s">
        <v>1039</v>
      </c>
      <c r="B1408" s="28" t="s">
        <v>321</v>
      </c>
      <c r="C1408" s="30">
        <v>44428</v>
      </c>
      <c r="D1408" s="28">
        <v>703.4</v>
      </c>
      <c r="E1408" s="28">
        <v>701.95</v>
      </c>
      <c r="F1408" s="28">
        <v>740</v>
      </c>
      <c r="G1408" s="28">
        <v>718.3</v>
      </c>
      <c r="H1408" s="28">
        <v>727.21</v>
      </c>
      <c r="I1408" s="28">
        <v>572208</v>
      </c>
      <c r="J1408" s="28">
        <v>166515</v>
      </c>
      <c r="K1408" s="28">
        <v>29.1</v>
      </c>
      <c r="L1408" s="29">
        <f>SUM(NSE_BhavCopy[[#This Row],[ CLOSE_PRICE]]-NSE_BhavCopy[[#This Row],[ PREV_CLOSE]])/NSE_BhavCopy[[#This Row],[ PREV_CLOSE]]*100</f>
        <v>2.1182826272391213</v>
      </c>
    </row>
    <row r="1409" spans="1:12" hidden="1" x14ac:dyDescent="0.25">
      <c r="A1409" s="28" t="s">
        <v>469</v>
      </c>
      <c r="B1409" s="28" t="s">
        <v>321</v>
      </c>
      <c r="C1409" s="30">
        <v>44428</v>
      </c>
      <c r="D1409" s="28">
        <v>394.55</v>
      </c>
      <c r="E1409" s="28">
        <v>395</v>
      </c>
      <c r="F1409" s="28">
        <v>409.5</v>
      </c>
      <c r="G1409" s="28">
        <v>404.3</v>
      </c>
      <c r="H1409" s="28">
        <v>398.61</v>
      </c>
      <c r="I1409" s="28">
        <v>254655</v>
      </c>
      <c r="J1409" s="28">
        <v>73813</v>
      </c>
      <c r="K1409" s="28">
        <v>28.99</v>
      </c>
      <c r="L1409" s="29">
        <f>SUM(NSE_BhavCopy[[#This Row],[ CLOSE_PRICE]]-NSE_BhavCopy[[#This Row],[ PREV_CLOSE]])/NSE_BhavCopy[[#This Row],[ PREV_CLOSE]]*100</f>
        <v>2.4711696869851729</v>
      </c>
    </row>
    <row r="1410" spans="1:12" hidden="1" x14ac:dyDescent="0.25">
      <c r="A1410" s="28" t="s">
        <v>966</v>
      </c>
      <c r="B1410" s="28" t="s">
        <v>321</v>
      </c>
      <c r="C1410" s="30">
        <v>44428</v>
      </c>
      <c r="D1410" s="28">
        <v>265.39999999999998</v>
      </c>
      <c r="E1410" s="28">
        <v>270</v>
      </c>
      <c r="F1410" s="28">
        <v>277.10000000000002</v>
      </c>
      <c r="G1410" s="28">
        <v>263.3</v>
      </c>
      <c r="H1410" s="28">
        <v>267.3</v>
      </c>
      <c r="I1410" s="28">
        <v>270691</v>
      </c>
      <c r="J1410" s="28">
        <v>78292</v>
      </c>
      <c r="K1410" s="28">
        <v>28.92</v>
      </c>
      <c r="L1410" s="29">
        <f>SUM(NSE_BhavCopy[[#This Row],[ CLOSE_PRICE]]-NSE_BhavCopy[[#This Row],[ PREV_CLOSE]])/NSE_BhavCopy[[#This Row],[ PREV_CLOSE]]*100</f>
        <v>-0.79125847776939184</v>
      </c>
    </row>
    <row r="1411" spans="1:12" hidden="1" x14ac:dyDescent="0.25">
      <c r="A1411" s="28" t="s">
        <v>742</v>
      </c>
      <c r="B1411" s="28" t="s">
        <v>321</v>
      </c>
      <c r="C1411" s="30">
        <v>44428</v>
      </c>
      <c r="D1411" s="28">
        <v>131.6</v>
      </c>
      <c r="E1411" s="28">
        <v>130.19999999999999</v>
      </c>
      <c r="F1411" s="28">
        <v>136.30000000000001</v>
      </c>
      <c r="G1411" s="28">
        <v>131.4</v>
      </c>
      <c r="H1411" s="28">
        <v>133.24</v>
      </c>
      <c r="I1411" s="28">
        <v>3438592</v>
      </c>
      <c r="J1411" s="28">
        <v>991756</v>
      </c>
      <c r="K1411" s="28">
        <v>28.84</v>
      </c>
      <c r="L1411" s="29">
        <f>SUM(NSE_BhavCopy[[#This Row],[ CLOSE_PRICE]]-NSE_BhavCopy[[#This Row],[ PREV_CLOSE]])/NSE_BhavCopy[[#This Row],[ PREV_CLOSE]]*100</f>
        <v>-0.15197568389056887</v>
      </c>
    </row>
    <row r="1412" spans="1:12" hidden="1" x14ac:dyDescent="0.25">
      <c r="A1412" s="28" t="s">
        <v>705</v>
      </c>
      <c r="B1412" s="28" t="s">
        <v>321</v>
      </c>
      <c r="C1412" s="30">
        <v>44428</v>
      </c>
      <c r="D1412" s="28">
        <v>140.30000000000001</v>
      </c>
      <c r="E1412" s="28">
        <v>139</v>
      </c>
      <c r="F1412" s="28">
        <v>144.25</v>
      </c>
      <c r="G1412" s="28">
        <v>139.1</v>
      </c>
      <c r="H1412" s="28">
        <v>141.24</v>
      </c>
      <c r="I1412" s="28">
        <v>551908</v>
      </c>
      <c r="J1412" s="28">
        <v>158935</v>
      </c>
      <c r="K1412" s="28">
        <v>28.8</v>
      </c>
      <c r="L1412" s="29">
        <f>SUM(NSE_BhavCopy[[#This Row],[ CLOSE_PRICE]]-NSE_BhavCopy[[#This Row],[ PREV_CLOSE]])/NSE_BhavCopy[[#This Row],[ PREV_CLOSE]]*100</f>
        <v>-0.85531004989309822</v>
      </c>
    </row>
    <row r="1413" spans="1:12" hidden="1" x14ac:dyDescent="0.25">
      <c r="A1413" s="28" t="s">
        <v>1480</v>
      </c>
      <c r="B1413" s="28" t="s">
        <v>321</v>
      </c>
      <c r="C1413" s="30">
        <v>44428</v>
      </c>
      <c r="D1413" s="28">
        <v>1405.95</v>
      </c>
      <c r="E1413" s="28">
        <v>1400</v>
      </c>
      <c r="F1413" s="28">
        <v>1494</v>
      </c>
      <c r="G1413" s="28">
        <v>1394.75</v>
      </c>
      <c r="H1413" s="28">
        <v>1438.48</v>
      </c>
      <c r="I1413" s="28">
        <v>833109</v>
      </c>
      <c r="J1413" s="28">
        <v>239698</v>
      </c>
      <c r="K1413" s="28">
        <v>28.77</v>
      </c>
      <c r="L1413" s="29">
        <f>SUM(NSE_BhavCopy[[#This Row],[ CLOSE_PRICE]]-NSE_BhavCopy[[#This Row],[ PREV_CLOSE]])/NSE_BhavCopy[[#This Row],[ PREV_CLOSE]]*100</f>
        <v>-0.79661438884740188</v>
      </c>
    </row>
    <row r="1414" spans="1:12" hidden="1" x14ac:dyDescent="0.25">
      <c r="A1414" s="28" t="s">
        <v>1369</v>
      </c>
      <c r="B1414" s="28" t="s">
        <v>321</v>
      </c>
      <c r="C1414" s="30">
        <v>44428</v>
      </c>
      <c r="D1414" s="28">
        <v>179.6</v>
      </c>
      <c r="E1414" s="28">
        <v>173.65</v>
      </c>
      <c r="F1414" s="28">
        <v>178.35</v>
      </c>
      <c r="G1414" s="28">
        <v>170.85</v>
      </c>
      <c r="H1414" s="28">
        <v>173.07</v>
      </c>
      <c r="I1414" s="28">
        <v>176120</v>
      </c>
      <c r="J1414" s="28">
        <v>50624</v>
      </c>
      <c r="K1414" s="28">
        <v>28.74</v>
      </c>
      <c r="L1414" s="29">
        <f>SUM(NSE_BhavCopy[[#This Row],[ CLOSE_PRICE]]-NSE_BhavCopy[[#This Row],[ PREV_CLOSE]])/NSE_BhavCopy[[#This Row],[ PREV_CLOSE]]*100</f>
        <v>-4.8719376391982188</v>
      </c>
    </row>
    <row r="1415" spans="1:12" hidden="1" x14ac:dyDescent="0.25">
      <c r="A1415" s="28" t="s">
        <v>713</v>
      </c>
      <c r="B1415" s="28" t="s">
        <v>321</v>
      </c>
      <c r="C1415" s="30">
        <v>44428</v>
      </c>
      <c r="D1415" s="28">
        <v>553.6</v>
      </c>
      <c r="E1415" s="28">
        <v>550</v>
      </c>
      <c r="F1415" s="28">
        <v>559.15</v>
      </c>
      <c r="G1415" s="28">
        <v>539.75</v>
      </c>
      <c r="H1415" s="28">
        <v>543.51</v>
      </c>
      <c r="I1415" s="28">
        <v>1806975</v>
      </c>
      <c r="J1415" s="28">
        <v>518310</v>
      </c>
      <c r="K1415" s="28">
        <v>28.68</v>
      </c>
      <c r="L1415" s="29">
        <f>SUM(NSE_BhavCopy[[#This Row],[ CLOSE_PRICE]]-NSE_BhavCopy[[#This Row],[ PREV_CLOSE]])/NSE_BhavCopy[[#This Row],[ PREV_CLOSE]]*100</f>
        <v>-2.5018063583815069</v>
      </c>
    </row>
    <row r="1416" spans="1:12" hidden="1" x14ac:dyDescent="0.25">
      <c r="A1416" s="28" t="s">
        <v>1440</v>
      </c>
      <c r="B1416" s="28" t="s">
        <v>321</v>
      </c>
      <c r="C1416" s="30">
        <v>44428</v>
      </c>
      <c r="D1416" s="28">
        <v>53.85</v>
      </c>
      <c r="E1416" s="28">
        <v>53.4</v>
      </c>
      <c r="F1416" s="28">
        <v>54.8</v>
      </c>
      <c r="G1416" s="28">
        <v>52.2</v>
      </c>
      <c r="H1416" s="28">
        <v>53.09</v>
      </c>
      <c r="I1416" s="28">
        <v>8342786</v>
      </c>
      <c r="J1416" s="28">
        <v>2386460</v>
      </c>
      <c r="K1416" s="28">
        <v>28.61</v>
      </c>
      <c r="L1416" s="29">
        <f>SUM(NSE_BhavCopy[[#This Row],[ CLOSE_PRICE]]-NSE_BhavCopy[[#This Row],[ PREV_CLOSE]])/NSE_BhavCopy[[#This Row],[ PREV_CLOSE]]*100</f>
        <v>-3.0640668523676853</v>
      </c>
    </row>
    <row r="1417" spans="1:12" hidden="1" x14ac:dyDescent="0.25">
      <c r="A1417" s="28" t="s">
        <v>430</v>
      </c>
      <c r="B1417" s="28" t="s">
        <v>321</v>
      </c>
      <c r="C1417" s="30">
        <v>44428</v>
      </c>
      <c r="D1417" s="28">
        <v>721.65</v>
      </c>
      <c r="E1417" s="28">
        <v>721</v>
      </c>
      <c r="F1417" s="28">
        <v>721</v>
      </c>
      <c r="G1417" s="28">
        <v>681.1</v>
      </c>
      <c r="H1417" s="28">
        <v>695.49</v>
      </c>
      <c r="I1417" s="28">
        <v>8306985</v>
      </c>
      <c r="J1417" s="28">
        <v>2372926</v>
      </c>
      <c r="K1417" s="28">
        <v>28.57</v>
      </c>
      <c r="L1417" s="29">
        <f>SUM(NSE_BhavCopy[[#This Row],[ CLOSE_PRICE]]-NSE_BhavCopy[[#This Row],[ PREV_CLOSE]])/NSE_BhavCopy[[#This Row],[ PREV_CLOSE]]*100</f>
        <v>-5.6190674149518403</v>
      </c>
    </row>
    <row r="1418" spans="1:12" hidden="1" x14ac:dyDescent="0.25">
      <c r="A1418" s="28" t="s">
        <v>328</v>
      </c>
      <c r="B1418" s="28" t="s">
        <v>321</v>
      </c>
      <c r="C1418" s="30">
        <v>44428</v>
      </c>
      <c r="D1418" s="28">
        <v>957.2</v>
      </c>
      <c r="E1418" s="28">
        <v>955</v>
      </c>
      <c r="F1418" s="28">
        <v>970</v>
      </c>
      <c r="G1418" s="28">
        <v>930.05</v>
      </c>
      <c r="H1418" s="28">
        <v>943.52</v>
      </c>
      <c r="I1418" s="28">
        <v>1897994</v>
      </c>
      <c r="J1418" s="28">
        <v>541318</v>
      </c>
      <c r="K1418" s="28">
        <v>28.52</v>
      </c>
      <c r="L1418" s="29">
        <f>SUM(NSE_BhavCopy[[#This Row],[ CLOSE_PRICE]]-NSE_BhavCopy[[#This Row],[ PREV_CLOSE]])/NSE_BhavCopy[[#This Row],[ PREV_CLOSE]]*100</f>
        <v>-2.8363978269954124</v>
      </c>
    </row>
    <row r="1419" spans="1:12" hidden="1" x14ac:dyDescent="0.25">
      <c r="A1419" s="28" t="s">
        <v>605</v>
      </c>
      <c r="B1419" s="28" t="s">
        <v>321</v>
      </c>
      <c r="C1419" s="30">
        <v>44428</v>
      </c>
      <c r="D1419" s="28">
        <v>131.85</v>
      </c>
      <c r="E1419" s="28">
        <v>130</v>
      </c>
      <c r="F1419" s="28">
        <v>132.19999999999999</v>
      </c>
      <c r="G1419" s="28">
        <v>128.6</v>
      </c>
      <c r="H1419" s="28">
        <v>129.62</v>
      </c>
      <c r="I1419" s="28">
        <v>257800</v>
      </c>
      <c r="J1419" s="28">
        <v>73465</v>
      </c>
      <c r="K1419" s="28">
        <v>28.5</v>
      </c>
      <c r="L1419" s="29">
        <f>SUM(NSE_BhavCopy[[#This Row],[ CLOSE_PRICE]]-NSE_BhavCopy[[#This Row],[ PREV_CLOSE]])/NSE_BhavCopy[[#This Row],[ PREV_CLOSE]]*100</f>
        <v>-2.4649222601441032</v>
      </c>
    </row>
    <row r="1420" spans="1:12" hidden="1" x14ac:dyDescent="0.25">
      <c r="A1420" s="28" t="s">
        <v>1564</v>
      </c>
      <c r="B1420" s="28" t="s">
        <v>321</v>
      </c>
      <c r="C1420" s="30">
        <v>44428</v>
      </c>
      <c r="D1420" s="28">
        <v>63.35</v>
      </c>
      <c r="E1420" s="28">
        <v>63.65</v>
      </c>
      <c r="F1420" s="28">
        <v>71.900000000000006</v>
      </c>
      <c r="G1420" s="28">
        <v>66.05</v>
      </c>
      <c r="H1420" s="28">
        <v>67.83</v>
      </c>
      <c r="I1420" s="28">
        <v>1127289</v>
      </c>
      <c r="J1420" s="28">
        <v>319837</v>
      </c>
      <c r="K1420" s="28">
        <v>28.37</v>
      </c>
      <c r="L1420" s="29">
        <f>SUM(NSE_BhavCopy[[#This Row],[ CLOSE_PRICE]]-NSE_BhavCopy[[#This Row],[ PREV_CLOSE]])/NSE_BhavCopy[[#This Row],[ PREV_CLOSE]]*100</f>
        <v>4.2620363062351947</v>
      </c>
    </row>
    <row r="1421" spans="1:12" hidden="1" x14ac:dyDescent="0.25">
      <c r="A1421" s="28" t="s">
        <v>1604</v>
      </c>
      <c r="B1421" s="28" t="s">
        <v>321</v>
      </c>
      <c r="C1421" s="30">
        <v>44428</v>
      </c>
      <c r="D1421" s="28">
        <v>48.2</v>
      </c>
      <c r="E1421" s="28">
        <v>49.2</v>
      </c>
      <c r="F1421" s="28">
        <v>49.2</v>
      </c>
      <c r="G1421" s="28">
        <v>46.85</v>
      </c>
      <c r="H1421" s="28">
        <v>47.26</v>
      </c>
      <c r="I1421" s="28">
        <v>10249</v>
      </c>
      <c r="J1421" s="28">
        <v>2898</v>
      </c>
      <c r="K1421" s="28">
        <v>28.28</v>
      </c>
      <c r="L1421" s="29">
        <f>SUM(NSE_BhavCopy[[#This Row],[ CLOSE_PRICE]]-NSE_BhavCopy[[#This Row],[ PREV_CLOSE]])/NSE_BhavCopy[[#This Row],[ PREV_CLOSE]]*100</f>
        <v>-2.8008298755186751</v>
      </c>
    </row>
    <row r="1422" spans="1:12" hidden="1" x14ac:dyDescent="0.25">
      <c r="A1422" s="28" t="s">
        <v>1589</v>
      </c>
      <c r="B1422" s="28" t="s">
        <v>321</v>
      </c>
      <c r="C1422" s="30">
        <v>44428</v>
      </c>
      <c r="D1422" s="28">
        <v>154.4</v>
      </c>
      <c r="E1422" s="28">
        <v>152.94999999999999</v>
      </c>
      <c r="F1422" s="28">
        <v>155.4</v>
      </c>
      <c r="G1422" s="28">
        <v>154.65</v>
      </c>
      <c r="H1422" s="28">
        <v>153.16999999999999</v>
      </c>
      <c r="I1422" s="28">
        <v>214422</v>
      </c>
      <c r="J1422" s="28">
        <v>60599</v>
      </c>
      <c r="K1422" s="28">
        <v>28.26</v>
      </c>
      <c r="L1422" s="29">
        <f>SUM(NSE_BhavCopy[[#This Row],[ CLOSE_PRICE]]-NSE_BhavCopy[[#This Row],[ PREV_CLOSE]])/NSE_BhavCopy[[#This Row],[ PREV_CLOSE]]*100</f>
        <v>0.16191709844559585</v>
      </c>
    </row>
    <row r="1423" spans="1:12" hidden="1" x14ac:dyDescent="0.25">
      <c r="A1423" s="28" t="s">
        <v>739</v>
      </c>
      <c r="B1423" s="28" t="s">
        <v>321</v>
      </c>
      <c r="C1423" s="30">
        <v>44428</v>
      </c>
      <c r="D1423" s="28">
        <v>344.1</v>
      </c>
      <c r="E1423" s="28">
        <v>340</v>
      </c>
      <c r="F1423" s="28">
        <v>344</v>
      </c>
      <c r="G1423" s="28">
        <v>325.10000000000002</v>
      </c>
      <c r="H1423" s="28">
        <v>331.49</v>
      </c>
      <c r="I1423" s="28">
        <v>3285451</v>
      </c>
      <c r="J1423" s="28">
        <v>924838</v>
      </c>
      <c r="K1423" s="28">
        <v>28.15</v>
      </c>
      <c r="L1423" s="29">
        <f>SUM(NSE_BhavCopy[[#This Row],[ CLOSE_PRICE]]-NSE_BhavCopy[[#This Row],[ PREV_CLOSE]])/NSE_BhavCopy[[#This Row],[ PREV_CLOSE]]*100</f>
        <v>-5.5216506829410053</v>
      </c>
    </row>
    <row r="1424" spans="1:12" hidden="1" x14ac:dyDescent="0.25">
      <c r="A1424" s="28" t="s">
        <v>10</v>
      </c>
      <c r="B1424" s="28" t="s">
        <v>321</v>
      </c>
      <c r="C1424" s="30">
        <v>44428</v>
      </c>
      <c r="D1424" s="28">
        <v>1500.45</v>
      </c>
      <c r="E1424" s="28">
        <v>1445.05</v>
      </c>
      <c r="F1424" s="28">
        <v>1447</v>
      </c>
      <c r="G1424" s="28">
        <v>1375.6</v>
      </c>
      <c r="H1424" s="28">
        <v>1412.52</v>
      </c>
      <c r="I1424" s="28">
        <v>27340069</v>
      </c>
      <c r="J1424" s="28">
        <v>7694095</v>
      </c>
      <c r="K1424" s="28">
        <v>28.14</v>
      </c>
      <c r="L1424" s="29">
        <f>SUM(NSE_BhavCopy[[#This Row],[ CLOSE_PRICE]]-NSE_BhavCopy[[#This Row],[ PREV_CLOSE]])/NSE_BhavCopy[[#This Row],[ PREV_CLOSE]]*100</f>
        <v>-8.3208370822086799</v>
      </c>
    </row>
    <row r="1425" spans="1:12" hidden="1" x14ac:dyDescent="0.25">
      <c r="A1425" s="28" t="s">
        <v>452</v>
      </c>
      <c r="B1425" s="28" t="s">
        <v>321</v>
      </c>
      <c r="C1425" s="30">
        <v>44428</v>
      </c>
      <c r="D1425" s="28">
        <v>360.3</v>
      </c>
      <c r="E1425" s="28">
        <v>357.55</v>
      </c>
      <c r="F1425" s="28">
        <v>364</v>
      </c>
      <c r="G1425" s="28">
        <v>357.15</v>
      </c>
      <c r="H1425" s="28">
        <v>357.65</v>
      </c>
      <c r="I1425" s="28">
        <v>1177227</v>
      </c>
      <c r="J1425" s="28">
        <v>330062</v>
      </c>
      <c r="K1425" s="28">
        <v>28.04</v>
      </c>
      <c r="L1425" s="29">
        <f>SUM(NSE_BhavCopy[[#This Row],[ CLOSE_PRICE]]-NSE_BhavCopy[[#This Row],[ PREV_CLOSE]])/NSE_BhavCopy[[#This Row],[ PREV_CLOSE]]*100</f>
        <v>-0.87427144046628746</v>
      </c>
    </row>
    <row r="1426" spans="1:12" hidden="1" x14ac:dyDescent="0.25">
      <c r="A1426" s="28" t="s">
        <v>1121</v>
      </c>
      <c r="B1426" s="28" t="s">
        <v>321</v>
      </c>
      <c r="C1426" s="30">
        <v>44428</v>
      </c>
      <c r="D1426" s="28">
        <v>965.35</v>
      </c>
      <c r="E1426" s="28">
        <v>959</v>
      </c>
      <c r="F1426" s="28">
        <v>964</v>
      </c>
      <c r="G1426" s="28">
        <v>923.7</v>
      </c>
      <c r="H1426" s="28">
        <v>931.08</v>
      </c>
      <c r="I1426" s="28">
        <v>575000</v>
      </c>
      <c r="J1426" s="28">
        <v>161105</v>
      </c>
      <c r="K1426" s="28">
        <v>28.02</v>
      </c>
      <c r="L1426" s="29">
        <f>SUM(NSE_BhavCopy[[#This Row],[ CLOSE_PRICE]]-NSE_BhavCopy[[#This Row],[ PREV_CLOSE]])/NSE_BhavCopy[[#This Row],[ PREV_CLOSE]]*100</f>
        <v>-4.3144973325736755</v>
      </c>
    </row>
    <row r="1427" spans="1:12" hidden="1" x14ac:dyDescent="0.25">
      <c r="A1427" s="28" t="s">
        <v>1673</v>
      </c>
      <c r="B1427" s="28" t="s">
        <v>321</v>
      </c>
      <c r="C1427" s="30">
        <v>44428</v>
      </c>
      <c r="D1427" s="28">
        <v>27</v>
      </c>
      <c r="E1427" s="28">
        <v>25.15</v>
      </c>
      <c r="F1427" s="28">
        <v>28.1</v>
      </c>
      <c r="G1427" s="28">
        <v>26.85</v>
      </c>
      <c r="H1427" s="28">
        <v>26.33</v>
      </c>
      <c r="I1427" s="28">
        <v>10033</v>
      </c>
      <c r="J1427" s="28">
        <v>2806</v>
      </c>
      <c r="K1427" s="28">
        <v>27.97</v>
      </c>
      <c r="L1427" s="29">
        <f>SUM(NSE_BhavCopy[[#This Row],[ CLOSE_PRICE]]-NSE_BhavCopy[[#This Row],[ PREV_CLOSE]])/NSE_BhavCopy[[#This Row],[ PREV_CLOSE]]*100</f>
        <v>-0.55555555555555025</v>
      </c>
    </row>
    <row r="1428" spans="1:12" hidden="1" x14ac:dyDescent="0.25">
      <c r="A1428" s="28" t="s">
        <v>572</v>
      </c>
      <c r="B1428" s="28" t="s">
        <v>321</v>
      </c>
      <c r="C1428" s="30">
        <v>44428</v>
      </c>
      <c r="D1428" s="28">
        <v>1030</v>
      </c>
      <c r="E1428" s="28">
        <v>1017</v>
      </c>
      <c r="F1428" s="28">
        <v>1025.8</v>
      </c>
      <c r="G1428" s="28">
        <v>992.05</v>
      </c>
      <c r="H1428" s="28">
        <v>1009.66</v>
      </c>
      <c r="I1428" s="28">
        <v>934309</v>
      </c>
      <c r="J1428" s="28">
        <v>261026</v>
      </c>
      <c r="K1428" s="28">
        <v>27.94</v>
      </c>
      <c r="L1428" s="29">
        <f>SUM(NSE_BhavCopy[[#This Row],[ CLOSE_PRICE]]-NSE_BhavCopy[[#This Row],[ PREV_CLOSE]])/NSE_BhavCopy[[#This Row],[ PREV_CLOSE]]*100</f>
        <v>-3.6844660194174801</v>
      </c>
    </row>
    <row r="1429" spans="1:12" hidden="1" x14ac:dyDescent="0.25">
      <c r="A1429" s="28" t="s">
        <v>919</v>
      </c>
      <c r="B1429" s="28" t="s">
        <v>321</v>
      </c>
      <c r="C1429" s="30">
        <v>44428</v>
      </c>
      <c r="D1429" s="28">
        <v>709.5</v>
      </c>
      <c r="E1429" s="28">
        <v>705.9</v>
      </c>
      <c r="F1429" s="28">
        <v>708</v>
      </c>
      <c r="G1429" s="28">
        <v>697.05</v>
      </c>
      <c r="H1429" s="28">
        <v>695.79</v>
      </c>
      <c r="I1429" s="28">
        <v>395870</v>
      </c>
      <c r="J1429" s="28">
        <v>110394</v>
      </c>
      <c r="K1429" s="28">
        <v>27.89</v>
      </c>
      <c r="L1429" s="29">
        <f>SUM(NSE_BhavCopy[[#This Row],[ CLOSE_PRICE]]-NSE_BhavCopy[[#This Row],[ PREV_CLOSE]])/NSE_BhavCopy[[#This Row],[ PREV_CLOSE]]*100</f>
        <v>-1.7547568710359471</v>
      </c>
    </row>
    <row r="1430" spans="1:12" hidden="1" x14ac:dyDescent="0.25">
      <c r="A1430" s="28" t="s">
        <v>838</v>
      </c>
      <c r="B1430" s="28" t="s">
        <v>321</v>
      </c>
      <c r="C1430" s="30">
        <v>44428</v>
      </c>
      <c r="D1430" s="28">
        <v>6.45</v>
      </c>
      <c r="E1430" s="28">
        <v>5.95</v>
      </c>
      <c r="F1430" s="28">
        <v>6.4</v>
      </c>
      <c r="G1430" s="28">
        <v>5.95</v>
      </c>
      <c r="H1430" s="28">
        <v>6.09</v>
      </c>
      <c r="I1430" s="28">
        <v>309374862</v>
      </c>
      <c r="J1430" s="28">
        <v>86129505</v>
      </c>
      <c r="K1430" s="28">
        <v>27.84</v>
      </c>
      <c r="L1430" s="29">
        <f>SUM(NSE_BhavCopy[[#This Row],[ CLOSE_PRICE]]-NSE_BhavCopy[[#This Row],[ PREV_CLOSE]])/NSE_BhavCopy[[#This Row],[ PREV_CLOSE]]*100</f>
        <v>-7.7519379844961236</v>
      </c>
    </row>
    <row r="1431" spans="1:12" hidden="1" x14ac:dyDescent="0.25">
      <c r="A1431" s="28" t="s">
        <v>1114</v>
      </c>
      <c r="B1431" s="28" t="s">
        <v>321</v>
      </c>
      <c r="C1431" s="30">
        <v>44428</v>
      </c>
      <c r="D1431" s="28">
        <v>24.15</v>
      </c>
      <c r="E1431" s="28">
        <v>23.5</v>
      </c>
      <c r="F1431" s="28">
        <v>24.75</v>
      </c>
      <c r="G1431" s="28">
        <v>23.85</v>
      </c>
      <c r="H1431" s="28">
        <v>24.29</v>
      </c>
      <c r="I1431" s="28">
        <v>182433</v>
      </c>
      <c r="J1431" s="28">
        <v>50589</v>
      </c>
      <c r="K1431" s="28">
        <v>27.73</v>
      </c>
      <c r="L1431" s="29">
        <f>SUM(NSE_BhavCopy[[#This Row],[ CLOSE_PRICE]]-NSE_BhavCopy[[#This Row],[ PREV_CLOSE]])/NSE_BhavCopy[[#This Row],[ PREV_CLOSE]]*100</f>
        <v>-1.2422360248447089</v>
      </c>
    </row>
    <row r="1432" spans="1:12" hidden="1" x14ac:dyDescent="0.25">
      <c r="A1432" s="28" t="s">
        <v>1308</v>
      </c>
      <c r="B1432" s="28" t="s">
        <v>321</v>
      </c>
      <c r="C1432" s="30">
        <v>44428</v>
      </c>
      <c r="D1432" s="28">
        <v>1351.6</v>
      </c>
      <c r="E1432" s="28">
        <v>1352</v>
      </c>
      <c r="F1432" s="28">
        <v>1364.15</v>
      </c>
      <c r="G1432" s="28">
        <v>1350.3</v>
      </c>
      <c r="H1432" s="28">
        <v>1346.86</v>
      </c>
      <c r="I1432" s="28">
        <v>72921</v>
      </c>
      <c r="J1432" s="28">
        <v>20132</v>
      </c>
      <c r="K1432" s="28">
        <v>27.61</v>
      </c>
      <c r="L1432" s="29">
        <f>SUM(NSE_BhavCopy[[#This Row],[ CLOSE_PRICE]]-NSE_BhavCopy[[#This Row],[ PREV_CLOSE]])/NSE_BhavCopy[[#This Row],[ PREV_CLOSE]]*100</f>
        <v>-9.6182302456344682E-2</v>
      </c>
    </row>
    <row r="1433" spans="1:12" hidden="1" x14ac:dyDescent="0.25">
      <c r="A1433" s="28" t="s">
        <v>1624</v>
      </c>
      <c r="B1433" s="28" t="s">
        <v>321</v>
      </c>
      <c r="C1433" s="30">
        <v>44428</v>
      </c>
      <c r="D1433" s="28">
        <v>446.05</v>
      </c>
      <c r="E1433" s="28">
        <v>438</v>
      </c>
      <c r="F1433" s="28">
        <v>444.75</v>
      </c>
      <c r="G1433" s="28">
        <v>428.45</v>
      </c>
      <c r="H1433" s="28">
        <v>433.63</v>
      </c>
      <c r="I1433" s="28">
        <v>1157997</v>
      </c>
      <c r="J1433" s="28">
        <v>319506</v>
      </c>
      <c r="K1433" s="28">
        <v>27.59</v>
      </c>
      <c r="L1433" s="29">
        <f>SUM(NSE_BhavCopy[[#This Row],[ CLOSE_PRICE]]-NSE_BhavCopy[[#This Row],[ PREV_CLOSE]])/NSE_BhavCopy[[#This Row],[ PREV_CLOSE]]*100</f>
        <v>-3.9457459926017311</v>
      </c>
    </row>
    <row r="1434" spans="1:12" hidden="1" x14ac:dyDescent="0.25">
      <c r="A1434" s="28" t="s">
        <v>21</v>
      </c>
      <c r="B1434" s="28" t="s">
        <v>321</v>
      </c>
      <c r="C1434" s="30">
        <v>44428</v>
      </c>
      <c r="D1434" s="28">
        <v>841.4</v>
      </c>
      <c r="E1434" s="28">
        <v>832.95</v>
      </c>
      <c r="F1434" s="28">
        <v>852.4</v>
      </c>
      <c r="G1434" s="28">
        <v>847.3</v>
      </c>
      <c r="H1434" s="28">
        <v>841.84</v>
      </c>
      <c r="I1434" s="28">
        <v>3782381</v>
      </c>
      <c r="J1434" s="28">
        <v>1041079</v>
      </c>
      <c r="K1434" s="28">
        <v>27.52</v>
      </c>
      <c r="L1434" s="29">
        <f>SUM(NSE_BhavCopy[[#This Row],[ CLOSE_PRICE]]-NSE_BhavCopy[[#This Row],[ PREV_CLOSE]])/NSE_BhavCopy[[#This Row],[ PREV_CLOSE]]*100</f>
        <v>0.70121226527216274</v>
      </c>
    </row>
    <row r="1435" spans="1:12" hidden="1" x14ac:dyDescent="0.25">
      <c r="A1435" s="28" t="s">
        <v>678</v>
      </c>
      <c r="B1435" s="28" t="s">
        <v>321</v>
      </c>
      <c r="C1435" s="30">
        <v>44428</v>
      </c>
      <c r="D1435" s="28">
        <v>267.75</v>
      </c>
      <c r="E1435" s="28">
        <v>263</v>
      </c>
      <c r="F1435" s="28">
        <v>285.89999999999998</v>
      </c>
      <c r="G1435" s="28">
        <v>277.60000000000002</v>
      </c>
      <c r="H1435" s="28">
        <v>278.68</v>
      </c>
      <c r="I1435" s="28">
        <v>25875824</v>
      </c>
      <c r="J1435" s="28">
        <v>7083244</v>
      </c>
      <c r="K1435" s="28">
        <v>27.37</v>
      </c>
      <c r="L1435" s="29">
        <f>SUM(NSE_BhavCopy[[#This Row],[ CLOSE_PRICE]]-NSE_BhavCopy[[#This Row],[ PREV_CLOSE]])/NSE_BhavCopy[[#This Row],[ PREV_CLOSE]]*100</f>
        <v>3.6788048552754518</v>
      </c>
    </row>
    <row r="1436" spans="1:12" hidden="1" x14ac:dyDescent="0.25">
      <c r="A1436" s="28" t="s">
        <v>995</v>
      </c>
      <c r="B1436" s="28" t="s">
        <v>321</v>
      </c>
      <c r="C1436" s="30">
        <v>44428</v>
      </c>
      <c r="D1436" s="28">
        <v>81.650000000000006</v>
      </c>
      <c r="E1436" s="28">
        <v>80.95</v>
      </c>
      <c r="F1436" s="28">
        <v>81.849999999999994</v>
      </c>
      <c r="G1436" s="28">
        <v>79.2</v>
      </c>
      <c r="H1436" s="28">
        <v>80.239999999999995</v>
      </c>
      <c r="I1436" s="28">
        <v>7467171</v>
      </c>
      <c r="J1436" s="28">
        <v>2036696</v>
      </c>
      <c r="K1436" s="28">
        <v>27.28</v>
      </c>
      <c r="L1436" s="29">
        <f>SUM(NSE_BhavCopy[[#This Row],[ CLOSE_PRICE]]-NSE_BhavCopy[[#This Row],[ PREV_CLOSE]])/NSE_BhavCopy[[#This Row],[ PREV_CLOSE]]*100</f>
        <v>-3.0006123698714053</v>
      </c>
    </row>
    <row r="1437" spans="1:12" hidden="1" x14ac:dyDescent="0.25">
      <c r="A1437" s="28" t="s">
        <v>1481</v>
      </c>
      <c r="B1437" s="28" t="s">
        <v>321</v>
      </c>
      <c r="C1437" s="30">
        <v>44428</v>
      </c>
      <c r="D1437" s="28">
        <v>4722.2</v>
      </c>
      <c r="E1437" s="28">
        <v>4699</v>
      </c>
      <c r="F1437" s="28">
        <v>4852.95</v>
      </c>
      <c r="G1437" s="28">
        <v>4732.6000000000004</v>
      </c>
      <c r="H1437" s="28">
        <v>4776.62</v>
      </c>
      <c r="I1437" s="28">
        <v>264202</v>
      </c>
      <c r="J1437" s="28">
        <v>71940</v>
      </c>
      <c r="K1437" s="28">
        <v>27.23</v>
      </c>
      <c r="L1437" s="29">
        <f>SUM(NSE_BhavCopy[[#This Row],[ CLOSE_PRICE]]-NSE_BhavCopy[[#This Row],[ PREV_CLOSE]])/NSE_BhavCopy[[#This Row],[ PREV_CLOSE]]*100</f>
        <v>0.22023633052391992</v>
      </c>
    </row>
    <row r="1438" spans="1:12" hidden="1" x14ac:dyDescent="0.25">
      <c r="A1438" s="28" t="s">
        <v>1124</v>
      </c>
      <c r="B1438" s="28" t="s">
        <v>321</v>
      </c>
      <c r="C1438" s="30">
        <v>44428</v>
      </c>
      <c r="D1438" s="28">
        <v>5482.1</v>
      </c>
      <c r="E1438" s="28">
        <v>5450</v>
      </c>
      <c r="F1438" s="28">
        <v>5469</v>
      </c>
      <c r="G1438" s="28">
        <v>5392.35</v>
      </c>
      <c r="H1438" s="28">
        <v>5423.08</v>
      </c>
      <c r="I1438" s="28">
        <v>147435</v>
      </c>
      <c r="J1438" s="28">
        <v>39978</v>
      </c>
      <c r="K1438" s="28">
        <v>27.12</v>
      </c>
      <c r="L1438" s="29">
        <f>SUM(NSE_BhavCopy[[#This Row],[ CLOSE_PRICE]]-NSE_BhavCopy[[#This Row],[ PREV_CLOSE]])/NSE_BhavCopy[[#This Row],[ PREV_CLOSE]]*100</f>
        <v>-1.6371463490268325</v>
      </c>
    </row>
    <row r="1439" spans="1:12" hidden="1" x14ac:dyDescent="0.25">
      <c r="A1439" s="28" t="s">
        <v>1411</v>
      </c>
      <c r="B1439" s="28" t="s">
        <v>321</v>
      </c>
      <c r="C1439" s="30">
        <v>44428</v>
      </c>
      <c r="D1439" s="28">
        <v>473.75</v>
      </c>
      <c r="E1439" s="28">
        <v>467.6</v>
      </c>
      <c r="F1439" s="28">
        <v>493</v>
      </c>
      <c r="G1439" s="28">
        <v>466.35</v>
      </c>
      <c r="H1439" s="28">
        <v>475.27</v>
      </c>
      <c r="I1439" s="28">
        <v>2441515</v>
      </c>
      <c r="J1439" s="28">
        <v>661777</v>
      </c>
      <c r="K1439" s="28">
        <v>27.11</v>
      </c>
      <c r="L1439" s="29">
        <f>SUM(NSE_BhavCopy[[#This Row],[ CLOSE_PRICE]]-NSE_BhavCopy[[#This Row],[ PREV_CLOSE]])/NSE_BhavCopy[[#This Row],[ PREV_CLOSE]]*100</f>
        <v>-1.56200527704485</v>
      </c>
    </row>
    <row r="1440" spans="1:12" hidden="1" x14ac:dyDescent="0.25">
      <c r="A1440" s="28" t="s">
        <v>920</v>
      </c>
      <c r="B1440" s="28" t="s">
        <v>321</v>
      </c>
      <c r="C1440" s="30">
        <v>44428</v>
      </c>
      <c r="D1440" s="28">
        <v>257.45</v>
      </c>
      <c r="E1440" s="28">
        <v>251.25</v>
      </c>
      <c r="F1440" s="28">
        <v>255.4</v>
      </c>
      <c r="G1440" s="28">
        <v>242.95</v>
      </c>
      <c r="H1440" s="28">
        <v>248.3</v>
      </c>
      <c r="I1440" s="28">
        <v>1425542</v>
      </c>
      <c r="J1440" s="28">
        <v>386342</v>
      </c>
      <c r="K1440" s="28">
        <v>27.1</v>
      </c>
      <c r="L1440" s="29">
        <f>SUM(NSE_BhavCopy[[#This Row],[ CLOSE_PRICE]]-NSE_BhavCopy[[#This Row],[ PREV_CLOSE]])/NSE_BhavCopy[[#This Row],[ PREV_CLOSE]]*100</f>
        <v>-5.6321615847737423</v>
      </c>
    </row>
    <row r="1441" spans="1:12" hidden="1" x14ac:dyDescent="0.25">
      <c r="A1441" s="28" t="s">
        <v>347</v>
      </c>
      <c r="B1441" s="28" t="s">
        <v>321</v>
      </c>
      <c r="C1441" s="30">
        <v>44428</v>
      </c>
      <c r="D1441" s="28">
        <v>377.5</v>
      </c>
      <c r="E1441" s="28">
        <v>374</v>
      </c>
      <c r="F1441" s="28">
        <v>390</v>
      </c>
      <c r="G1441" s="28">
        <v>375.25</v>
      </c>
      <c r="H1441" s="28">
        <v>382.4</v>
      </c>
      <c r="I1441" s="28">
        <v>406514</v>
      </c>
      <c r="J1441" s="28">
        <v>109575</v>
      </c>
      <c r="K1441" s="28">
        <v>26.95</v>
      </c>
      <c r="L1441" s="29">
        <f>SUM(NSE_BhavCopy[[#This Row],[ CLOSE_PRICE]]-NSE_BhavCopy[[#This Row],[ PREV_CLOSE]])/NSE_BhavCopy[[#This Row],[ PREV_CLOSE]]*100</f>
        <v>-0.59602649006622521</v>
      </c>
    </row>
    <row r="1442" spans="1:12" hidden="1" x14ac:dyDescent="0.25">
      <c r="A1442" s="28" t="s">
        <v>567</v>
      </c>
      <c r="B1442" s="28" t="s">
        <v>321</v>
      </c>
      <c r="C1442" s="30">
        <v>44428</v>
      </c>
      <c r="D1442" s="28">
        <v>2689.55</v>
      </c>
      <c r="E1442" s="28">
        <v>2604</v>
      </c>
      <c r="F1442" s="28">
        <v>2680.45</v>
      </c>
      <c r="G1442" s="28">
        <v>2632.05</v>
      </c>
      <c r="H1442" s="28">
        <v>2639.03</v>
      </c>
      <c r="I1442" s="28">
        <v>38463</v>
      </c>
      <c r="J1442" s="28">
        <v>10314</v>
      </c>
      <c r="K1442" s="28">
        <v>26.82</v>
      </c>
      <c r="L1442" s="29">
        <f>SUM(NSE_BhavCopy[[#This Row],[ CLOSE_PRICE]]-NSE_BhavCopy[[#This Row],[ PREV_CLOSE]])/NSE_BhavCopy[[#This Row],[ PREV_CLOSE]]*100</f>
        <v>-2.1379041103530327</v>
      </c>
    </row>
    <row r="1443" spans="1:12" hidden="1" x14ac:dyDescent="0.25">
      <c r="A1443" s="28" t="s">
        <v>831</v>
      </c>
      <c r="B1443" s="28" t="s">
        <v>321</v>
      </c>
      <c r="C1443" s="30">
        <v>44428</v>
      </c>
      <c r="D1443" s="28">
        <v>680.7</v>
      </c>
      <c r="E1443" s="28">
        <v>676.5</v>
      </c>
      <c r="F1443" s="28">
        <v>688.95</v>
      </c>
      <c r="G1443" s="28">
        <v>666.2</v>
      </c>
      <c r="H1443" s="28">
        <v>677.64</v>
      </c>
      <c r="I1443" s="28">
        <v>1402309</v>
      </c>
      <c r="J1443" s="28">
        <v>374832</v>
      </c>
      <c r="K1443" s="28">
        <v>26.73</v>
      </c>
      <c r="L1443" s="29">
        <f>SUM(NSE_BhavCopy[[#This Row],[ CLOSE_PRICE]]-NSE_BhavCopy[[#This Row],[ PREV_CLOSE]])/NSE_BhavCopy[[#This Row],[ PREV_CLOSE]]*100</f>
        <v>-2.1301601292786838</v>
      </c>
    </row>
    <row r="1444" spans="1:12" hidden="1" x14ac:dyDescent="0.25">
      <c r="A1444" s="28" t="s">
        <v>1543</v>
      </c>
      <c r="B1444" s="28" t="s">
        <v>321</v>
      </c>
      <c r="C1444" s="30">
        <v>44428</v>
      </c>
      <c r="D1444" s="28">
        <v>328.45</v>
      </c>
      <c r="E1444" s="28">
        <v>320</v>
      </c>
      <c r="F1444" s="28">
        <v>334.9</v>
      </c>
      <c r="G1444" s="28">
        <v>331.6</v>
      </c>
      <c r="H1444" s="28">
        <v>327.45</v>
      </c>
      <c r="I1444" s="28">
        <v>68501</v>
      </c>
      <c r="J1444" s="28">
        <v>18072</v>
      </c>
      <c r="K1444" s="28">
        <v>26.38</v>
      </c>
      <c r="L1444" s="29">
        <f>SUM(NSE_BhavCopy[[#This Row],[ CLOSE_PRICE]]-NSE_BhavCopy[[#This Row],[ PREV_CLOSE]])/NSE_BhavCopy[[#This Row],[ PREV_CLOSE]]*100</f>
        <v>0.95905008372660494</v>
      </c>
    </row>
    <row r="1445" spans="1:12" hidden="1" x14ac:dyDescent="0.25">
      <c r="A1445" s="28" t="s">
        <v>256</v>
      </c>
      <c r="B1445" s="28" t="s">
        <v>321</v>
      </c>
      <c r="C1445" s="30">
        <v>44428</v>
      </c>
      <c r="D1445" s="28">
        <v>2719.05</v>
      </c>
      <c r="E1445" s="28">
        <v>2700</v>
      </c>
      <c r="F1445" s="28">
        <v>2713</v>
      </c>
      <c r="G1445" s="28">
        <v>2646.3</v>
      </c>
      <c r="H1445" s="28">
        <v>2665.44</v>
      </c>
      <c r="I1445" s="28">
        <v>1656007</v>
      </c>
      <c r="J1445" s="28">
        <v>435808</v>
      </c>
      <c r="K1445" s="28">
        <v>26.32</v>
      </c>
      <c r="L1445" s="29">
        <f>SUM(NSE_BhavCopy[[#This Row],[ CLOSE_PRICE]]-NSE_BhavCopy[[#This Row],[ PREV_CLOSE]])/NSE_BhavCopy[[#This Row],[ PREV_CLOSE]]*100</f>
        <v>-2.6755668340045236</v>
      </c>
    </row>
    <row r="1446" spans="1:12" hidden="1" x14ac:dyDescent="0.25">
      <c r="A1446" s="28" t="s">
        <v>1049</v>
      </c>
      <c r="B1446" s="28" t="s">
        <v>321</v>
      </c>
      <c r="C1446" s="30">
        <v>44428</v>
      </c>
      <c r="D1446" s="28">
        <v>165.5</v>
      </c>
      <c r="E1446" s="28">
        <v>163.9</v>
      </c>
      <c r="F1446" s="28">
        <v>163.9</v>
      </c>
      <c r="G1446" s="28">
        <v>158.30000000000001</v>
      </c>
      <c r="H1446" s="28">
        <v>160.34</v>
      </c>
      <c r="I1446" s="28">
        <v>7339127</v>
      </c>
      <c r="J1446" s="28">
        <v>1885783</v>
      </c>
      <c r="K1446" s="28">
        <v>25.69</v>
      </c>
      <c r="L1446" s="29">
        <f>SUM(NSE_BhavCopy[[#This Row],[ CLOSE_PRICE]]-NSE_BhavCopy[[#This Row],[ PREV_CLOSE]])/NSE_BhavCopy[[#This Row],[ PREV_CLOSE]]*100</f>
        <v>-4.3504531722054312</v>
      </c>
    </row>
    <row r="1447" spans="1:12" hidden="1" x14ac:dyDescent="0.25">
      <c r="A1447" s="28" t="s">
        <v>860</v>
      </c>
      <c r="B1447" s="28" t="s">
        <v>321</v>
      </c>
      <c r="C1447" s="30">
        <v>44428</v>
      </c>
      <c r="D1447" s="28">
        <v>1697.45</v>
      </c>
      <c r="E1447" s="28">
        <v>1697.45</v>
      </c>
      <c r="F1447" s="28">
        <v>1723.05</v>
      </c>
      <c r="G1447" s="28">
        <v>1658.5</v>
      </c>
      <c r="H1447" s="28">
        <v>1683.16</v>
      </c>
      <c r="I1447" s="28">
        <v>852318</v>
      </c>
      <c r="J1447" s="28">
        <v>216447</v>
      </c>
      <c r="K1447" s="28">
        <v>25.4</v>
      </c>
      <c r="L1447" s="29">
        <f>SUM(NSE_BhavCopy[[#This Row],[ CLOSE_PRICE]]-NSE_BhavCopy[[#This Row],[ PREV_CLOSE]])/NSE_BhavCopy[[#This Row],[ PREV_CLOSE]]*100</f>
        <v>-2.2946183981855164</v>
      </c>
    </row>
    <row r="1448" spans="1:12" hidden="1" x14ac:dyDescent="0.25">
      <c r="A1448" s="28" t="s">
        <v>1001</v>
      </c>
      <c r="B1448" s="28" t="s">
        <v>321</v>
      </c>
      <c r="C1448" s="30">
        <v>44428</v>
      </c>
      <c r="D1448" s="28">
        <v>39.9</v>
      </c>
      <c r="E1448" s="28">
        <v>38.5</v>
      </c>
      <c r="F1448" s="28">
        <v>39.549999999999997</v>
      </c>
      <c r="G1448" s="28">
        <v>39</v>
      </c>
      <c r="H1448" s="28">
        <v>39</v>
      </c>
      <c r="I1448" s="28">
        <v>1716382</v>
      </c>
      <c r="J1448" s="28">
        <v>426117</v>
      </c>
      <c r="K1448" s="28">
        <v>24.83</v>
      </c>
      <c r="L1448" s="29">
        <f>SUM(NSE_BhavCopy[[#This Row],[ CLOSE_PRICE]]-NSE_BhavCopy[[#This Row],[ PREV_CLOSE]])/NSE_BhavCopy[[#This Row],[ PREV_CLOSE]]*100</f>
        <v>-2.2556390977443574</v>
      </c>
    </row>
    <row r="1449" spans="1:12" hidden="1" x14ac:dyDescent="0.25">
      <c r="A1449" s="28" t="s">
        <v>397</v>
      </c>
      <c r="B1449" s="28" t="s">
        <v>321</v>
      </c>
      <c r="C1449" s="30">
        <v>44428</v>
      </c>
      <c r="D1449" s="28">
        <v>4787.8999999999996</v>
      </c>
      <c r="E1449" s="28">
        <v>4719</v>
      </c>
      <c r="F1449" s="28">
        <v>4934.7</v>
      </c>
      <c r="G1449" s="28">
        <v>4746.5</v>
      </c>
      <c r="H1449" s="28">
        <v>4804.41</v>
      </c>
      <c r="I1449" s="28">
        <v>2331020</v>
      </c>
      <c r="J1449" s="28">
        <v>575091</v>
      </c>
      <c r="K1449" s="28">
        <v>24.67</v>
      </c>
      <c r="L1449" s="29">
        <f>SUM(NSE_BhavCopy[[#This Row],[ CLOSE_PRICE]]-NSE_BhavCopy[[#This Row],[ PREV_CLOSE]])/NSE_BhavCopy[[#This Row],[ PREV_CLOSE]]*100</f>
        <v>-0.86467971344429995</v>
      </c>
    </row>
    <row r="1450" spans="1:12" hidden="1" x14ac:dyDescent="0.25">
      <c r="A1450" s="28" t="s">
        <v>1004</v>
      </c>
      <c r="B1450" s="28" t="s">
        <v>321</v>
      </c>
      <c r="C1450" s="30">
        <v>44428</v>
      </c>
      <c r="D1450" s="28">
        <v>68.599999999999994</v>
      </c>
      <c r="E1450" s="28">
        <v>68.05</v>
      </c>
      <c r="F1450" s="28">
        <v>69.05</v>
      </c>
      <c r="G1450" s="28">
        <v>63.15</v>
      </c>
      <c r="H1450" s="28">
        <v>66.08</v>
      </c>
      <c r="I1450" s="28">
        <v>801388</v>
      </c>
      <c r="J1450" s="28">
        <v>197418</v>
      </c>
      <c r="K1450" s="28">
        <v>24.63</v>
      </c>
      <c r="L1450" s="29">
        <f>SUM(NSE_BhavCopy[[#This Row],[ CLOSE_PRICE]]-NSE_BhavCopy[[#This Row],[ PREV_CLOSE]])/NSE_BhavCopy[[#This Row],[ PREV_CLOSE]]*100</f>
        <v>-7.9446064139941637</v>
      </c>
    </row>
    <row r="1451" spans="1:12" hidden="1" x14ac:dyDescent="0.25">
      <c r="A1451" s="28" t="s">
        <v>287</v>
      </c>
      <c r="B1451" s="28" t="s">
        <v>321</v>
      </c>
      <c r="C1451" s="30">
        <v>44428</v>
      </c>
      <c r="D1451" s="28">
        <v>8983.5499999999993</v>
      </c>
      <c r="E1451" s="28">
        <v>8980</v>
      </c>
      <c r="F1451" s="28">
        <v>9016.65</v>
      </c>
      <c r="G1451" s="28">
        <v>8889.1</v>
      </c>
      <c r="H1451" s="28">
        <v>8923.69</v>
      </c>
      <c r="I1451" s="28">
        <v>151757</v>
      </c>
      <c r="J1451" s="28">
        <v>37318</v>
      </c>
      <c r="K1451" s="28">
        <v>24.59</v>
      </c>
      <c r="L1451" s="29">
        <f>SUM(NSE_BhavCopy[[#This Row],[ CLOSE_PRICE]]-NSE_BhavCopy[[#This Row],[ PREV_CLOSE]])/NSE_BhavCopy[[#This Row],[ PREV_CLOSE]]*100</f>
        <v>-1.0513661080530403</v>
      </c>
    </row>
    <row r="1452" spans="1:12" hidden="1" x14ac:dyDescent="0.25">
      <c r="A1452" s="28" t="s">
        <v>1475</v>
      </c>
      <c r="B1452" s="28" t="s">
        <v>321</v>
      </c>
      <c r="C1452" s="30">
        <v>44428</v>
      </c>
      <c r="D1452" s="28">
        <v>290.75</v>
      </c>
      <c r="E1452" s="28">
        <v>284</v>
      </c>
      <c r="F1452" s="28">
        <v>293.39999999999998</v>
      </c>
      <c r="G1452" s="28">
        <v>286.85000000000002</v>
      </c>
      <c r="H1452" s="28">
        <v>281.83999999999997</v>
      </c>
      <c r="I1452" s="28">
        <v>100161</v>
      </c>
      <c r="J1452" s="28">
        <v>24511</v>
      </c>
      <c r="K1452" s="28">
        <v>24.47</v>
      </c>
      <c r="L1452" s="29">
        <f>SUM(NSE_BhavCopy[[#This Row],[ CLOSE_PRICE]]-NSE_BhavCopy[[#This Row],[ PREV_CLOSE]])/NSE_BhavCopy[[#This Row],[ PREV_CLOSE]]*100</f>
        <v>-1.3413585554600094</v>
      </c>
    </row>
    <row r="1453" spans="1:12" hidden="1" x14ac:dyDescent="0.25">
      <c r="A1453" s="28" t="s">
        <v>913</v>
      </c>
      <c r="B1453" s="28" t="s">
        <v>321</v>
      </c>
      <c r="C1453" s="30">
        <v>44428</v>
      </c>
      <c r="D1453" s="28">
        <v>408</v>
      </c>
      <c r="E1453" s="28">
        <v>391</v>
      </c>
      <c r="F1453" s="28">
        <v>395.5</v>
      </c>
      <c r="G1453" s="28">
        <v>376.85</v>
      </c>
      <c r="H1453" s="28">
        <v>385.98</v>
      </c>
      <c r="I1453" s="28">
        <v>15773398</v>
      </c>
      <c r="J1453" s="28">
        <v>3848523</v>
      </c>
      <c r="K1453" s="28">
        <v>24.4</v>
      </c>
      <c r="L1453" s="29">
        <f>SUM(NSE_BhavCopy[[#This Row],[ CLOSE_PRICE]]-NSE_BhavCopy[[#This Row],[ PREV_CLOSE]])/NSE_BhavCopy[[#This Row],[ PREV_CLOSE]]*100</f>
        <v>-7.6348039215686221</v>
      </c>
    </row>
    <row r="1454" spans="1:12" hidden="1" x14ac:dyDescent="0.25">
      <c r="A1454" s="28" t="s">
        <v>1327</v>
      </c>
      <c r="B1454" s="28" t="s">
        <v>321</v>
      </c>
      <c r="C1454" s="30">
        <v>44428</v>
      </c>
      <c r="D1454" s="28">
        <v>783.9</v>
      </c>
      <c r="E1454" s="28">
        <v>773</v>
      </c>
      <c r="F1454" s="28">
        <v>830</v>
      </c>
      <c r="G1454" s="28">
        <v>790.7</v>
      </c>
      <c r="H1454" s="28">
        <v>797.23</v>
      </c>
      <c r="I1454" s="28">
        <v>603677</v>
      </c>
      <c r="J1454" s="28">
        <v>146123</v>
      </c>
      <c r="K1454" s="28">
        <v>24.21</v>
      </c>
      <c r="L1454" s="29">
        <f>SUM(NSE_BhavCopy[[#This Row],[ CLOSE_PRICE]]-NSE_BhavCopy[[#This Row],[ PREV_CLOSE]])/NSE_BhavCopy[[#This Row],[ PREV_CLOSE]]*100</f>
        <v>0.86745758387550309</v>
      </c>
    </row>
    <row r="1455" spans="1:12" hidden="1" x14ac:dyDescent="0.25">
      <c r="A1455" s="28" t="s">
        <v>468</v>
      </c>
      <c r="B1455" s="28" t="s">
        <v>321</v>
      </c>
      <c r="C1455" s="30">
        <v>44428</v>
      </c>
      <c r="D1455" s="28">
        <v>388.35</v>
      </c>
      <c r="E1455" s="28">
        <v>380.1</v>
      </c>
      <c r="F1455" s="28">
        <v>392.35</v>
      </c>
      <c r="G1455" s="28">
        <v>375.25</v>
      </c>
      <c r="H1455" s="28">
        <v>384</v>
      </c>
      <c r="I1455" s="28">
        <v>220723</v>
      </c>
      <c r="J1455" s="28">
        <v>53401</v>
      </c>
      <c r="K1455" s="28">
        <v>24.19</v>
      </c>
      <c r="L1455" s="29">
        <f>SUM(NSE_BhavCopy[[#This Row],[ CLOSE_PRICE]]-NSE_BhavCopy[[#This Row],[ PREV_CLOSE]])/NSE_BhavCopy[[#This Row],[ PREV_CLOSE]]*100</f>
        <v>-3.3732457834427763</v>
      </c>
    </row>
    <row r="1456" spans="1:12" hidden="1" x14ac:dyDescent="0.25">
      <c r="A1456" s="28" t="s">
        <v>11</v>
      </c>
      <c r="B1456" s="28" t="s">
        <v>321</v>
      </c>
      <c r="C1456" s="30">
        <v>44428</v>
      </c>
      <c r="D1456" s="28">
        <v>737.45</v>
      </c>
      <c r="E1456" s="28">
        <v>722</v>
      </c>
      <c r="F1456" s="28">
        <v>722</v>
      </c>
      <c r="G1456" s="28">
        <v>684.6</v>
      </c>
      <c r="H1456" s="28">
        <v>697.31</v>
      </c>
      <c r="I1456" s="28">
        <v>13126219</v>
      </c>
      <c r="J1456" s="28">
        <v>3146803</v>
      </c>
      <c r="K1456" s="28">
        <v>23.97</v>
      </c>
      <c r="L1456" s="29">
        <f>SUM(NSE_BhavCopy[[#This Row],[ CLOSE_PRICE]]-NSE_BhavCopy[[#This Row],[ PREV_CLOSE]])/NSE_BhavCopy[[#This Row],[ PREV_CLOSE]]*100</f>
        <v>-7.1665875652586646</v>
      </c>
    </row>
    <row r="1457" spans="1:12" hidden="1" x14ac:dyDescent="0.25">
      <c r="A1457" s="28" t="s">
        <v>1389</v>
      </c>
      <c r="B1457" s="28" t="s">
        <v>321</v>
      </c>
      <c r="C1457" s="30">
        <v>44428</v>
      </c>
      <c r="D1457" s="28">
        <v>2226.6999999999998</v>
      </c>
      <c r="E1457" s="28">
        <v>2221.4499999999998</v>
      </c>
      <c r="F1457" s="28">
        <v>2242.65</v>
      </c>
      <c r="G1457" s="28">
        <v>2217.9</v>
      </c>
      <c r="H1457" s="28">
        <v>2215.0500000000002</v>
      </c>
      <c r="I1457" s="28">
        <v>257647</v>
      </c>
      <c r="J1457" s="28">
        <v>61632</v>
      </c>
      <c r="K1457" s="28">
        <v>23.92</v>
      </c>
      <c r="L1457" s="29">
        <f>SUM(NSE_BhavCopy[[#This Row],[ CLOSE_PRICE]]-NSE_BhavCopy[[#This Row],[ PREV_CLOSE]])/NSE_BhavCopy[[#This Row],[ PREV_CLOSE]]*100</f>
        <v>-0.39520366461578693</v>
      </c>
    </row>
    <row r="1458" spans="1:12" hidden="1" x14ac:dyDescent="0.25">
      <c r="A1458" s="28" t="s">
        <v>553</v>
      </c>
      <c r="B1458" s="28" t="s">
        <v>321</v>
      </c>
      <c r="C1458" s="30">
        <v>44428</v>
      </c>
      <c r="D1458" s="28">
        <v>4975.8500000000004</v>
      </c>
      <c r="E1458" s="28">
        <v>4948</v>
      </c>
      <c r="F1458" s="28">
        <v>5025</v>
      </c>
      <c r="G1458" s="28">
        <v>4906.7</v>
      </c>
      <c r="H1458" s="28">
        <v>4917.88</v>
      </c>
      <c r="I1458" s="28">
        <v>444577</v>
      </c>
      <c r="J1458" s="28">
        <v>106142</v>
      </c>
      <c r="K1458" s="28">
        <v>23.87</v>
      </c>
      <c r="L1458" s="29">
        <f>SUM(NSE_BhavCopy[[#This Row],[ CLOSE_PRICE]]-NSE_BhavCopy[[#This Row],[ PREV_CLOSE]])/NSE_BhavCopy[[#This Row],[ PREV_CLOSE]]*100</f>
        <v>-1.3897123104595304</v>
      </c>
    </row>
    <row r="1459" spans="1:12" hidden="1" x14ac:dyDescent="0.25">
      <c r="A1459" s="28" t="s">
        <v>706</v>
      </c>
      <c r="B1459" s="28" t="s">
        <v>321</v>
      </c>
      <c r="C1459" s="30">
        <v>44428</v>
      </c>
      <c r="D1459" s="28">
        <v>150.5</v>
      </c>
      <c r="E1459" s="28">
        <v>152</v>
      </c>
      <c r="F1459" s="28">
        <v>153.65</v>
      </c>
      <c r="G1459" s="28">
        <v>147.25</v>
      </c>
      <c r="H1459" s="28">
        <v>150.44</v>
      </c>
      <c r="I1459" s="28">
        <v>1309776</v>
      </c>
      <c r="J1459" s="28">
        <v>311838</v>
      </c>
      <c r="K1459" s="28">
        <v>23.81</v>
      </c>
      <c r="L1459" s="29">
        <f>SUM(NSE_BhavCopy[[#This Row],[ CLOSE_PRICE]]-NSE_BhavCopy[[#This Row],[ PREV_CLOSE]])/NSE_BhavCopy[[#This Row],[ PREV_CLOSE]]*100</f>
        <v>-2.1594684385382057</v>
      </c>
    </row>
    <row r="1460" spans="1:12" hidden="1" x14ac:dyDescent="0.25">
      <c r="A1460" s="28" t="s">
        <v>1298</v>
      </c>
      <c r="B1460" s="28" t="s">
        <v>321</v>
      </c>
      <c r="C1460" s="30">
        <v>44428</v>
      </c>
      <c r="D1460" s="28">
        <v>716.35</v>
      </c>
      <c r="E1460" s="28">
        <v>725</v>
      </c>
      <c r="F1460" s="28">
        <v>727.15</v>
      </c>
      <c r="G1460" s="28">
        <v>719</v>
      </c>
      <c r="H1460" s="28">
        <v>718.11</v>
      </c>
      <c r="I1460" s="28">
        <v>39832</v>
      </c>
      <c r="J1460" s="28">
        <v>9478</v>
      </c>
      <c r="K1460" s="28">
        <v>23.79</v>
      </c>
      <c r="L1460" s="29">
        <f>SUM(NSE_BhavCopy[[#This Row],[ CLOSE_PRICE]]-NSE_BhavCopy[[#This Row],[ PREV_CLOSE]])/NSE_BhavCopy[[#This Row],[ PREV_CLOSE]]*100</f>
        <v>0.3699308996998642</v>
      </c>
    </row>
    <row r="1461" spans="1:12" hidden="1" x14ac:dyDescent="0.25">
      <c r="A1461" s="28" t="s">
        <v>475</v>
      </c>
      <c r="B1461" s="28" t="s">
        <v>321</v>
      </c>
      <c r="C1461" s="30">
        <v>44428</v>
      </c>
      <c r="D1461" s="28">
        <v>350.55</v>
      </c>
      <c r="E1461" s="28">
        <v>350</v>
      </c>
      <c r="F1461" s="28">
        <v>350.5</v>
      </c>
      <c r="G1461" s="28">
        <v>331.7</v>
      </c>
      <c r="H1461" s="28">
        <v>340.86</v>
      </c>
      <c r="I1461" s="28">
        <v>92319</v>
      </c>
      <c r="J1461" s="28">
        <v>21907</v>
      </c>
      <c r="K1461" s="28">
        <v>23.73</v>
      </c>
      <c r="L1461" s="29">
        <f>SUM(NSE_BhavCopy[[#This Row],[ CLOSE_PRICE]]-NSE_BhavCopy[[#This Row],[ PREV_CLOSE]])/NSE_BhavCopy[[#This Row],[ PREV_CLOSE]]*100</f>
        <v>-5.3772642989587851</v>
      </c>
    </row>
    <row r="1462" spans="1:12" hidden="1" x14ac:dyDescent="0.25">
      <c r="A1462" s="28" t="s">
        <v>473</v>
      </c>
      <c r="B1462" s="28" t="s">
        <v>321</v>
      </c>
      <c r="C1462" s="30">
        <v>44428</v>
      </c>
      <c r="D1462" s="28">
        <v>813.7</v>
      </c>
      <c r="E1462" s="28">
        <v>814.9</v>
      </c>
      <c r="F1462" s="28">
        <v>832.85</v>
      </c>
      <c r="G1462" s="28">
        <v>819.25</v>
      </c>
      <c r="H1462" s="28">
        <v>822.08</v>
      </c>
      <c r="I1462" s="28">
        <v>2847708</v>
      </c>
      <c r="J1462" s="28">
        <v>675338</v>
      </c>
      <c r="K1462" s="28">
        <v>23.72</v>
      </c>
      <c r="L1462" s="29">
        <f>SUM(NSE_BhavCopy[[#This Row],[ CLOSE_PRICE]]-NSE_BhavCopy[[#This Row],[ PREV_CLOSE]])/NSE_BhavCopy[[#This Row],[ PREV_CLOSE]]*100</f>
        <v>0.68206955880545095</v>
      </c>
    </row>
    <row r="1463" spans="1:12" hidden="1" x14ac:dyDescent="0.25">
      <c r="A1463" s="28" t="s">
        <v>1755</v>
      </c>
      <c r="B1463" s="28" t="s">
        <v>321</v>
      </c>
      <c r="C1463" s="30">
        <v>44428</v>
      </c>
      <c r="D1463" s="28">
        <v>20.25</v>
      </c>
      <c r="E1463" s="28">
        <v>19.55</v>
      </c>
      <c r="F1463" s="28">
        <v>20.399999999999999</v>
      </c>
      <c r="G1463" s="28">
        <v>19.55</v>
      </c>
      <c r="H1463" s="28">
        <v>19.5</v>
      </c>
      <c r="I1463" s="28">
        <v>18328</v>
      </c>
      <c r="J1463" s="28">
        <v>4344</v>
      </c>
      <c r="K1463" s="28">
        <v>23.7</v>
      </c>
      <c r="L1463" s="29">
        <f>SUM(NSE_BhavCopy[[#This Row],[ CLOSE_PRICE]]-NSE_BhavCopy[[#This Row],[ PREV_CLOSE]])/NSE_BhavCopy[[#This Row],[ PREV_CLOSE]]*100</f>
        <v>-3.4567901234567864</v>
      </c>
    </row>
    <row r="1464" spans="1:12" hidden="1" x14ac:dyDescent="0.25">
      <c r="A1464" s="28" t="s">
        <v>989</v>
      </c>
      <c r="B1464" s="28" t="s">
        <v>321</v>
      </c>
      <c r="C1464" s="30">
        <v>44428</v>
      </c>
      <c r="D1464" s="28">
        <v>144.05000000000001</v>
      </c>
      <c r="E1464" s="28">
        <v>139.1</v>
      </c>
      <c r="F1464" s="28">
        <v>145</v>
      </c>
      <c r="G1464" s="28">
        <v>142.55000000000001</v>
      </c>
      <c r="H1464" s="28">
        <v>141.55000000000001</v>
      </c>
      <c r="I1464" s="28">
        <v>22525</v>
      </c>
      <c r="J1464" s="28">
        <v>5320</v>
      </c>
      <c r="K1464" s="28">
        <v>23.62</v>
      </c>
      <c r="L1464" s="29">
        <f>SUM(NSE_BhavCopy[[#This Row],[ CLOSE_PRICE]]-NSE_BhavCopy[[#This Row],[ PREV_CLOSE]])/NSE_BhavCopy[[#This Row],[ PREV_CLOSE]]*100</f>
        <v>-1.0413051023950017</v>
      </c>
    </row>
    <row r="1465" spans="1:12" hidden="1" x14ac:dyDescent="0.25">
      <c r="A1465" s="28" t="s">
        <v>996</v>
      </c>
      <c r="B1465" s="28" t="s">
        <v>321</v>
      </c>
      <c r="C1465" s="30">
        <v>44428</v>
      </c>
      <c r="D1465" s="28">
        <v>4004.15</v>
      </c>
      <c r="E1465" s="28">
        <v>3982</v>
      </c>
      <c r="F1465" s="28">
        <v>4040</v>
      </c>
      <c r="G1465" s="28">
        <v>3852.65</v>
      </c>
      <c r="H1465" s="28">
        <v>3923.08</v>
      </c>
      <c r="I1465" s="28">
        <v>405568</v>
      </c>
      <c r="J1465" s="28">
        <v>95617</v>
      </c>
      <c r="K1465" s="28">
        <v>23.58</v>
      </c>
      <c r="L1465" s="29">
        <f>SUM(NSE_BhavCopy[[#This Row],[ CLOSE_PRICE]]-NSE_BhavCopy[[#This Row],[ PREV_CLOSE]])/NSE_BhavCopy[[#This Row],[ PREV_CLOSE]]*100</f>
        <v>-3.7835745414132838</v>
      </c>
    </row>
    <row r="1466" spans="1:12" hidden="1" x14ac:dyDescent="0.25">
      <c r="A1466" s="28" t="s">
        <v>461</v>
      </c>
      <c r="B1466" s="28" t="s">
        <v>321</v>
      </c>
      <c r="C1466" s="30">
        <v>44428</v>
      </c>
      <c r="D1466" s="28">
        <v>1128.95</v>
      </c>
      <c r="E1466" s="28">
        <v>1127.5</v>
      </c>
      <c r="F1466" s="28">
        <v>1134.9000000000001</v>
      </c>
      <c r="G1466" s="28">
        <v>1086.8499999999999</v>
      </c>
      <c r="H1466" s="28">
        <v>1105.52</v>
      </c>
      <c r="I1466" s="28">
        <v>154017</v>
      </c>
      <c r="J1466" s="28">
        <v>35862</v>
      </c>
      <c r="K1466" s="28">
        <v>23.28</v>
      </c>
      <c r="L1466" s="29">
        <f>SUM(NSE_BhavCopy[[#This Row],[ CLOSE_PRICE]]-NSE_BhavCopy[[#This Row],[ PREV_CLOSE]])/NSE_BhavCopy[[#This Row],[ PREV_CLOSE]]*100</f>
        <v>-3.7291288365295308</v>
      </c>
    </row>
    <row r="1467" spans="1:12" hidden="1" x14ac:dyDescent="0.25">
      <c r="A1467" s="28" t="s">
        <v>719</v>
      </c>
      <c r="B1467" s="28" t="s">
        <v>321</v>
      </c>
      <c r="C1467" s="30">
        <v>44428</v>
      </c>
      <c r="D1467" s="28">
        <v>28.85</v>
      </c>
      <c r="E1467" s="28">
        <v>28.65</v>
      </c>
      <c r="F1467" s="28">
        <v>28.8</v>
      </c>
      <c r="G1467" s="28">
        <v>27.55</v>
      </c>
      <c r="H1467" s="28">
        <v>28.1</v>
      </c>
      <c r="I1467" s="28">
        <v>8949395</v>
      </c>
      <c r="J1467" s="28">
        <v>2068643</v>
      </c>
      <c r="K1467" s="28">
        <v>23.11</v>
      </c>
      <c r="L1467" s="29">
        <f>SUM(NSE_BhavCopy[[#This Row],[ CLOSE_PRICE]]-NSE_BhavCopy[[#This Row],[ PREV_CLOSE]])/NSE_BhavCopy[[#This Row],[ PREV_CLOSE]]*100</f>
        <v>-4.5060658578856172</v>
      </c>
    </row>
    <row r="1468" spans="1:12" hidden="1" x14ac:dyDescent="0.25">
      <c r="A1468" s="28" t="s">
        <v>668</v>
      </c>
      <c r="B1468" s="28" t="s">
        <v>321</v>
      </c>
      <c r="C1468" s="30">
        <v>44428</v>
      </c>
      <c r="D1468" s="28">
        <v>1015.65</v>
      </c>
      <c r="E1468" s="28">
        <v>980</v>
      </c>
      <c r="F1468" s="28">
        <v>1018.95</v>
      </c>
      <c r="G1468" s="28">
        <v>976.6</v>
      </c>
      <c r="H1468" s="28">
        <v>993.65</v>
      </c>
      <c r="I1468" s="28">
        <v>348273</v>
      </c>
      <c r="J1468" s="28">
        <v>80159</v>
      </c>
      <c r="K1468" s="28">
        <v>23.02</v>
      </c>
      <c r="L1468" s="29">
        <f>SUM(NSE_BhavCopy[[#This Row],[ CLOSE_PRICE]]-NSE_BhavCopy[[#This Row],[ PREV_CLOSE]])/NSE_BhavCopy[[#This Row],[ PREV_CLOSE]]*100</f>
        <v>-3.8448284349923654</v>
      </c>
    </row>
    <row r="1469" spans="1:12" hidden="1" x14ac:dyDescent="0.25">
      <c r="A1469" s="28" t="s">
        <v>702</v>
      </c>
      <c r="B1469" s="28" t="s">
        <v>321</v>
      </c>
      <c r="C1469" s="30">
        <v>44428</v>
      </c>
      <c r="D1469" s="28">
        <v>137.19999999999999</v>
      </c>
      <c r="E1469" s="28">
        <v>135.5</v>
      </c>
      <c r="F1469" s="28">
        <v>143.69999999999999</v>
      </c>
      <c r="G1469" s="28">
        <v>137.25</v>
      </c>
      <c r="H1469" s="28">
        <v>139.86000000000001</v>
      </c>
      <c r="I1469" s="28">
        <v>875292</v>
      </c>
      <c r="J1469" s="28">
        <v>201191</v>
      </c>
      <c r="K1469" s="28">
        <v>22.99</v>
      </c>
      <c r="L1469" s="29">
        <f>SUM(NSE_BhavCopy[[#This Row],[ CLOSE_PRICE]]-NSE_BhavCopy[[#This Row],[ PREV_CLOSE]])/NSE_BhavCopy[[#This Row],[ PREV_CLOSE]]*100</f>
        <v>3.6443148688054934E-2</v>
      </c>
    </row>
    <row r="1470" spans="1:12" hidden="1" x14ac:dyDescent="0.25">
      <c r="A1470" s="28" t="s">
        <v>1693</v>
      </c>
      <c r="B1470" s="28" t="s">
        <v>321</v>
      </c>
      <c r="C1470" s="30">
        <v>44428</v>
      </c>
      <c r="D1470" s="28">
        <v>184.35</v>
      </c>
      <c r="E1470" s="28">
        <v>186</v>
      </c>
      <c r="F1470" s="28">
        <v>186</v>
      </c>
      <c r="G1470" s="28">
        <v>182.65</v>
      </c>
      <c r="H1470" s="28">
        <v>184.07</v>
      </c>
      <c r="I1470" s="28">
        <v>3030</v>
      </c>
      <c r="J1470" s="28">
        <v>693</v>
      </c>
      <c r="K1470" s="28">
        <v>22.87</v>
      </c>
      <c r="L1470" s="29">
        <f>SUM(NSE_BhavCopy[[#This Row],[ CLOSE_PRICE]]-NSE_BhavCopy[[#This Row],[ PREV_CLOSE]])/NSE_BhavCopy[[#This Row],[ PREV_CLOSE]]*100</f>
        <v>-0.92215893680498429</v>
      </c>
    </row>
    <row r="1471" spans="1:12" hidden="1" x14ac:dyDescent="0.25">
      <c r="A1471" s="28" t="s">
        <v>1106</v>
      </c>
      <c r="B1471" s="28" t="s">
        <v>321</v>
      </c>
      <c r="C1471" s="30">
        <v>44428</v>
      </c>
      <c r="D1471" s="28">
        <v>2844.25</v>
      </c>
      <c r="E1471" s="28">
        <v>2843.95</v>
      </c>
      <c r="F1471" s="28">
        <v>2910</v>
      </c>
      <c r="G1471" s="28">
        <v>2848</v>
      </c>
      <c r="H1471" s="28">
        <v>2847.12</v>
      </c>
      <c r="I1471" s="28">
        <v>664079</v>
      </c>
      <c r="J1471" s="28">
        <v>151865</v>
      </c>
      <c r="K1471" s="28">
        <v>22.87</v>
      </c>
      <c r="L1471" s="29">
        <f>SUM(NSE_BhavCopy[[#This Row],[ CLOSE_PRICE]]-NSE_BhavCopy[[#This Row],[ PREV_CLOSE]])/NSE_BhavCopy[[#This Row],[ PREV_CLOSE]]*100</f>
        <v>0.13184495033840204</v>
      </c>
    </row>
    <row r="1472" spans="1:12" hidden="1" x14ac:dyDescent="0.25">
      <c r="A1472" s="28" t="s">
        <v>1780</v>
      </c>
      <c r="B1472" s="28" t="s">
        <v>321</v>
      </c>
      <c r="C1472" s="30">
        <v>44428</v>
      </c>
      <c r="D1472" s="28">
        <v>82.85</v>
      </c>
      <c r="E1472" s="28">
        <v>78.400000000000006</v>
      </c>
      <c r="F1472" s="28">
        <v>87.7</v>
      </c>
      <c r="G1472" s="28">
        <v>82</v>
      </c>
      <c r="H1472" s="28">
        <v>84.11</v>
      </c>
      <c r="I1472" s="28">
        <v>7585</v>
      </c>
      <c r="J1472" s="28">
        <v>1709</v>
      </c>
      <c r="K1472" s="28">
        <v>22.53</v>
      </c>
      <c r="L1472" s="29">
        <f>SUM(NSE_BhavCopy[[#This Row],[ CLOSE_PRICE]]-NSE_BhavCopy[[#This Row],[ PREV_CLOSE]])/NSE_BhavCopy[[#This Row],[ PREV_CLOSE]]*100</f>
        <v>-1.0259505129752498</v>
      </c>
    </row>
    <row r="1473" spans="1:12" hidden="1" x14ac:dyDescent="0.25">
      <c r="A1473" s="28" t="s">
        <v>1017</v>
      </c>
      <c r="B1473" s="28" t="s">
        <v>321</v>
      </c>
      <c r="C1473" s="30">
        <v>44428</v>
      </c>
      <c r="D1473" s="28">
        <v>4981.8</v>
      </c>
      <c r="E1473" s="28">
        <v>4901.05</v>
      </c>
      <c r="F1473" s="28">
        <v>5093.95</v>
      </c>
      <c r="G1473" s="28">
        <v>4918.25</v>
      </c>
      <c r="H1473" s="28">
        <v>4995.1099999999997</v>
      </c>
      <c r="I1473" s="28">
        <v>383809</v>
      </c>
      <c r="J1473" s="28">
        <v>86241</v>
      </c>
      <c r="K1473" s="28">
        <v>22.47</v>
      </c>
      <c r="L1473" s="29">
        <f>SUM(NSE_BhavCopy[[#This Row],[ CLOSE_PRICE]]-NSE_BhavCopy[[#This Row],[ PREV_CLOSE]])/NSE_BhavCopy[[#This Row],[ PREV_CLOSE]]*100</f>
        <v>-1.2756433417640247</v>
      </c>
    </row>
    <row r="1474" spans="1:12" hidden="1" x14ac:dyDescent="0.25">
      <c r="A1474" s="28" t="s">
        <v>539</v>
      </c>
      <c r="B1474" s="28" t="s">
        <v>321</v>
      </c>
      <c r="C1474" s="30">
        <v>44428</v>
      </c>
      <c r="D1474" s="28">
        <v>335.5</v>
      </c>
      <c r="E1474" s="28">
        <v>332.4</v>
      </c>
      <c r="F1474" s="28">
        <v>348.9</v>
      </c>
      <c r="G1474" s="28">
        <v>337.45</v>
      </c>
      <c r="H1474" s="28">
        <v>340.02</v>
      </c>
      <c r="I1474" s="28">
        <v>2617627</v>
      </c>
      <c r="J1474" s="28">
        <v>586013</v>
      </c>
      <c r="K1474" s="28">
        <v>22.39</v>
      </c>
      <c r="L1474" s="29">
        <f>SUM(NSE_BhavCopy[[#This Row],[ CLOSE_PRICE]]-NSE_BhavCopy[[#This Row],[ PREV_CLOSE]])/NSE_BhavCopy[[#This Row],[ PREV_CLOSE]]*100</f>
        <v>0.58122205663188931</v>
      </c>
    </row>
    <row r="1475" spans="1:12" hidden="1" x14ac:dyDescent="0.25">
      <c r="A1475" s="28" t="s">
        <v>1125</v>
      </c>
      <c r="B1475" s="28" t="s">
        <v>321</v>
      </c>
      <c r="C1475" s="30">
        <v>44428</v>
      </c>
      <c r="D1475" s="28">
        <v>3733.9</v>
      </c>
      <c r="E1475" s="28">
        <v>3720</v>
      </c>
      <c r="F1475" s="28">
        <v>3780</v>
      </c>
      <c r="G1475" s="28">
        <v>3719</v>
      </c>
      <c r="H1475" s="28">
        <v>3728.44</v>
      </c>
      <c r="I1475" s="28">
        <v>206838</v>
      </c>
      <c r="J1475" s="28">
        <v>45454</v>
      </c>
      <c r="K1475" s="28">
        <v>21.98</v>
      </c>
      <c r="L1475" s="29">
        <f>SUM(NSE_BhavCopy[[#This Row],[ CLOSE_PRICE]]-NSE_BhavCopy[[#This Row],[ PREV_CLOSE]])/NSE_BhavCopy[[#This Row],[ PREV_CLOSE]]*100</f>
        <v>-0.39904657328798554</v>
      </c>
    </row>
    <row r="1476" spans="1:12" hidden="1" x14ac:dyDescent="0.25">
      <c r="A1476" s="28" t="s">
        <v>912</v>
      </c>
      <c r="B1476" s="28" t="s">
        <v>321</v>
      </c>
      <c r="C1476" s="30">
        <v>44428</v>
      </c>
      <c r="D1476" s="28">
        <v>120.95</v>
      </c>
      <c r="E1476" s="28">
        <v>118.45</v>
      </c>
      <c r="F1476" s="28">
        <v>126.8</v>
      </c>
      <c r="G1476" s="28">
        <v>121.65</v>
      </c>
      <c r="H1476" s="28">
        <v>120.02</v>
      </c>
      <c r="I1476" s="28">
        <v>3906565</v>
      </c>
      <c r="J1476" s="28">
        <v>855932</v>
      </c>
      <c r="K1476" s="28">
        <v>21.91</v>
      </c>
      <c r="L1476" s="29">
        <f>SUM(NSE_BhavCopy[[#This Row],[ CLOSE_PRICE]]-NSE_BhavCopy[[#This Row],[ PREV_CLOSE]])/NSE_BhavCopy[[#This Row],[ PREV_CLOSE]]*100</f>
        <v>0.57875155022736902</v>
      </c>
    </row>
    <row r="1477" spans="1:12" hidden="1" x14ac:dyDescent="0.25">
      <c r="A1477" s="28" t="s">
        <v>220</v>
      </c>
      <c r="B1477" s="28" t="s">
        <v>321</v>
      </c>
      <c r="C1477" s="30">
        <v>44428</v>
      </c>
      <c r="D1477" s="28">
        <v>54.45</v>
      </c>
      <c r="E1477" s="28">
        <v>53.95</v>
      </c>
      <c r="F1477" s="28">
        <v>54.35</v>
      </c>
      <c r="G1477" s="28">
        <v>51.65</v>
      </c>
      <c r="H1477" s="28">
        <v>52.93</v>
      </c>
      <c r="I1477" s="28">
        <v>35462206</v>
      </c>
      <c r="J1477" s="28">
        <v>7694692</v>
      </c>
      <c r="K1477" s="28">
        <v>21.7</v>
      </c>
      <c r="L1477" s="29">
        <f>SUM(NSE_BhavCopy[[#This Row],[ CLOSE_PRICE]]-NSE_BhavCopy[[#This Row],[ PREV_CLOSE]])/NSE_BhavCopy[[#This Row],[ PREV_CLOSE]]*100</f>
        <v>-5.1423324150596947</v>
      </c>
    </row>
    <row r="1478" spans="1:12" hidden="1" x14ac:dyDescent="0.25">
      <c r="A1478" s="28" t="s">
        <v>990</v>
      </c>
      <c r="B1478" s="28" t="s">
        <v>321</v>
      </c>
      <c r="C1478" s="30">
        <v>44428</v>
      </c>
      <c r="D1478" s="28">
        <v>1159.8499999999999</v>
      </c>
      <c r="E1478" s="28">
        <v>1155.2</v>
      </c>
      <c r="F1478" s="28">
        <v>1215.95</v>
      </c>
      <c r="G1478" s="28">
        <v>1180.75</v>
      </c>
      <c r="H1478" s="28">
        <v>1189.3900000000001</v>
      </c>
      <c r="I1478" s="28">
        <v>68565</v>
      </c>
      <c r="J1478" s="28">
        <v>14857</v>
      </c>
      <c r="K1478" s="28">
        <v>21.67</v>
      </c>
      <c r="L1478" s="29">
        <f>SUM(NSE_BhavCopy[[#This Row],[ CLOSE_PRICE]]-NSE_BhavCopy[[#This Row],[ PREV_CLOSE]])/NSE_BhavCopy[[#This Row],[ PREV_CLOSE]]*100</f>
        <v>1.8019571496314259</v>
      </c>
    </row>
    <row r="1479" spans="1:12" hidden="1" x14ac:dyDescent="0.25">
      <c r="A1479" s="28" t="s">
        <v>724</v>
      </c>
      <c r="B1479" s="28" t="s">
        <v>321</v>
      </c>
      <c r="C1479" s="30">
        <v>44428</v>
      </c>
      <c r="D1479" s="28">
        <v>620.1</v>
      </c>
      <c r="E1479" s="28">
        <v>619</v>
      </c>
      <c r="F1479" s="28">
        <v>648.9</v>
      </c>
      <c r="G1479" s="28">
        <v>639.6</v>
      </c>
      <c r="H1479" s="28">
        <v>636.82000000000005</v>
      </c>
      <c r="I1479" s="28">
        <v>382575</v>
      </c>
      <c r="J1479" s="28">
        <v>81648</v>
      </c>
      <c r="K1479" s="28">
        <v>21.34</v>
      </c>
      <c r="L1479" s="29">
        <f>SUM(NSE_BhavCopy[[#This Row],[ CLOSE_PRICE]]-NSE_BhavCopy[[#This Row],[ PREV_CLOSE]])/NSE_BhavCopy[[#This Row],[ PREV_CLOSE]]*100</f>
        <v>3.1446540880503147</v>
      </c>
    </row>
    <row r="1480" spans="1:12" hidden="1" x14ac:dyDescent="0.25">
      <c r="A1480" s="28" t="s">
        <v>1519</v>
      </c>
      <c r="B1480" s="28" t="s">
        <v>321</v>
      </c>
      <c r="C1480" s="30">
        <v>44428</v>
      </c>
      <c r="D1480" s="28">
        <v>900.75</v>
      </c>
      <c r="E1480" s="28">
        <v>881.75</v>
      </c>
      <c r="F1480" s="28">
        <v>915</v>
      </c>
      <c r="G1480" s="28">
        <v>897.2</v>
      </c>
      <c r="H1480" s="28">
        <v>898.16</v>
      </c>
      <c r="I1480" s="28">
        <v>879721</v>
      </c>
      <c r="J1480" s="28">
        <v>186205</v>
      </c>
      <c r="K1480" s="28">
        <v>21.17</v>
      </c>
      <c r="L1480" s="29">
        <f>SUM(NSE_BhavCopy[[#This Row],[ CLOSE_PRICE]]-NSE_BhavCopy[[#This Row],[ PREV_CLOSE]])/NSE_BhavCopy[[#This Row],[ PREV_CLOSE]]*100</f>
        <v>-0.3941160144324124</v>
      </c>
    </row>
    <row r="1481" spans="1:12" hidden="1" x14ac:dyDescent="0.25">
      <c r="A1481" s="28" t="s">
        <v>658</v>
      </c>
      <c r="B1481" s="28" t="s">
        <v>321</v>
      </c>
      <c r="C1481" s="30">
        <v>44428</v>
      </c>
      <c r="D1481" s="28">
        <v>1084.05</v>
      </c>
      <c r="E1481" s="28">
        <v>1100</v>
      </c>
      <c r="F1481" s="28">
        <v>1100</v>
      </c>
      <c r="G1481" s="28">
        <v>1081.3499999999999</v>
      </c>
      <c r="H1481" s="28">
        <v>1068.75</v>
      </c>
      <c r="I1481" s="28">
        <v>50627</v>
      </c>
      <c r="J1481" s="28">
        <v>10494</v>
      </c>
      <c r="K1481" s="28">
        <v>20.73</v>
      </c>
      <c r="L1481" s="29">
        <f>SUM(NSE_BhavCopy[[#This Row],[ CLOSE_PRICE]]-NSE_BhavCopy[[#This Row],[ PREV_CLOSE]])/NSE_BhavCopy[[#This Row],[ PREV_CLOSE]]*100</f>
        <v>-0.24906600249066424</v>
      </c>
    </row>
    <row r="1482" spans="1:12" hidden="1" x14ac:dyDescent="0.25">
      <c r="A1482" s="28" t="s">
        <v>1533</v>
      </c>
      <c r="B1482" s="28" t="s">
        <v>321</v>
      </c>
      <c r="C1482" s="30">
        <v>44428</v>
      </c>
      <c r="D1482" s="28">
        <v>1495.4</v>
      </c>
      <c r="E1482" s="28">
        <v>1472</v>
      </c>
      <c r="F1482" s="28">
        <v>1491.2</v>
      </c>
      <c r="G1482" s="28">
        <v>1452.2</v>
      </c>
      <c r="H1482" s="28">
        <v>1456.55</v>
      </c>
      <c r="I1482" s="28">
        <v>763486</v>
      </c>
      <c r="J1482" s="28">
        <v>158038</v>
      </c>
      <c r="K1482" s="28">
        <v>20.7</v>
      </c>
      <c r="L1482" s="29">
        <f>SUM(NSE_BhavCopy[[#This Row],[ CLOSE_PRICE]]-NSE_BhavCopy[[#This Row],[ PREV_CLOSE]])/NSE_BhavCopy[[#This Row],[ PREV_CLOSE]]*100</f>
        <v>-2.8888591681155571</v>
      </c>
    </row>
    <row r="1483" spans="1:12" hidden="1" x14ac:dyDescent="0.25">
      <c r="A1483" s="28" t="s">
        <v>866</v>
      </c>
      <c r="B1483" s="28" t="s">
        <v>321</v>
      </c>
      <c r="C1483" s="30">
        <v>44428</v>
      </c>
      <c r="D1483" s="28">
        <v>78.849999999999994</v>
      </c>
      <c r="E1483" s="28">
        <v>77.7</v>
      </c>
      <c r="F1483" s="28">
        <v>81.5</v>
      </c>
      <c r="G1483" s="28">
        <v>77.75</v>
      </c>
      <c r="H1483" s="28">
        <v>79.36</v>
      </c>
      <c r="I1483" s="28">
        <v>693158</v>
      </c>
      <c r="J1483" s="28">
        <v>141822</v>
      </c>
      <c r="K1483" s="28">
        <v>20.46</v>
      </c>
      <c r="L1483" s="29">
        <f>SUM(NSE_BhavCopy[[#This Row],[ CLOSE_PRICE]]-NSE_BhavCopy[[#This Row],[ PREV_CLOSE]])/NSE_BhavCopy[[#This Row],[ PREV_CLOSE]]*100</f>
        <v>-1.3950538998097581</v>
      </c>
    </row>
    <row r="1484" spans="1:12" hidden="1" x14ac:dyDescent="0.25">
      <c r="A1484" s="28" t="s">
        <v>1091</v>
      </c>
      <c r="B1484" s="28" t="s">
        <v>321</v>
      </c>
      <c r="C1484" s="30">
        <v>44428</v>
      </c>
      <c r="D1484" s="28">
        <v>42.5</v>
      </c>
      <c r="E1484" s="28">
        <v>41.95</v>
      </c>
      <c r="F1484" s="28">
        <v>43.75</v>
      </c>
      <c r="G1484" s="28">
        <v>41.55</v>
      </c>
      <c r="H1484" s="28">
        <v>42.34</v>
      </c>
      <c r="I1484" s="28">
        <v>2516798</v>
      </c>
      <c r="J1484" s="28">
        <v>498793</v>
      </c>
      <c r="K1484" s="28">
        <v>19.82</v>
      </c>
      <c r="L1484" s="29">
        <f>SUM(NSE_BhavCopy[[#This Row],[ CLOSE_PRICE]]-NSE_BhavCopy[[#This Row],[ PREV_CLOSE]])/NSE_BhavCopy[[#This Row],[ PREV_CLOSE]]*100</f>
        <v>-2.2352941176470655</v>
      </c>
    </row>
    <row r="1485" spans="1:12" hidden="1" x14ac:dyDescent="0.25">
      <c r="A1485" s="28" t="s">
        <v>429</v>
      </c>
      <c r="B1485" s="28" t="s">
        <v>321</v>
      </c>
      <c r="C1485" s="30">
        <v>44428</v>
      </c>
      <c r="D1485" s="28">
        <v>1339</v>
      </c>
      <c r="E1485" s="28">
        <v>1330</v>
      </c>
      <c r="F1485" s="28">
        <v>1334</v>
      </c>
      <c r="G1485" s="28">
        <v>1301.3499999999999</v>
      </c>
      <c r="H1485" s="28">
        <v>1307</v>
      </c>
      <c r="I1485" s="28">
        <v>983443</v>
      </c>
      <c r="J1485" s="28">
        <v>191484</v>
      </c>
      <c r="K1485" s="28">
        <v>19.47</v>
      </c>
      <c r="L1485" s="29">
        <f>SUM(NSE_BhavCopy[[#This Row],[ CLOSE_PRICE]]-NSE_BhavCopy[[#This Row],[ PREV_CLOSE]])/NSE_BhavCopy[[#This Row],[ PREV_CLOSE]]*100</f>
        <v>-2.811799850634809</v>
      </c>
    </row>
    <row r="1486" spans="1:12" hidden="1" x14ac:dyDescent="0.25">
      <c r="A1486" s="28" t="s">
        <v>915</v>
      </c>
      <c r="B1486" s="28" t="s">
        <v>321</v>
      </c>
      <c r="C1486" s="30">
        <v>44428</v>
      </c>
      <c r="D1486" s="28">
        <v>66.150000000000006</v>
      </c>
      <c r="E1486" s="28">
        <v>66</v>
      </c>
      <c r="F1486" s="28">
        <v>66</v>
      </c>
      <c r="G1486" s="28">
        <v>63.5</v>
      </c>
      <c r="H1486" s="28">
        <v>64.349999999999994</v>
      </c>
      <c r="I1486" s="28">
        <v>205802</v>
      </c>
      <c r="J1486" s="28">
        <v>40031</v>
      </c>
      <c r="K1486" s="28">
        <v>19.45</v>
      </c>
      <c r="L1486" s="29">
        <f>SUM(NSE_BhavCopy[[#This Row],[ CLOSE_PRICE]]-NSE_BhavCopy[[#This Row],[ PREV_CLOSE]])/NSE_BhavCopy[[#This Row],[ PREV_CLOSE]]*100</f>
        <v>-4.006046863189729</v>
      </c>
    </row>
    <row r="1487" spans="1:12" hidden="1" x14ac:dyDescent="0.25">
      <c r="A1487" s="28" t="s">
        <v>355</v>
      </c>
      <c r="B1487" s="28" t="s">
        <v>321</v>
      </c>
      <c r="C1487" s="30">
        <v>44428</v>
      </c>
      <c r="D1487" s="28">
        <v>292.64999999999998</v>
      </c>
      <c r="E1487" s="28">
        <v>290.10000000000002</v>
      </c>
      <c r="F1487" s="28">
        <v>294.7</v>
      </c>
      <c r="G1487" s="28">
        <v>283.39999999999998</v>
      </c>
      <c r="H1487" s="28">
        <v>288.32</v>
      </c>
      <c r="I1487" s="28">
        <v>5354</v>
      </c>
      <c r="J1487" s="28">
        <v>1040</v>
      </c>
      <c r="K1487" s="28">
        <v>19.420000000000002</v>
      </c>
      <c r="L1487" s="29">
        <f>SUM(NSE_BhavCopy[[#This Row],[ CLOSE_PRICE]]-NSE_BhavCopy[[#This Row],[ PREV_CLOSE]])/NSE_BhavCopy[[#This Row],[ PREV_CLOSE]]*100</f>
        <v>-3.1607722535451908</v>
      </c>
    </row>
    <row r="1488" spans="1:12" hidden="1" x14ac:dyDescent="0.25">
      <c r="A1488" s="28" t="s">
        <v>168</v>
      </c>
      <c r="B1488" s="28" t="s">
        <v>321</v>
      </c>
      <c r="C1488" s="30">
        <v>44428</v>
      </c>
      <c r="D1488" s="28">
        <v>327.10000000000002</v>
      </c>
      <c r="E1488" s="28">
        <v>321</v>
      </c>
      <c r="F1488" s="28">
        <v>325.35000000000002</v>
      </c>
      <c r="G1488" s="28">
        <v>309</v>
      </c>
      <c r="H1488" s="28">
        <v>315.57</v>
      </c>
      <c r="I1488" s="28">
        <v>7814607</v>
      </c>
      <c r="J1488" s="28">
        <v>1499587</v>
      </c>
      <c r="K1488" s="28">
        <v>19.190000000000001</v>
      </c>
      <c r="L1488" s="29">
        <f>SUM(NSE_BhavCopy[[#This Row],[ CLOSE_PRICE]]-NSE_BhavCopy[[#This Row],[ PREV_CLOSE]])/NSE_BhavCopy[[#This Row],[ PREV_CLOSE]]*100</f>
        <v>-5.5334760012228745</v>
      </c>
    </row>
    <row r="1489" spans="1:12" hidden="1" x14ac:dyDescent="0.25">
      <c r="A1489" s="28" t="s">
        <v>1113</v>
      </c>
      <c r="B1489" s="28" t="s">
        <v>321</v>
      </c>
      <c r="C1489" s="30">
        <v>44428</v>
      </c>
      <c r="D1489" s="28">
        <v>135.35</v>
      </c>
      <c r="E1489" s="28">
        <v>136.6</v>
      </c>
      <c r="F1489" s="28">
        <v>136.6</v>
      </c>
      <c r="G1489" s="28">
        <v>131.9</v>
      </c>
      <c r="H1489" s="28">
        <v>133.58000000000001</v>
      </c>
      <c r="I1489" s="28">
        <v>196198</v>
      </c>
      <c r="J1489" s="28">
        <v>36874</v>
      </c>
      <c r="K1489" s="28">
        <v>18.79</v>
      </c>
      <c r="L1489" s="29">
        <f>SUM(NSE_BhavCopy[[#This Row],[ CLOSE_PRICE]]-NSE_BhavCopy[[#This Row],[ PREV_CLOSE]])/NSE_BhavCopy[[#This Row],[ PREV_CLOSE]]*100</f>
        <v>-2.5489471739933425</v>
      </c>
    </row>
    <row r="1490" spans="1:12" hidden="1" x14ac:dyDescent="0.25">
      <c r="A1490" s="28" t="s">
        <v>1451</v>
      </c>
      <c r="B1490" s="28" t="s">
        <v>321</v>
      </c>
      <c r="C1490" s="30">
        <v>44428</v>
      </c>
      <c r="D1490" s="28">
        <v>377.75</v>
      </c>
      <c r="E1490" s="28">
        <v>370.75</v>
      </c>
      <c r="F1490" s="28">
        <v>374.5</v>
      </c>
      <c r="G1490" s="28">
        <v>363.05</v>
      </c>
      <c r="H1490" s="28">
        <v>366.87</v>
      </c>
      <c r="I1490" s="28">
        <v>291862</v>
      </c>
      <c r="J1490" s="28">
        <v>54785</v>
      </c>
      <c r="K1490" s="28">
        <v>18.77</v>
      </c>
      <c r="L1490" s="29">
        <f>SUM(NSE_BhavCopy[[#This Row],[ CLOSE_PRICE]]-NSE_BhavCopy[[#This Row],[ PREV_CLOSE]])/NSE_BhavCopy[[#This Row],[ PREV_CLOSE]]*100</f>
        <v>-3.891462607544669</v>
      </c>
    </row>
    <row r="1491" spans="1:12" hidden="1" x14ac:dyDescent="0.25">
      <c r="A1491" s="28" t="s">
        <v>463</v>
      </c>
      <c r="B1491" s="28" t="s">
        <v>321</v>
      </c>
      <c r="C1491" s="30">
        <v>44428</v>
      </c>
      <c r="D1491" s="28">
        <v>1759.5</v>
      </c>
      <c r="E1491" s="28">
        <v>1759.8</v>
      </c>
      <c r="F1491" s="28">
        <v>1778</v>
      </c>
      <c r="G1491" s="28">
        <v>1742.6</v>
      </c>
      <c r="H1491" s="28">
        <v>1755.91</v>
      </c>
      <c r="I1491" s="28">
        <v>1321417</v>
      </c>
      <c r="J1491" s="28">
        <v>247693</v>
      </c>
      <c r="K1491" s="28">
        <v>18.739999999999998</v>
      </c>
      <c r="L1491" s="29">
        <f>SUM(NSE_BhavCopy[[#This Row],[ CLOSE_PRICE]]-NSE_BhavCopy[[#This Row],[ PREV_CLOSE]])/NSE_BhavCopy[[#This Row],[ PREV_CLOSE]]*100</f>
        <v>-0.9605001420858249</v>
      </c>
    </row>
    <row r="1492" spans="1:12" hidden="1" x14ac:dyDescent="0.25">
      <c r="A1492" s="28" t="s">
        <v>932</v>
      </c>
      <c r="B1492" s="28" t="s">
        <v>321</v>
      </c>
      <c r="C1492" s="30">
        <v>44428</v>
      </c>
      <c r="D1492" s="28">
        <v>4040.4</v>
      </c>
      <c r="E1492" s="28">
        <v>4008.95</v>
      </c>
      <c r="F1492" s="28">
        <v>4099</v>
      </c>
      <c r="G1492" s="28">
        <v>3968.2</v>
      </c>
      <c r="H1492" s="28">
        <v>4009.9</v>
      </c>
      <c r="I1492" s="28">
        <v>906812</v>
      </c>
      <c r="J1492" s="28">
        <v>169293</v>
      </c>
      <c r="K1492" s="28">
        <v>18.670000000000002</v>
      </c>
      <c r="L1492" s="29">
        <f>SUM(NSE_BhavCopy[[#This Row],[ CLOSE_PRICE]]-NSE_BhavCopy[[#This Row],[ PREV_CLOSE]])/NSE_BhavCopy[[#This Row],[ PREV_CLOSE]]*100</f>
        <v>-1.7869517869517939</v>
      </c>
    </row>
    <row r="1493" spans="1:12" hidden="1" x14ac:dyDescent="0.25">
      <c r="A1493" s="28" t="s">
        <v>54</v>
      </c>
      <c r="B1493" s="28" t="s">
        <v>321</v>
      </c>
      <c r="C1493" s="30">
        <v>44428</v>
      </c>
      <c r="D1493" s="28">
        <v>15006.35</v>
      </c>
      <c r="E1493" s="28">
        <v>14856.35</v>
      </c>
      <c r="F1493" s="28">
        <v>15149</v>
      </c>
      <c r="G1493" s="28">
        <v>14978.55</v>
      </c>
      <c r="H1493" s="28">
        <v>14999.71</v>
      </c>
      <c r="I1493" s="28">
        <v>275052</v>
      </c>
      <c r="J1493" s="28">
        <v>51307</v>
      </c>
      <c r="K1493" s="28">
        <v>18.649999999999999</v>
      </c>
      <c r="L1493" s="29">
        <f>SUM(NSE_BhavCopy[[#This Row],[ CLOSE_PRICE]]-NSE_BhavCopy[[#This Row],[ PREV_CLOSE]])/NSE_BhavCopy[[#This Row],[ PREV_CLOSE]]*100</f>
        <v>-0.18525490875530087</v>
      </c>
    </row>
    <row r="1494" spans="1:12" hidden="1" x14ac:dyDescent="0.25">
      <c r="A1494" s="28" t="s">
        <v>908</v>
      </c>
      <c r="B1494" s="28" t="s">
        <v>321</v>
      </c>
      <c r="C1494" s="30">
        <v>44428</v>
      </c>
      <c r="D1494" s="28">
        <v>442.7</v>
      </c>
      <c r="E1494" s="28">
        <v>440</v>
      </c>
      <c r="F1494" s="28">
        <v>479.8</v>
      </c>
      <c r="G1494" s="28">
        <v>466.3</v>
      </c>
      <c r="H1494" s="28">
        <v>466.43</v>
      </c>
      <c r="I1494" s="28">
        <v>272747</v>
      </c>
      <c r="J1494" s="28">
        <v>49843</v>
      </c>
      <c r="K1494" s="28">
        <v>18.27</v>
      </c>
      <c r="L1494" s="29">
        <f>SUM(NSE_BhavCopy[[#This Row],[ CLOSE_PRICE]]-NSE_BhavCopy[[#This Row],[ PREV_CLOSE]])/NSE_BhavCopy[[#This Row],[ PREV_CLOSE]]*100</f>
        <v>5.330923876214146</v>
      </c>
    </row>
    <row r="1495" spans="1:12" hidden="1" x14ac:dyDescent="0.25">
      <c r="A1495" s="28" t="s">
        <v>1478</v>
      </c>
      <c r="B1495" s="28" t="s">
        <v>321</v>
      </c>
      <c r="C1495" s="30">
        <v>44428</v>
      </c>
      <c r="D1495" s="28">
        <v>859.55</v>
      </c>
      <c r="E1495" s="28">
        <v>854</v>
      </c>
      <c r="F1495" s="28">
        <v>865</v>
      </c>
      <c r="G1495" s="28">
        <v>839.35</v>
      </c>
      <c r="H1495" s="28">
        <v>848.03</v>
      </c>
      <c r="I1495" s="28">
        <v>1839507</v>
      </c>
      <c r="J1495" s="28">
        <v>326800</v>
      </c>
      <c r="K1495" s="28">
        <v>17.77</v>
      </c>
      <c r="L1495" s="29">
        <f>SUM(NSE_BhavCopy[[#This Row],[ CLOSE_PRICE]]-NSE_BhavCopy[[#This Row],[ PREV_CLOSE]])/NSE_BhavCopy[[#This Row],[ PREV_CLOSE]]*100</f>
        <v>-2.3500668954685513</v>
      </c>
    </row>
    <row r="1496" spans="1:12" hidden="1" x14ac:dyDescent="0.25">
      <c r="A1496" s="28" t="s">
        <v>1597</v>
      </c>
      <c r="B1496" s="28" t="s">
        <v>321</v>
      </c>
      <c r="C1496" s="30">
        <v>44428</v>
      </c>
      <c r="D1496" s="28">
        <v>2621.45</v>
      </c>
      <c r="E1496" s="28">
        <v>2560</v>
      </c>
      <c r="F1496" s="28">
        <v>2727.7</v>
      </c>
      <c r="G1496" s="28">
        <v>2665.9</v>
      </c>
      <c r="H1496" s="28">
        <v>2636.39</v>
      </c>
      <c r="I1496" s="28">
        <v>373750</v>
      </c>
      <c r="J1496" s="28">
        <v>65665</v>
      </c>
      <c r="K1496" s="28">
        <v>17.57</v>
      </c>
      <c r="L1496" s="29">
        <f>SUM(NSE_BhavCopy[[#This Row],[ CLOSE_PRICE]]-NSE_BhavCopy[[#This Row],[ PREV_CLOSE]])/NSE_BhavCopy[[#This Row],[ PREV_CLOSE]]*100</f>
        <v>1.6956264662686786</v>
      </c>
    </row>
    <row r="1497" spans="1:12" hidden="1" x14ac:dyDescent="0.25">
      <c r="A1497" s="28" t="s">
        <v>1018</v>
      </c>
      <c r="B1497" s="28" t="s">
        <v>321</v>
      </c>
      <c r="C1497" s="30">
        <v>44428</v>
      </c>
      <c r="D1497" s="28">
        <v>3824</v>
      </c>
      <c r="E1497" s="28">
        <v>3817</v>
      </c>
      <c r="F1497" s="28">
        <v>3951</v>
      </c>
      <c r="G1497" s="28">
        <v>3864.55</v>
      </c>
      <c r="H1497" s="28">
        <v>3875.17</v>
      </c>
      <c r="I1497" s="28">
        <v>706683</v>
      </c>
      <c r="J1497" s="28">
        <v>122956</v>
      </c>
      <c r="K1497" s="28">
        <v>17.399999999999999</v>
      </c>
      <c r="L1497" s="29">
        <f>SUM(NSE_BhavCopy[[#This Row],[ CLOSE_PRICE]]-NSE_BhavCopy[[#This Row],[ PREV_CLOSE]])/NSE_BhavCopy[[#This Row],[ PREV_CLOSE]]*100</f>
        <v>1.0604079497907997</v>
      </c>
    </row>
    <row r="1498" spans="1:12" hidden="1" x14ac:dyDescent="0.25">
      <c r="A1498" s="28" t="s">
        <v>499</v>
      </c>
      <c r="B1498" s="28" t="s">
        <v>321</v>
      </c>
      <c r="C1498" s="30">
        <v>44428</v>
      </c>
      <c r="D1498" s="28">
        <v>89.45</v>
      </c>
      <c r="E1498" s="28">
        <v>87.7</v>
      </c>
      <c r="F1498" s="28">
        <v>91.3</v>
      </c>
      <c r="G1498" s="28">
        <v>88.4</v>
      </c>
      <c r="H1498" s="28">
        <v>89.1</v>
      </c>
      <c r="I1498" s="28">
        <v>4223909</v>
      </c>
      <c r="J1498" s="28">
        <v>728799</v>
      </c>
      <c r="K1498" s="28">
        <v>17.25</v>
      </c>
      <c r="L1498" s="29">
        <f>SUM(NSE_BhavCopy[[#This Row],[ CLOSE_PRICE]]-NSE_BhavCopy[[#This Row],[ PREV_CLOSE]])/NSE_BhavCopy[[#This Row],[ PREV_CLOSE]]*100</f>
        <v>-1.173840134153155</v>
      </c>
    </row>
    <row r="1499" spans="1:12" hidden="1" x14ac:dyDescent="0.25">
      <c r="A1499" s="28" t="s">
        <v>367</v>
      </c>
      <c r="B1499" s="28" t="s">
        <v>321</v>
      </c>
      <c r="C1499" s="30">
        <v>44428</v>
      </c>
      <c r="D1499" s="28">
        <v>3802.2</v>
      </c>
      <c r="E1499" s="28">
        <v>3802.5</v>
      </c>
      <c r="F1499" s="28">
        <v>3906</v>
      </c>
      <c r="G1499" s="28">
        <v>3804.45</v>
      </c>
      <c r="H1499" s="28">
        <v>3807.98</v>
      </c>
      <c r="I1499" s="28">
        <v>373322</v>
      </c>
      <c r="J1499" s="28">
        <v>63308</v>
      </c>
      <c r="K1499" s="28">
        <v>16.96</v>
      </c>
      <c r="L1499" s="29">
        <f>SUM(NSE_BhavCopy[[#This Row],[ CLOSE_PRICE]]-NSE_BhavCopy[[#This Row],[ PREV_CLOSE]])/NSE_BhavCopy[[#This Row],[ PREV_CLOSE]]*100</f>
        <v>5.9176266372100363E-2</v>
      </c>
    </row>
    <row r="1500" spans="1:12" hidden="1" x14ac:dyDescent="0.25">
      <c r="A1500" s="28" t="s">
        <v>1336</v>
      </c>
      <c r="B1500" s="28" t="s">
        <v>321</v>
      </c>
      <c r="C1500" s="30">
        <v>44428</v>
      </c>
      <c r="D1500" s="28">
        <v>26.55</v>
      </c>
      <c r="E1500" s="28">
        <v>27.5</v>
      </c>
      <c r="F1500" s="28">
        <v>27.5</v>
      </c>
      <c r="G1500" s="28">
        <v>26.6</v>
      </c>
      <c r="H1500" s="28">
        <v>26.68</v>
      </c>
      <c r="I1500" s="28">
        <v>181480</v>
      </c>
      <c r="J1500" s="28">
        <v>30173</v>
      </c>
      <c r="K1500" s="28">
        <v>16.63</v>
      </c>
      <c r="L1500" s="29">
        <f>SUM(NSE_BhavCopy[[#This Row],[ CLOSE_PRICE]]-NSE_BhavCopy[[#This Row],[ PREV_CLOSE]])/NSE_BhavCopy[[#This Row],[ PREV_CLOSE]]*100</f>
        <v>0.18832391713747915</v>
      </c>
    </row>
    <row r="1501" spans="1:12" hidden="1" x14ac:dyDescent="0.25">
      <c r="A1501" s="28" t="s">
        <v>1086</v>
      </c>
      <c r="B1501" s="28" t="s">
        <v>321</v>
      </c>
      <c r="C1501" s="30">
        <v>44428</v>
      </c>
      <c r="D1501" s="28">
        <v>3196.3</v>
      </c>
      <c r="E1501" s="28">
        <v>3128</v>
      </c>
      <c r="F1501" s="28">
        <v>3400</v>
      </c>
      <c r="G1501" s="28">
        <v>3345.05</v>
      </c>
      <c r="H1501" s="28">
        <v>3337.46</v>
      </c>
      <c r="I1501" s="28">
        <v>4092939</v>
      </c>
      <c r="J1501" s="28">
        <v>672141</v>
      </c>
      <c r="K1501" s="28">
        <v>16.420000000000002</v>
      </c>
      <c r="L1501" s="29">
        <f>SUM(NSE_BhavCopy[[#This Row],[ CLOSE_PRICE]]-NSE_BhavCopy[[#This Row],[ PREV_CLOSE]])/NSE_BhavCopy[[#This Row],[ PREV_CLOSE]]*100</f>
        <v>4.6538184776147418</v>
      </c>
    </row>
    <row r="1502" spans="1:12" hidden="1" x14ac:dyDescent="0.25">
      <c r="A1502" s="28" t="s">
        <v>1072</v>
      </c>
      <c r="B1502" s="28" t="s">
        <v>321</v>
      </c>
      <c r="C1502" s="30">
        <v>44428</v>
      </c>
      <c r="D1502" s="28">
        <v>724.45</v>
      </c>
      <c r="E1502" s="28">
        <v>718</v>
      </c>
      <c r="F1502" s="28">
        <v>731.6</v>
      </c>
      <c r="G1502" s="28">
        <v>703.9</v>
      </c>
      <c r="H1502" s="28">
        <v>712.07</v>
      </c>
      <c r="I1502" s="28">
        <v>6318744</v>
      </c>
      <c r="J1502" s="28">
        <v>995274</v>
      </c>
      <c r="K1502" s="28">
        <v>15.75</v>
      </c>
      <c r="L1502" s="29">
        <f>SUM(NSE_BhavCopy[[#This Row],[ CLOSE_PRICE]]-NSE_BhavCopy[[#This Row],[ PREV_CLOSE]])/NSE_BhavCopy[[#This Row],[ PREV_CLOSE]]*100</f>
        <v>-2.8366346883843008</v>
      </c>
    </row>
    <row r="1503" spans="1:12" hidden="1" x14ac:dyDescent="0.25">
      <c r="A1503" s="28" t="s">
        <v>43</v>
      </c>
      <c r="B1503" s="28" t="s">
        <v>321</v>
      </c>
      <c r="C1503" s="30">
        <v>44428</v>
      </c>
      <c r="D1503" s="28">
        <v>705.4</v>
      </c>
      <c r="E1503" s="28">
        <v>690</v>
      </c>
      <c r="F1503" s="28">
        <v>706.4</v>
      </c>
      <c r="G1503" s="28">
        <v>687.2</v>
      </c>
      <c r="H1503" s="28">
        <v>696.2</v>
      </c>
      <c r="I1503" s="28">
        <v>6274741</v>
      </c>
      <c r="J1503" s="28">
        <v>978631</v>
      </c>
      <c r="K1503" s="28">
        <v>15.6</v>
      </c>
      <c r="L1503" s="29">
        <f>SUM(NSE_BhavCopy[[#This Row],[ CLOSE_PRICE]]-NSE_BhavCopy[[#This Row],[ PREV_CLOSE]])/NSE_BhavCopy[[#This Row],[ PREV_CLOSE]]*100</f>
        <v>-2.5800963992061146</v>
      </c>
    </row>
    <row r="1504" spans="1:12" hidden="1" x14ac:dyDescent="0.25">
      <c r="A1504" s="28" t="s">
        <v>758</v>
      </c>
      <c r="B1504" s="28" t="s">
        <v>321</v>
      </c>
      <c r="C1504" s="30">
        <v>44428</v>
      </c>
      <c r="D1504" s="28">
        <v>725.5</v>
      </c>
      <c r="E1504" s="28">
        <v>719.65</v>
      </c>
      <c r="F1504" s="28">
        <v>728.8</v>
      </c>
      <c r="G1504" s="28">
        <v>714.35</v>
      </c>
      <c r="H1504" s="28">
        <v>717.45</v>
      </c>
      <c r="I1504" s="28">
        <v>1110325</v>
      </c>
      <c r="J1504" s="28">
        <v>170237</v>
      </c>
      <c r="K1504" s="28">
        <v>15.33</v>
      </c>
      <c r="L1504" s="29">
        <f>SUM(NSE_BhavCopy[[#This Row],[ CLOSE_PRICE]]-NSE_BhavCopy[[#This Row],[ PREV_CLOSE]])/NSE_BhavCopy[[#This Row],[ PREV_CLOSE]]*100</f>
        <v>-1.5368711233631946</v>
      </c>
    </row>
    <row r="1505" spans="1:12" hidden="1" x14ac:dyDescent="0.25">
      <c r="A1505" s="28" t="s">
        <v>1226</v>
      </c>
      <c r="B1505" s="28" t="s">
        <v>321</v>
      </c>
      <c r="C1505" s="30">
        <v>44428</v>
      </c>
      <c r="D1505" s="28">
        <v>1859.1</v>
      </c>
      <c r="E1505" s="28">
        <v>1847.4</v>
      </c>
      <c r="F1505" s="28">
        <v>1861.55</v>
      </c>
      <c r="G1505" s="28">
        <v>1816.7</v>
      </c>
      <c r="H1505" s="28">
        <v>1826.22</v>
      </c>
      <c r="I1505" s="28">
        <v>13300</v>
      </c>
      <c r="J1505" s="28">
        <v>2013</v>
      </c>
      <c r="K1505" s="28">
        <v>15.14</v>
      </c>
      <c r="L1505" s="29">
        <f>SUM(NSE_BhavCopy[[#This Row],[ CLOSE_PRICE]]-NSE_BhavCopy[[#This Row],[ PREV_CLOSE]])/NSE_BhavCopy[[#This Row],[ PREV_CLOSE]]*100</f>
        <v>-2.2806734441396301</v>
      </c>
    </row>
    <row r="1506" spans="1:12" hidden="1" x14ac:dyDescent="0.25">
      <c r="A1506" s="28" t="s">
        <v>813</v>
      </c>
      <c r="B1506" s="28" t="s">
        <v>321</v>
      </c>
      <c r="C1506" s="30">
        <v>44428</v>
      </c>
      <c r="D1506" s="28">
        <v>241.35</v>
      </c>
      <c r="E1506" s="28">
        <v>237</v>
      </c>
      <c r="F1506" s="28">
        <v>241.9</v>
      </c>
      <c r="G1506" s="28">
        <v>224.15</v>
      </c>
      <c r="H1506" s="28">
        <v>232.31</v>
      </c>
      <c r="I1506" s="28">
        <v>18756243</v>
      </c>
      <c r="J1506" s="28">
        <v>2819300</v>
      </c>
      <c r="K1506" s="28">
        <v>15.03</v>
      </c>
      <c r="L1506" s="29">
        <f>SUM(NSE_BhavCopy[[#This Row],[ CLOSE_PRICE]]-NSE_BhavCopy[[#This Row],[ PREV_CLOSE]])/NSE_BhavCopy[[#This Row],[ PREV_CLOSE]]*100</f>
        <v>-7.1265796561010939</v>
      </c>
    </row>
    <row r="1507" spans="1:12" hidden="1" x14ac:dyDescent="0.25">
      <c r="A1507" s="28" t="s">
        <v>466</v>
      </c>
      <c r="B1507" s="28" t="s">
        <v>321</v>
      </c>
      <c r="C1507" s="30">
        <v>44428</v>
      </c>
      <c r="D1507" s="28">
        <v>1096.3499999999999</v>
      </c>
      <c r="E1507" s="28">
        <v>1090</v>
      </c>
      <c r="F1507" s="28">
        <v>1218.7</v>
      </c>
      <c r="G1507" s="28">
        <v>1180.8</v>
      </c>
      <c r="H1507" s="28">
        <v>1167.79</v>
      </c>
      <c r="I1507" s="28">
        <v>893092</v>
      </c>
      <c r="J1507" s="28">
        <v>123378</v>
      </c>
      <c r="K1507" s="28">
        <v>13.81</v>
      </c>
      <c r="L1507" s="29">
        <f>SUM(NSE_BhavCopy[[#This Row],[ CLOSE_PRICE]]-NSE_BhavCopy[[#This Row],[ PREV_CLOSE]])/NSE_BhavCopy[[#This Row],[ PREV_CLOSE]]*100</f>
        <v>7.702832124777677</v>
      </c>
    </row>
    <row r="1508" spans="1:12" hidden="1" x14ac:dyDescent="0.25">
      <c r="A1508" s="28" t="s">
        <v>957</v>
      </c>
      <c r="B1508" s="28" t="s">
        <v>321</v>
      </c>
      <c r="C1508" s="30">
        <v>44428</v>
      </c>
      <c r="D1508" s="28">
        <v>1230.5</v>
      </c>
      <c r="E1508" s="28">
        <v>1302.25</v>
      </c>
      <c r="F1508" s="28">
        <v>1409</v>
      </c>
      <c r="G1508" s="28">
        <v>1306.3</v>
      </c>
      <c r="H1508" s="28">
        <v>1340.81</v>
      </c>
      <c r="I1508" s="28">
        <v>476356</v>
      </c>
      <c r="J1508" s="28">
        <v>61099</v>
      </c>
      <c r="K1508" s="28">
        <v>12.83</v>
      </c>
      <c r="L1508" s="29">
        <f>SUM(NSE_BhavCopy[[#This Row],[ CLOSE_PRICE]]-NSE_BhavCopy[[#This Row],[ PREV_CLOSE]])/NSE_BhavCopy[[#This Row],[ PREV_CLOSE]]*100</f>
        <v>6.160097521332788</v>
      </c>
    </row>
    <row r="1509" spans="1:12" hidden="1" x14ac:dyDescent="0.25">
      <c r="A1509" s="28" t="s">
        <v>421</v>
      </c>
      <c r="B1509" s="28" t="s">
        <v>321</v>
      </c>
      <c r="C1509" s="30">
        <v>44428</v>
      </c>
      <c r="D1509" s="28">
        <v>189.7</v>
      </c>
      <c r="E1509" s="28">
        <v>185.85</v>
      </c>
      <c r="F1509" s="28">
        <v>198.7</v>
      </c>
      <c r="G1509" s="28">
        <v>188.1</v>
      </c>
      <c r="H1509" s="28">
        <v>191.61</v>
      </c>
      <c r="I1509" s="28">
        <v>12407605</v>
      </c>
      <c r="J1509" s="28">
        <v>1435293</v>
      </c>
      <c r="K1509" s="28">
        <v>11.57</v>
      </c>
      <c r="L1509" s="29">
        <f>SUM(NSE_BhavCopy[[#This Row],[ CLOSE_PRICE]]-NSE_BhavCopy[[#This Row],[ PREV_CLOSE]])/NSE_BhavCopy[[#This Row],[ PREV_CLOSE]]*100</f>
        <v>-0.84343700579862646</v>
      </c>
    </row>
    <row r="1510" spans="1:12" hidden="1" x14ac:dyDescent="0.25">
      <c r="A1510" s="28" t="s">
        <v>359</v>
      </c>
      <c r="B1510" s="28" t="s">
        <v>321</v>
      </c>
      <c r="C1510" s="30">
        <v>44428</v>
      </c>
      <c r="D1510" s="28">
        <v>23.05</v>
      </c>
      <c r="E1510" s="28">
        <v>23.75</v>
      </c>
      <c r="F1510" s="28">
        <v>23.95</v>
      </c>
      <c r="G1510" s="28">
        <v>23.45</v>
      </c>
      <c r="H1510" s="28">
        <v>23.45</v>
      </c>
      <c r="I1510" s="28">
        <v>5165</v>
      </c>
      <c r="J1510" s="28">
        <v>590</v>
      </c>
      <c r="K1510" s="28">
        <v>11.42</v>
      </c>
      <c r="L1510" s="29">
        <f>SUM(NSE_BhavCopy[[#This Row],[ CLOSE_PRICE]]-NSE_BhavCopy[[#This Row],[ PREV_CLOSE]])/NSE_BhavCopy[[#This Row],[ PREV_CLOSE]]*100</f>
        <v>1.7353579175704927</v>
      </c>
    </row>
    <row r="1511" spans="1:12" hidden="1" x14ac:dyDescent="0.25">
      <c r="A1511" s="28" t="s">
        <v>1349</v>
      </c>
      <c r="B1511" s="28" t="s">
        <v>321</v>
      </c>
      <c r="C1511" s="30">
        <v>44428</v>
      </c>
      <c r="D1511" s="28">
        <v>117.2</v>
      </c>
      <c r="E1511" s="28">
        <v>125</v>
      </c>
      <c r="F1511" s="28">
        <v>133.5</v>
      </c>
      <c r="G1511" s="28">
        <v>120.5</v>
      </c>
      <c r="H1511" s="28">
        <v>127.51</v>
      </c>
      <c r="I1511" s="28">
        <v>13857220</v>
      </c>
      <c r="J1511" s="28">
        <v>1515193</v>
      </c>
      <c r="K1511" s="28">
        <v>10.93</v>
      </c>
      <c r="L1511" s="29">
        <f>SUM(NSE_BhavCopy[[#This Row],[ CLOSE_PRICE]]-NSE_BhavCopy[[#This Row],[ PREV_CLOSE]])/NSE_BhavCopy[[#This Row],[ PREV_CLOSE]]*100</f>
        <v>2.8156996587030694</v>
      </c>
    </row>
    <row r="1512" spans="1:12" hidden="1" x14ac:dyDescent="0.25">
      <c r="A1512" s="28" t="s">
        <v>977</v>
      </c>
      <c r="B1512" s="28" t="s">
        <v>321</v>
      </c>
      <c r="C1512" s="30">
        <v>44428</v>
      </c>
      <c r="D1512" s="28">
        <v>359.39</v>
      </c>
      <c r="E1512" s="28">
        <v>359.39</v>
      </c>
      <c r="F1512" s="28">
        <v>359.39</v>
      </c>
      <c r="G1512" s="28">
        <v>354</v>
      </c>
      <c r="H1512" s="28">
        <v>354.81</v>
      </c>
      <c r="I1512" s="28">
        <v>130337</v>
      </c>
      <c r="J1512" s="28">
        <v>14225</v>
      </c>
      <c r="K1512" s="28">
        <v>10.91</v>
      </c>
      <c r="L1512" s="29">
        <f>SUM(NSE_BhavCopy[[#This Row],[ CLOSE_PRICE]]-NSE_BhavCopy[[#This Row],[ PREV_CLOSE]])/NSE_BhavCopy[[#This Row],[ PREV_CLOSE]]*100</f>
        <v>-1.4997634881326656</v>
      </c>
    </row>
    <row r="1513" spans="1:12" hidden="1" x14ac:dyDescent="0.25">
      <c r="A1513" s="28" t="s">
        <v>890</v>
      </c>
      <c r="B1513" s="28" t="s">
        <v>321</v>
      </c>
      <c r="C1513" s="30">
        <v>44428</v>
      </c>
      <c r="D1513" s="28">
        <v>357.85</v>
      </c>
      <c r="E1513" s="28">
        <v>354</v>
      </c>
      <c r="F1513" s="28">
        <v>400</v>
      </c>
      <c r="G1513" s="28">
        <v>376.4</v>
      </c>
      <c r="H1513" s="28">
        <v>378.02</v>
      </c>
      <c r="I1513" s="28">
        <v>473016</v>
      </c>
      <c r="J1513" s="28">
        <v>41362</v>
      </c>
      <c r="K1513" s="28">
        <v>8.74</v>
      </c>
      <c r="L1513" s="29">
        <f>SUM(NSE_BhavCopy[[#This Row],[ CLOSE_PRICE]]-NSE_BhavCopy[[#This Row],[ PREV_CLOSE]])/NSE_BhavCopy[[#This Row],[ PREV_CLOSE]]*100</f>
        <v>5.1837362023193947</v>
      </c>
    </row>
    <row r="1514" spans="1:12" hidden="1" x14ac:dyDescent="0.25">
      <c r="A1514" s="28" t="s">
        <v>1211</v>
      </c>
      <c r="B1514" s="28" t="s">
        <v>321</v>
      </c>
      <c r="C1514" s="30">
        <v>44428</v>
      </c>
      <c r="D1514" s="28">
        <v>2701.5</v>
      </c>
      <c r="E1514" s="28">
        <v>2670</v>
      </c>
      <c r="F1514" s="28">
        <v>2717.8</v>
      </c>
      <c r="G1514" s="28">
        <v>2636.4</v>
      </c>
      <c r="H1514" s="28">
        <v>2664.51</v>
      </c>
      <c r="I1514" s="28">
        <v>780172</v>
      </c>
      <c r="J1514" s="28">
        <v>66351</v>
      </c>
      <c r="K1514" s="28">
        <v>8.5</v>
      </c>
      <c r="L1514" s="29">
        <f>SUM(NSE_BhavCopy[[#This Row],[ CLOSE_PRICE]]-NSE_BhavCopy[[#This Row],[ PREV_CLOSE]])/NSE_BhavCopy[[#This Row],[ PREV_CLOSE]]*100</f>
        <v>-2.4097723486951663</v>
      </c>
    </row>
    <row r="1515" spans="1:12" hidden="1" x14ac:dyDescent="0.25">
      <c r="A1515" s="28" t="s">
        <v>480</v>
      </c>
      <c r="B1515" s="28" t="s">
        <v>321</v>
      </c>
      <c r="C1515" s="30">
        <v>44428</v>
      </c>
      <c r="D1515" s="28">
        <v>31.85</v>
      </c>
      <c r="E1515" s="28">
        <v>32.4</v>
      </c>
      <c r="F1515" s="28">
        <v>32.4</v>
      </c>
      <c r="G1515" s="28">
        <v>31.1</v>
      </c>
      <c r="H1515" s="28">
        <v>31.54</v>
      </c>
      <c r="I1515" s="28">
        <v>120591</v>
      </c>
      <c r="J1515" s="28">
        <v>9411</v>
      </c>
      <c r="K1515" s="28">
        <v>7.8</v>
      </c>
      <c r="L1515" s="29">
        <f>SUM(NSE_BhavCopy[[#This Row],[ CLOSE_PRICE]]-NSE_BhavCopy[[#This Row],[ PREV_CLOSE]])/NSE_BhavCopy[[#This Row],[ PREV_CLOSE]]*100</f>
        <v>-2.3547880690737832</v>
      </c>
    </row>
    <row r="1048454" spans="11:11" x14ac:dyDescent="0.25">
      <c r="K1048454" s="28"/>
    </row>
    <row r="1048456" spans="11:11" x14ac:dyDescent="0.25">
      <c r="K1048456" s="28"/>
    </row>
    <row r="1048457" spans="11:11" x14ac:dyDescent="0.25">
      <c r="K1048457" s="28"/>
    </row>
    <row r="1048458" spans="11:11" x14ac:dyDescent="0.25">
      <c r="K1048458" s="28"/>
    </row>
    <row r="1048468" spans="11:11" x14ac:dyDescent="0.25">
      <c r="K1048468" s="28"/>
    </row>
  </sheetData>
  <phoneticPr fontId="9" type="noConversion"/>
  <conditionalFormatting sqref="L1:L1048473">
    <cfRule type="colorScale" priority="2">
      <colorScale>
        <cfvo type="num" val="0"/>
        <cfvo type="num" val="1"/>
        <cfvo type="num" val="2"/>
        <color rgb="FFF8696B"/>
        <color rgb="FFFFEB84"/>
        <color rgb="FF63BE7B"/>
      </colorScale>
    </cfRule>
  </conditionalFormatting>
  <conditionalFormatting sqref="K1:K1048473">
    <cfRule type="colorScale" priority="1">
      <colorScale>
        <cfvo type="num" val="45"/>
        <cfvo type="num" val="50"/>
        <cfvo type="num" val="60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8103-FC1B-4DE2-A47B-063588A8DCE3}">
  <sheetPr codeName="Sheet1"/>
  <dimension ref="A1:H29"/>
  <sheetViews>
    <sheetView tabSelected="1" zoomScaleNormal="100" workbookViewId="0">
      <selection activeCell="A10" sqref="A10"/>
    </sheetView>
  </sheetViews>
  <sheetFormatPr defaultRowHeight="15" x14ac:dyDescent="0.25"/>
  <cols>
    <col min="1" max="1" width="23" bestFit="1" customWidth="1"/>
    <col min="2" max="4" width="9" hidden="1" customWidth="1"/>
    <col min="5" max="5" width="7.140625" hidden="1" customWidth="1"/>
    <col min="6" max="6" width="9.140625" style="32" bestFit="1" customWidth="1"/>
    <col min="7" max="7" width="10.5703125" hidden="1" customWidth="1"/>
    <col min="8" max="8" width="11.5703125" style="31" bestFit="1" customWidth="1"/>
  </cols>
  <sheetData>
    <row r="1" spans="1:8" x14ac:dyDescent="0.25">
      <c r="A1" s="28" t="s">
        <v>1630</v>
      </c>
      <c r="B1" s="28" t="s">
        <v>1631</v>
      </c>
      <c r="C1" s="28" t="s">
        <v>1632</v>
      </c>
      <c r="D1" s="28" t="s">
        <v>1633</v>
      </c>
      <c r="E1" s="28" t="s">
        <v>1634</v>
      </c>
      <c r="F1" s="32" t="s">
        <v>1635</v>
      </c>
      <c r="G1" s="28" t="s">
        <v>1636</v>
      </c>
      <c r="H1" s="31" t="s">
        <v>1788</v>
      </c>
    </row>
    <row r="2" spans="1:8" x14ac:dyDescent="0.25">
      <c r="A2" s="28" t="s">
        <v>1657</v>
      </c>
      <c r="B2" s="28">
        <v>33883.75</v>
      </c>
      <c r="C2" s="28">
        <v>34153.4</v>
      </c>
      <c r="D2" s="28">
        <v>33567.35</v>
      </c>
      <c r="E2" s="28">
        <v>532.4</v>
      </c>
      <c r="F2" s="32">
        <v>1.6E-2</v>
      </c>
      <c r="G2" s="31">
        <v>5.5671296296296295E-2</v>
      </c>
      <c r="H2" s="31">
        <f>MOD(Indices[[#This Row],[Time]]+(9.5/24),1)</f>
        <v>0.45150462962962962</v>
      </c>
    </row>
    <row r="3" spans="1:8" x14ac:dyDescent="0.25">
      <c r="A3" s="28" t="s">
        <v>1664</v>
      </c>
      <c r="B3" s="28">
        <v>23181.5</v>
      </c>
      <c r="C3" s="28">
        <v>23339.4</v>
      </c>
      <c r="D3" s="28">
        <v>23164.7</v>
      </c>
      <c r="E3" s="28">
        <v>41.75</v>
      </c>
      <c r="F3" s="32">
        <v>1.8E-3</v>
      </c>
      <c r="G3" s="31">
        <v>5.5671296296296295E-2</v>
      </c>
      <c r="H3" s="31">
        <f>MOD(Indices[[#This Row],[Time]]+(9.5/24),1)</f>
        <v>0.45150462962962962</v>
      </c>
    </row>
    <row r="4" spans="1:8" x14ac:dyDescent="0.25">
      <c r="A4" s="28" t="s">
        <v>1641</v>
      </c>
      <c r="B4" s="28">
        <v>8536.4</v>
      </c>
      <c r="C4" s="28">
        <v>8609.7999999999993</v>
      </c>
      <c r="D4" s="28">
        <v>8521.4</v>
      </c>
      <c r="E4" s="28">
        <v>10.55</v>
      </c>
      <c r="F4" s="32">
        <v>1.1999999999999999E-3</v>
      </c>
      <c r="G4" s="31">
        <v>5.5671296296296295E-2</v>
      </c>
      <c r="H4" s="31">
        <f>MOD(Indices[[#This Row],[Time]]+(9.5/24),1)</f>
        <v>0.45150462962962962</v>
      </c>
    </row>
    <row r="5" spans="1:8" x14ac:dyDescent="0.25">
      <c r="A5" s="28" t="s">
        <v>1637</v>
      </c>
      <c r="B5" s="28">
        <v>16417.349999999999</v>
      </c>
      <c r="C5" s="28">
        <v>16592.5</v>
      </c>
      <c r="D5" s="28">
        <v>16404.8</v>
      </c>
      <c r="E5" s="28">
        <v>-33.15</v>
      </c>
      <c r="F5" s="32">
        <v>-2E-3</v>
      </c>
      <c r="G5" s="31">
        <v>5.5682870370370369E-2</v>
      </c>
      <c r="H5" s="31">
        <f>MOD(Indices[[#This Row],[Time]]+(9.5/24),1)</f>
        <v>0.45151620370370371</v>
      </c>
    </row>
    <row r="6" spans="1:8" x14ac:dyDescent="0.25">
      <c r="A6" s="28" t="s">
        <v>1653</v>
      </c>
      <c r="B6" s="28">
        <v>17113.349999999999</v>
      </c>
      <c r="C6" s="28">
        <v>17331.900000000001</v>
      </c>
      <c r="D6" s="28">
        <v>17097.650000000001</v>
      </c>
      <c r="E6" s="28">
        <v>-39.200000000000003</v>
      </c>
      <c r="F6" s="32">
        <v>-2.3E-3</v>
      </c>
      <c r="G6" s="31">
        <v>5.5671296296296295E-2</v>
      </c>
      <c r="H6" s="31">
        <f>MOD(Indices[[#This Row],[Time]]+(9.5/24),1)</f>
        <v>0.45150462962962962</v>
      </c>
    </row>
    <row r="7" spans="1:8" x14ac:dyDescent="0.25">
      <c r="A7" s="28" t="s">
        <v>1639</v>
      </c>
      <c r="B7" s="28">
        <v>16598.900000000001</v>
      </c>
      <c r="C7" s="28">
        <v>16784.8</v>
      </c>
      <c r="D7" s="28">
        <v>16583.349999999999</v>
      </c>
      <c r="E7" s="28">
        <v>-43.25</v>
      </c>
      <c r="F7" s="32">
        <v>-2.5999999999999999E-3</v>
      </c>
      <c r="G7" s="31">
        <v>5.5671296296296295E-2</v>
      </c>
      <c r="H7" s="31">
        <f>MOD(Indices[[#This Row],[Time]]+(9.5/24),1)</f>
        <v>0.45150462962962962</v>
      </c>
    </row>
    <row r="8" spans="1:8" x14ac:dyDescent="0.25">
      <c r="A8" s="28" t="s">
        <v>1650</v>
      </c>
      <c r="B8" s="28">
        <v>34897.15</v>
      </c>
      <c r="C8" s="28">
        <v>35427.4</v>
      </c>
      <c r="D8" s="28">
        <v>34850.199999999997</v>
      </c>
      <c r="E8" s="28">
        <v>-136.69999999999999</v>
      </c>
      <c r="F8" s="32">
        <v>-3.8999999999999998E-3</v>
      </c>
      <c r="G8" s="31">
        <v>5.5567129629629633E-2</v>
      </c>
      <c r="H8" s="31">
        <f>MOD(Indices[[#This Row],[Time]]+(9.5/24),1)</f>
        <v>0.45140046296296293</v>
      </c>
    </row>
    <row r="9" spans="1:8" x14ac:dyDescent="0.25">
      <c r="A9" s="28" t="s">
        <v>1640</v>
      </c>
      <c r="B9" s="28">
        <v>8607.4</v>
      </c>
      <c r="C9" s="28">
        <v>8716.4500000000007</v>
      </c>
      <c r="D9" s="28">
        <v>8600.5499999999993</v>
      </c>
      <c r="E9" s="28">
        <v>-34.200000000000003</v>
      </c>
      <c r="F9" s="32">
        <v>-4.0000000000000001E-3</v>
      </c>
      <c r="G9" s="31">
        <v>5.5671296296296295E-2</v>
      </c>
      <c r="H9" s="31">
        <f>MOD(Indices[[#This Row],[Time]]+(9.5/24),1)</f>
        <v>0.45150462962962962</v>
      </c>
    </row>
    <row r="10" spans="1:8" x14ac:dyDescent="0.25">
      <c r="A10" s="28" t="s">
        <v>1661</v>
      </c>
      <c r="B10" s="28">
        <v>13646.65</v>
      </c>
      <c r="C10" s="28">
        <v>13911.2</v>
      </c>
      <c r="D10" s="28">
        <v>13639.65</v>
      </c>
      <c r="E10" s="28">
        <v>-64.5</v>
      </c>
      <c r="F10" s="32">
        <v>-4.7000000000000002E-3</v>
      </c>
      <c r="G10" s="31">
        <v>5.5671296296296295E-2</v>
      </c>
      <c r="H10" s="31">
        <f>MOD(Indices[[#This Row],[Time]]+(9.5/24),1)</f>
        <v>0.45150462962962962</v>
      </c>
    </row>
    <row r="11" spans="1:8" x14ac:dyDescent="0.25">
      <c r="A11" s="28" t="s">
        <v>1654</v>
      </c>
      <c r="B11" s="28">
        <v>38387.300000000003</v>
      </c>
      <c r="C11" s="28">
        <v>38794.400000000001</v>
      </c>
      <c r="D11" s="28">
        <v>38311.699999999997</v>
      </c>
      <c r="E11" s="28">
        <v>-208.75</v>
      </c>
      <c r="F11" s="32">
        <v>-5.4000000000000003E-3</v>
      </c>
      <c r="G11" s="31">
        <v>5.5671296296296295E-2</v>
      </c>
      <c r="H11" s="31">
        <f>MOD(Indices[[#This Row],[Time]]+(9.5/24),1)</f>
        <v>0.45150462962962962</v>
      </c>
    </row>
    <row r="12" spans="1:8" x14ac:dyDescent="0.25">
      <c r="A12" s="28" t="s">
        <v>1642</v>
      </c>
      <c r="B12" s="28">
        <v>13864.4</v>
      </c>
      <c r="C12" s="28">
        <v>14063.5</v>
      </c>
      <c r="D12" s="28">
        <v>13854.45</v>
      </c>
      <c r="E12" s="28">
        <v>-79.55</v>
      </c>
      <c r="F12" s="32">
        <v>-5.7000000000000002E-3</v>
      </c>
      <c r="G12" s="31">
        <v>5.5671296296296295E-2</v>
      </c>
      <c r="H12" s="31">
        <f>MOD(Indices[[#This Row],[Time]]+(9.5/24),1)</f>
        <v>0.45150462962962962</v>
      </c>
    </row>
    <row r="13" spans="1:8" x14ac:dyDescent="0.25">
      <c r="A13" s="28" t="s">
        <v>1655</v>
      </c>
      <c r="B13" s="28">
        <v>6641.35</v>
      </c>
      <c r="C13" s="28">
        <v>6721.4</v>
      </c>
      <c r="D13" s="28">
        <v>6629.2</v>
      </c>
      <c r="E13" s="28">
        <v>-38.15</v>
      </c>
      <c r="F13" s="32">
        <v>-5.7000000000000002E-3</v>
      </c>
      <c r="G13" s="31">
        <v>5.5671296296296295E-2</v>
      </c>
      <c r="H13" s="31">
        <f>MOD(Indices[[#This Row],[Time]]+(9.5/24),1)</f>
        <v>0.45150462962962962</v>
      </c>
    </row>
    <row r="14" spans="1:8" x14ac:dyDescent="0.25">
      <c r="A14" s="28" t="s">
        <v>1645</v>
      </c>
      <c r="B14" s="28">
        <v>39105.4</v>
      </c>
      <c r="C14" s="28">
        <v>39770.6</v>
      </c>
      <c r="D14" s="28">
        <v>39044.15</v>
      </c>
      <c r="E14" s="28">
        <v>-276.45</v>
      </c>
      <c r="F14" s="32">
        <v>-7.0000000000000001E-3</v>
      </c>
      <c r="G14" s="31">
        <v>5.5671296296296295E-2</v>
      </c>
      <c r="H14" s="31">
        <f>MOD(Indices[[#This Row],[Time]]+(9.5/24),1)</f>
        <v>0.45150462962962962</v>
      </c>
    </row>
    <row r="15" spans="1:8" x14ac:dyDescent="0.25">
      <c r="A15" s="28" t="s">
        <v>1660</v>
      </c>
      <c r="B15" s="28">
        <v>18018.95</v>
      </c>
      <c r="C15" s="28">
        <v>18335.75</v>
      </c>
      <c r="D15" s="28">
        <v>17990.150000000001</v>
      </c>
      <c r="E15" s="28">
        <v>-133.85</v>
      </c>
      <c r="F15" s="32">
        <v>-7.4000000000000003E-3</v>
      </c>
      <c r="G15" s="31">
        <v>5.5671296296296295E-2</v>
      </c>
      <c r="H15" s="31">
        <f>MOD(Indices[[#This Row],[Time]]+(9.5/24),1)</f>
        <v>0.45150462962962962</v>
      </c>
    </row>
    <row r="16" spans="1:8" x14ac:dyDescent="0.25">
      <c r="A16" s="28" t="s">
        <v>1652</v>
      </c>
      <c r="B16" s="28">
        <v>19167.400000000001</v>
      </c>
      <c r="C16" s="28">
        <v>19518.5</v>
      </c>
      <c r="D16" s="28">
        <v>19146.849999999999</v>
      </c>
      <c r="E16" s="28">
        <v>-181.3</v>
      </c>
      <c r="F16" s="32">
        <v>-9.4000000000000004E-3</v>
      </c>
      <c r="G16" s="31">
        <v>5.5671296296296295E-2</v>
      </c>
      <c r="H16" s="31">
        <f>MOD(Indices[[#This Row],[Time]]+(9.5/24),1)</f>
        <v>0.45150462962962962</v>
      </c>
    </row>
    <row r="17" spans="1:8" x14ac:dyDescent="0.25">
      <c r="A17" s="28" t="s">
        <v>1649</v>
      </c>
      <c r="B17" s="28">
        <v>9807.5499999999993</v>
      </c>
      <c r="C17" s="28">
        <v>10007.65</v>
      </c>
      <c r="D17" s="28">
        <v>9797.15</v>
      </c>
      <c r="E17" s="28">
        <v>-97.15</v>
      </c>
      <c r="F17" s="32">
        <v>-9.7999999999999997E-3</v>
      </c>
      <c r="G17" s="31">
        <v>5.5671296296296295E-2</v>
      </c>
      <c r="H17" s="31">
        <f>MOD(Indices[[#This Row],[Time]]+(9.5/24),1)</f>
        <v>0.45150462962962962</v>
      </c>
    </row>
    <row r="18" spans="1:8" x14ac:dyDescent="0.25">
      <c r="A18" s="28" t="s">
        <v>1656</v>
      </c>
      <c r="B18" s="28">
        <v>4438.8999999999996</v>
      </c>
      <c r="C18" s="28">
        <v>4529.1499999999996</v>
      </c>
      <c r="D18" s="28">
        <v>4436.95</v>
      </c>
      <c r="E18" s="28">
        <v>-52</v>
      </c>
      <c r="F18" s="32">
        <v>-1.1599999999999999E-2</v>
      </c>
      <c r="G18" s="31">
        <v>5.5671296296296295E-2</v>
      </c>
      <c r="H18" s="31">
        <f>MOD(Indices[[#This Row],[Time]]+(9.5/24),1)</f>
        <v>0.45150462962962962</v>
      </c>
    </row>
    <row r="19" spans="1:8" x14ac:dyDescent="0.25">
      <c r="A19" s="28" t="s">
        <v>1644</v>
      </c>
      <c r="B19" s="28">
        <v>7145.95</v>
      </c>
      <c r="C19" s="28">
        <v>7333</v>
      </c>
      <c r="D19" s="28">
        <v>7140.85</v>
      </c>
      <c r="E19" s="28">
        <v>-92.45</v>
      </c>
      <c r="F19" s="32">
        <v>-1.2800000000000001E-2</v>
      </c>
      <c r="G19" s="31">
        <v>5.5671296296296295E-2</v>
      </c>
      <c r="H19" s="31">
        <f>MOD(Indices[[#This Row],[Time]]+(9.5/24),1)</f>
        <v>0.45150462962962962</v>
      </c>
    </row>
    <row r="20" spans="1:8" x14ac:dyDescent="0.25">
      <c r="A20" s="28" t="s">
        <v>1643</v>
      </c>
      <c r="B20" s="28">
        <v>26761.95</v>
      </c>
      <c r="C20" s="28">
        <v>27460.95</v>
      </c>
      <c r="D20" s="28">
        <v>26746.25</v>
      </c>
      <c r="E20" s="28">
        <v>-362.8</v>
      </c>
      <c r="F20" s="32">
        <v>-1.34E-2</v>
      </c>
      <c r="G20" s="31">
        <v>5.5671296296296295E-2</v>
      </c>
      <c r="H20" s="31">
        <f>MOD(Indices[[#This Row],[Time]]+(9.5/24),1)</f>
        <v>0.45150462962962962</v>
      </c>
    </row>
    <row r="21" spans="1:8" x14ac:dyDescent="0.25">
      <c r="A21" s="28" t="s">
        <v>1638</v>
      </c>
      <c r="B21" s="28">
        <v>10119.15</v>
      </c>
      <c r="C21" s="28">
        <v>10381.299999999999</v>
      </c>
      <c r="D21" s="28">
        <v>10113.799999999999</v>
      </c>
      <c r="E21" s="28">
        <v>-137.6</v>
      </c>
      <c r="F21" s="32">
        <v>-1.34E-2</v>
      </c>
      <c r="G21" s="31">
        <v>5.5671296296296295E-2</v>
      </c>
      <c r="H21" s="31">
        <f>MOD(Indices[[#This Row],[Time]]+(9.5/24),1)</f>
        <v>0.45150462962962962</v>
      </c>
    </row>
    <row r="22" spans="1:8" x14ac:dyDescent="0.25">
      <c r="A22" s="28" t="s">
        <v>1662</v>
      </c>
      <c r="B22" s="28">
        <v>2210.6</v>
      </c>
      <c r="C22" s="28">
        <v>2277.25</v>
      </c>
      <c r="D22" s="28">
        <v>2205.6</v>
      </c>
      <c r="E22" s="28">
        <v>-37.9</v>
      </c>
      <c r="F22" s="32">
        <v>-1.6899999999999998E-2</v>
      </c>
      <c r="G22" s="31">
        <v>5.5671296296296295E-2</v>
      </c>
      <c r="H22" s="31">
        <f>MOD(Indices[[#This Row],[Time]]+(9.5/24),1)</f>
        <v>0.45150462962962962</v>
      </c>
    </row>
    <row r="23" spans="1:8" x14ac:dyDescent="0.25">
      <c r="A23" s="28" t="s">
        <v>1663</v>
      </c>
      <c r="B23" s="28">
        <v>367</v>
      </c>
      <c r="C23" s="28">
        <v>379.1</v>
      </c>
      <c r="D23" s="28">
        <v>366.9</v>
      </c>
      <c r="E23" s="28">
        <v>-6.4</v>
      </c>
      <c r="F23" s="32">
        <v>-1.7100000000000001E-2</v>
      </c>
      <c r="G23" s="31">
        <v>5.5682870370370369E-2</v>
      </c>
      <c r="H23" s="31">
        <f>MOD(Indices[[#This Row],[Time]]+(9.5/24),1)</f>
        <v>0.45151620370370371</v>
      </c>
    </row>
    <row r="24" spans="1:8" x14ac:dyDescent="0.25">
      <c r="A24" s="28" t="s">
        <v>1651</v>
      </c>
      <c r="B24" s="28">
        <v>5112.75</v>
      </c>
      <c r="C24" s="28">
        <v>5259.2</v>
      </c>
      <c r="D24" s="28">
        <v>5101.25</v>
      </c>
      <c r="E24" s="28">
        <v>-90.85</v>
      </c>
      <c r="F24" s="32">
        <v>-1.7500000000000002E-2</v>
      </c>
      <c r="G24" s="31">
        <v>5.5682870370370369E-2</v>
      </c>
      <c r="H24" s="31">
        <f>MOD(Indices[[#This Row],[Time]]+(9.5/24),1)</f>
        <v>0.45151620370370371</v>
      </c>
    </row>
    <row r="25" spans="1:8" x14ac:dyDescent="0.25">
      <c r="A25" s="28" t="s">
        <v>1658</v>
      </c>
      <c r="B25" s="28">
        <v>1575.45</v>
      </c>
      <c r="C25" s="28">
        <v>1628.05</v>
      </c>
      <c r="D25" s="28">
        <v>1575.3</v>
      </c>
      <c r="E25" s="28">
        <v>-28.7</v>
      </c>
      <c r="F25" s="32">
        <v>-1.7899999999999999E-2</v>
      </c>
      <c r="G25" s="31">
        <v>5.5671296296296295E-2</v>
      </c>
      <c r="H25" s="31">
        <f>MOD(Indices[[#This Row],[Time]]+(9.5/24),1)</f>
        <v>0.45150462962962962</v>
      </c>
    </row>
    <row r="26" spans="1:8" x14ac:dyDescent="0.25">
      <c r="A26" s="28" t="s">
        <v>1659</v>
      </c>
      <c r="B26" s="28">
        <v>5200.75</v>
      </c>
      <c r="C26" s="28">
        <v>5430.15</v>
      </c>
      <c r="D26" s="28">
        <v>5177</v>
      </c>
      <c r="E26" s="28">
        <v>-135.19999999999999</v>
      </c>
      <c r="F26" s="32">
        <v>-2.53E-2</v>
      </c>
      <c r="G26" s="31">
        <v>5.5682870370370369E-2</v>
      </c>
      <c r="H26" s="31">
        <f>MOD(Indices[[#This Row],[Time]]+(9.5/24),1)</f>
        <v>0.45151620370370371</v>
      </c>
    </row>
    <row r="27" spans="1:8" x14ac:dyDescent="0.25">
      <c r="A27" s="28" t="s">
        <v>1647</v>
      </c>
      <c r="B27" s="28">
        <v>8302.65</v>
      </c>
      <c r="C27" s="28">
        <v>8619.9500000000007</v>
      </c>
      <c r="D27" s="28">
        <v>8296.4500000000007</v>
      </c>
      <c r="E27" s="28">
        <v>-216.05</v>
      </c>
      <c r="F27" s="32">
        <v>-2.5399999999999999E-2</v>
      </c>
      <c r="G27" s="31">
        <v>5.5659722222222222E-2</v>
      </c>
      <c r="H27" s="31">
        <f>MOD(Indices[[#This Row],[Time]]+(9.5/24),1)</f>
        <v>0.45149305555555552</v>
      </c>
    </row>
    <row r="28" spans="1:8" x14ac:dyDescent="0.25">
      <c r="A28" s="28" t="s">
        <v>1646</v>
      </c>
      <c r="B28" s="28">
        <v>9591.6</v>
      </c>
      <c r="C28" s="28">
        <v>9960.35</v>
      </c>
      <c r="D28" s="28">
        <v>9582.4500000000007</v>
      </c>
      <c r="E28" s="28">
        <v>-259.3</v>
      </c>
      <c r="F28" s="32">
        <v>-2.63E-2</v>
      </c>
      <c r="G28" s="31">
        <v>5.5671296296296295E-2</v>
      </c>
      <c r="H28" s="31">
        <f>MOD(Indices[[#This Row],[Time]]+(9.5/24),1)</f>
        <v>0.45150462962962962</v>
      </c>
    </row>
    <row r="29" spans="1:8" x14ac:dyDescent="0.25">
      <c r="A29" s="28" t="s">
        <v>1648</v>
      </c>
      <c r="B29">
        <v>4786.55</v>
      </c>
      <c r="C29">
        <v>4989.95</v>
      </c>
      <c r="D29">
        <v>4782.2</v>
      </c>
      <c r="E29">
        <v>-141.80000000000001</v>
      </c>
      <c r="F29" s="32">
        <v>-2.8799999999999999E-2</v>
      </c>
      <c r="G29" s="31">
        <v>5.5671296296296295E-2</v>
      </c>
      <c r="H29" s="31">
        <f>MOD(Indices[[#This Row],[Time]]+(9.5/24),1)</f>
        <v>0.45150462962962962</v>
      </c>
    </row>
  </sheetData>
  <phoneticPr fontId="9" type="noConversion"/>
  <conditionalFormatting sqref="F2:F47">
    <cfRule type="colorScale" priority="1">
      <colorScale>
        <cfvo type="percentile" val="0"/>
        <cfvo type="percentile" val="50"/>
        <cfvo type="percentile" val="100"/>
        <color rgb="FFF8696B"/>
        <color rgb="FFFFEB84"/>
        <color rgb="FF3B8D50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53A5B3-625B-431E-B619-E4FB526C06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STOCKLIST</vt:lpstr>
      <vt:lpstr>OPTION CHAIN</vt:lpstr>
      <vt:lpstr>OC_DB</vt:lpstr>
      <vt:lpstr>Cookes</vt:lpstr>
      <vt:lpstr>Delivery</vt:lpstr>
      <vt:lpstr>NSE Traded </vt:lpstr>
      <vt:lpstr>HeatMap</vt:lpstr>
      <vt:lpstr>symbol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2021-06-11T11:08:34Z</dcterms:created>
  <dcterms:modified xsi:type="dcterms:W3CDTF">2021-08-23T05:20:52Z</dcterms:modified>
</cp:coreProperties>
</file>
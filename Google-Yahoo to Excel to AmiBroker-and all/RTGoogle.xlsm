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05" windowWidth="19185" windowHeight="7005"/>
  </bookViews>
  <sheets>
    <sheet name="RTG" sheetId="1" r:id="rId1"/>
    <sheet name="Google" sheetId="2" r:id="rId2"/>
  </sheets>
  <definedNames>
    <definedName name="ExternalData_1" localSheetId="1">Google!$L$1:$L$95</definedName>
    <definedName name="Prices">Google!$A:$D</definedName>
  </definedNames>
  <calcPr calcId="125725"/>
</workbook>
</file>

<file path=xl/calcChain.xml><?xml version="1.0" encoding="utf-8"?>
<calcChain xmlns="http://schemas.openxmlformats.org/spreadsheetml/2006/main">
  <c r="D13" i="1"/>
  <c r="C13"/>
  <c r="D12"/>
  <c r="C12"/>
  <c r="D11"/>
  <c r="C11"/>
  <c r="A13"/>
  <c r="A12"/>
  <c r="A11"/>
  <c r="D10"/>
  <c r="C10"/>
  <c r="A10"/>
  <c r="A9"/>
  <c r="A8"/>
  <c r="A7"/>
  <c r="D9"/>
  <c r="C9"/>
  <c r="D8"/>
  <c r="C8"/>
  <c r="C7"/>
  <c r="D7"/>
</calcChain>
</file>

<file path=xl/comments1.xml><?xml version="1.0" encoding="utf-8"?>
<comments xmlns="http://schemas.openxmlformats.org/spreadsheetml/2006/main">
  <authors>
    <author>Satish Joshi</author>
    <author>sapuser</author>
  </authors>
  <commentList>
    <comment ref="B2" authorId="0">
      <text>
        <r>
          <rPr>
            <b/>
            <sz val="11"/>
            <color indexed="10"/>
            <rFont val="Tahoma"/>
            <family val="2"/>
          </rPr>
          <t>Keep this blank if you have not installed RAM Disk</t>
        </r>
      </text>
    </comment>
    <comment ref="B3" authorId="0">
      <text>
        <r>
          <rPr>
            <b/>
            <sz val="11"/>
            <color indexed="10"/>
            <rFont val="Tahoma"/>
            <family val="2"/>
          </rPr>
          <t>Keep this 5 seconds or more. Else Google may block you</t>
        </r>
      </text>
    </comment>
    <comment ref="D3" authorId="1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0" background="1">
    <webPr url="http://finance.google.com/finance/info?client=ig&amp;q=NSE:NIFTY,NSE:ACC,NSE:ITC,NSE:HINDUNILVR" htmlTables="1" htmlFormat="all"/>
  </connection>
  <connection id="4" name="Connection11" type="4" refreshedVersion="0" background="1">
    <webPr url="http://finance.google.com/finance/info?client=ig&amp;q=NSE:NIFTY,NSE:ACC,NSE:ITC,NSE:HINDUNILVR" htmlTables="1" htmlFormat="all"/>
  </connection>
  <connection id="5" name="Connection12" type="4" refreshedVersion="0" background="1">
    <webPr url="http://finance.google.com/finance/info?client=ig&amp;q=NSE:NIFTY" htmlTables="1" htmlFormat="all"/>
  </connection>
  <connection id="6" name="Connection13" type="4" refreshedVersion="0" background="1">
    <webPr url="http://finance.google.com/finance/info?client=ig&amp;q=NSE:NIFTY" htmlTables="1" htmlFormat="all"/>
  </connection>
  <connection id="7" name="Connection14" type="4" refreshedVersion="0" background="1">
    <webPr url="http://finance.google.com/finance/info?client=ig&amp;q=NSE:NIFTY" htmlTables="1" htmlFormat="all"/>
  </connection>
  <connection id="8" name="Connection15" type="4" refreshedVersion="0" background="1">
    <webPr url="http://finance.google.com/finance/info?client=ig&amp;q=NSE:NIFTY" htmlTables="1" htmlFormat="all"/>
  </connection>
  <connection id="9" name="Connection16" type="4" refreshedVersion="3" background="1">
    <webPr xl2000="1" url="http://finance.google.com/finance/info?client=ig&amp;q=NSE:NIFTY,INDEXHANGSENG:HSI,INDEXDJX:.DJI,NSE:ACC,NSE:ITC,NSE:TATAMOTORS,NSE:LT" htmlFormat="all"/>
  </connection>
  <connection id="10" name="Connection2" type="4" refreshedVersion="3" background="1">
    <webPr xl2000="1" url="http://finance.google.com/finance/info?client=ig&amp;q=NSE:NIFTY,NSE:ACC,NSE:ITC,NSE:HINDUNILVR," htmlFormat="all"/>
  </connection>
  <connection id="11" name="Connection3" type="4" refreshedVersion="3" background="1">
    <webPr xl2000="1" url="http://finance.google.com/finance/info?client=ig&amp;q=NSE:NIFTY,NSE:ACC,NSE:ITC,NSE:HINDUNILVR," htmlFormat="all"/>
  </connection>
  <connection id="12" name="Connection4" type="4" refreshedVersion="3" background="1">
    <webPr xl2000="1" url="http://finance.google.com/finance/info?client=ig&amp;q=NSE:NIFTY,NSE:ACC,NSE:ITC,NSE:HINDUNILVR," htmlFormat="all"/>
  </connection>
  <connection id="13" name="Connection5" type="4" refreshedVersion="0" background="1">
    <webPr url="http://finance.google.com/finance/info?client=ig&amp;q=NSE:NIFTY,NSE:ACC,NSE:ITC,NSE:HINDUNILVR," htmlTables="1" htmlFormat="all"/>
  </connection>
  <connection id="14" name="Connection6" type="4" refreshedVersion="0" background="1">
    <webPr url="http://finance.google.com/finance/info?client=ig&amp;q=NSE:NIFTY,NSE:ACC,NSE:ITC,NSE:HINDUNILVR," htmlTables="1" htmlFormat="all"/>
  </connection>
  <connection id="15" name="Connection7" type="4" refreshedVersion="3" background="1">
    <webPr xl2000="1" url="http://finance.google.com/finance/info?client=ig&amp;q=NSE:NIFTY,NSE:ACC,NSE:ITC,NSE:HINDUNILVR," htmlFormat="all"/>
  </connection>
  <connection id="16" name="Connection8" type="4" refreshedVersion="3" background="1">
    <webPr xl2000="1" url="http://finance.google.com/finance/info?client=ig&amp;q=NSE:NIFTY,NSE:ACC,NSE:ITC,NSE:HINDUNILVR," htmlFormat="all"/>
  </connection>
  <connection id="17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<sst xmlns="http://schemas.openxmlformats.org/spreadsheetml/2006/main" count="230" uniqueCount="55">
  <si>
    <t>AmiBroker Database path</t>
  </si>
  <si>
    <t>H:\AmiBroker\NowRTData</t>
  </si>
  <si>
    <t>Last Trade Time</t>
  </si>
  <si>
    <t>Last Traded Price</t>
  </si>
  <si>
    <t>URL =</t>
  </si>
  <si>
    <t>Volume</t>
  </si>
  <si>
    <t>Skip</t>
  </si>
  <si>
    <t>Symbol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</si>
  <si>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</si>
  <si>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</si>
  <si>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</si>
  <si>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</si>
  <si>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</si>
  <si>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</si>
  <si>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</si>
  <si>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</si>
  <si>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</si>
  <si>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</si>
  <si>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</si>
  <si>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</si>
  <si>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</si>
  <si>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Type Google Symbols Below</t>
  </si>
  <si>
    <t>Trading Tme</t>
  </si>
  <si>
    <t>Start</t>
  </si>
  <si>
    <t>End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</si>
  <si>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</si>
  <si>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</si>
  <si>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</si>
  <si>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</si>
  <si>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</si>
  <si>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</si>
  <si>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</si>
  <si>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</si>
  <si>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chg</t>
  </si>
  <si>
    <t>chr</t>
  </si>
  <si>
    <t>HSI</t>
  </si>
  <si>
    <t>Exchange</t>
  </si>
  <si>
    <t>INDEXHANGSENG</t>
  </si>
  <si>
    <t>.DJI</t>
  </si>
  <si>
    <t>INDEXDJX</t>
  </si>
  <si>
    <t>ACC</t>
  </si>
  <si>
    <t>Date</t>
  </si>
  <si>
    <t>Refresh Period</t>
  </si>
  <si>
    <t>Seconds</t>
  </si>
  <si>
    <t>ITC</t>
  </si>
  <si>
    <t>TATAMOTORS</t>
  </si>
  <si>
    <t>LT</t>
  </si>
  <si>
    <t>http://finance.google.com/finance/info?client=ig&amp;q=NSE:NIFTY,INDEXHANGSENG:HSI,INDEXDJX:.DJI,NSE:ACC,NSE:ITC,NSE:TATAMOTORS,NSE:LT</t>
  </si>
  <si>
    <t>RAM Disk Path e.g. R:</t>
  </si>
  <si>
    <t>HK$22299.63</t>
  </si>
  <si>
    <t>Rs.5704.40</t>
  </si>
  <si>
    <t>Rs.1163.90</t>
  </si>
  <si>
    <t>Rs.306.85</t>
  </si>
  <si>
    <t>Rs.264.60</t>
  </si>
  <si>
    <t>Rs.1396.45</t>
  </si>
</sst>
</file>

<file path=xl/styles.xml><?xml version="1.0" encoding="utf-8"?>
<styleSheet xmlns="http://schemas.openxmlformats.org/spreadsheetml/2006/main">
  <numFmts count="2">
    <numFmt numFmtId="164" formatCode="0.0"/>
    <numFmt numFmtId="165" formatCode="[$-F400]h:mm:ss\ AM/PM"/>
  </numFmts>
  <fonts count="13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Arial Black"/>
      <family val="2"/>
    </font>
    <font>
      <sz val="8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b/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10"/>
      <name val="Tahoma"/>
      <family val="2"/>
    </font>
    <font>
      <sz val="8"/>
      <name val="Tahoma"/>
      <family val="2"/>
    </font>
    <font>
      <b/>
      <sz val="11"/>
      <color indexed="1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10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2" fillId="0" borderId="0" xfId="1"/>
    <xf numFmtId="0" fontId="2" fillId="0" borderId="0" xfId="1" applyFill="1"/>
    <xf numFmtId="0" fontId="5" fillId="0" borderId="0" xfId="1" applyFont="1" applyFill="1"/>
    <xf numFmtId="165" fontId="0" fillId="0" borderId="0" xfId="0" applyNumberFormat="1"/>
    <xf numFmtId="0" fontId="0" fillId="5" borderId="0" xfId="0" applyFill="1"/>
    <xf numFmtId="0" fontId="0" fillId="0" borderId="0" xfId="0" applyFill="1"/>
    <xf numFmtId="18" fontId="0" fillId="0" borderId="0" xfId="0" applyNumberFormat="1"/>
    <xf numFmtId="165" fontId="0" fillId="0" borderId="0" xfId="0" applyNumberFormat="1" applyFill="1"/>
    <xf numFmtId="0" fontId="7" fillId="0" borderId="0" xfId="0" applyFont="1" applyFill="1"/>
    <xf numFmtId="0" fontId="1" fillId="0" borderId="0" xfId="0" applyFont="1" applyFill="1" applyBorder="1"/>
    <xf numFmtId="0" fontId="3" fillId="3" borderId="2" xfId="1" applyFont="1" applyFill="1" applyBorder="1" applyAlignment="1">
      <alignment vertical="top"/>
    </xf>
    <xf numFmtId="20" fontId="9" fillId="2" borderId="0" xfId="0" applyNumberFormat="1" applyFont="1" applyFill="1"/>
    <xf numFmtId="165" fontId="1" fillId="2" borderId="1" xfId="0" applyNumberFormat="1" applyFont="1" applyFill="1" applyBorder="1"/>
    <xf numFmtId="0" fontId="8" fillId="0" borderId="0" xfId="0" applyFont="1" applyFill="1" applyAlignment="1">
      <alignment horizontal="center" vertical="top" wrapText="1"/>
    </xf>
    <xf numFmtId="0" fontId="1" fillId="0" borderId="1" xfId="0" applyFont="1" applyFill="1" applyBorder="1"/>
    <xf numFmtId="0" fontId="5" fillId="3" borderId="0" xfId="1" applyFont="1" applyFill="1" applyAlignment="1">
      <alignment horizontal="right"/>
    </xf>
    <xf numFmtId="2" fontId="5" fillId="3" borderId="0" xfId="1" applyNumberFormat="1" applyFont="1" applyFill="1"/>
    <xf numFmtId="0" fontId="5" fillId="3" borderId="0" xfId="1" applyFont="1" applyFill="1"/>
    <xf numFmtId="164" fontId="4" fillId="3" borderId="0" xfId="1" applyNumberFormat="1" applyFont="1" applyFill="1"/>
    <xf numFmtId="2" fontId="4" fillId="3" borderId="0" xfId="1" applyNumberFormat="1" applyFont="1" applyFill="1" applyAlignment="1">
      <alignment horizontal="center"/>
    </xf>
    <xf numFmtId="0" fontId="3" fillId="0" borderId="2" xfId="1" applyFont="1" applyFill="1" applyBorder="1" applyAlignment="1">
      <alignment vertical="top"/>
    </xf>
    <xf numFmtId="2" fontId="3" fillId="0" borderId="0" xfId="1" applyNumberFormat="1" applyFont="1" applyFill="1"/>
    <xf numFmtId="165" fontId="6" fillId="0" borderId="0" xfId="1" applyNumberFormat="1" applyFont="1" applyFill="1" applyAlignment="1">
      <alignment horizontal="center"/>
    </xf>
    <xf numFmtId="22" fontId="0" fillId="0" borderId="0" xfId="0" applyNumberFormat="1"/>
    <xf numFmtId="0" fontId="0" fillId="0" borderId="0" xfId="0" applyFill="1" applyBorder="1"/>
    <xf numFmtId="0" fontId="0" fillId="0" borderId="0" xfId="0"/>
    <xf numFmtId="0" fontId="0" fillId="2" borderId="0" xfId="0" applyFill="1"/>
    <xf numFmtId="0" fontId="8" fillId="0" borderId="0" xfId="0" applyFont="1" applyFill="1" applyAlignment="1">
      <alignment horizontal="center" vertical="top" wrapText="1"/>
    </xf>
    <xf numFmtId="21" fontId="0" fillId="2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0" fontId="1" fillId="2" borderId="1" xfId="0" applyNumberFormat="1" applyFont="1" applyFill="1" applyBorder="1"/>
    <xf numFmtId="14" fontId="0" fillId="0" borderId="0" xfId="0" applyNumberFormat="1" applyFill="1"/>
    <xf numFmtId="0" fontId="3" fillId="3" borderId="3" xfId="1" applyFont="1" applyFill="1" applyBorder="1" applyAlignment="1">
      <alignment horizontal="center" vertical="top" wrapText="1"/>
    </xf>
    <xf numFmtId="0" fontId="3" fillId="3" borderId="4" xfId="1" applyFont="1" applyFill="1" applyBorder="1" applyAlignment="1">
      <alignment horizontal="center" vertical="top" wrapText="1"/>
    </xf>
  </cellXfs>
  <cellStyles count="2">
    <cellStyle name="Normal" xfId="0" builtinId="0"/>
    <cellStyle name="Normal 3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queryTables/queryTable1.xml><?xml version="1.0" encoding="utf-8"?>
<queryTable xmlns="http://schemas.openxmlformats.org/spreadsheetml/2006/main" name="ExternalData_1" removeDataOnSave="1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98"/>
  <sheetViews>
    <sheetView tabSelected="1" workbookViewId="0">
      <selection activeCell="G3" sqref="G3"/>
    </sheetView>
  </sheetViews>
  <sheetFormatPr defaultRowHeight="15"/>
  <cols>
    <col min="1" max="1" width="23.85546875" style="2" bestFit="1" customWidth="1"/>
    <col min="2" max="2" width="23.85546875" bestFit="1" customWidth="1"/>
    <col min="3" max="3" width="14.5703125" customWidth="1"/>
    <col min="4" max="4" width="13" customWidth="1"/>
    <col min="5" max="5" width="11.5703125" customWidth="1"/>
    <col min="6" max="6" width="13.42578125" bestFit="1" customWidth="1"/>
    <col min="7" max="7" width="16.5703125" style="9" bestFit="1" customWidth="1"/>
    <col min="8" max="8" width="4.5703125" bestFit="1" customWidth="1"/>
    <col min="9" max="9" width="14.85546875" style="7" bestFit="1" customWidth="1"/>
    <col min="10" max="10" width="15.85546875" style="1" customWidth="1"/>
    <col min="12" max="12" width="5.42578125" customWidth="1"/>
    <col min="13" max="13" width="11.42578125" customWidth="1"/>
  </cols>
  <sheetData>
    <row r="1" spans="1:14" ht="15.75" customHeight="1" thickBot="1">
      <c r="A1" s="33" t="s">
        <v>0</v>
      </c>
      <c r="D1" s="9"/>
      <c r="F1" s="1"/>
      <c r="H1" s="19" t="s">
        <v>4</v>
      </c>
      <c r="I1" s="20" t="s">
        <v>47</v>
      </c>
      <c r="J1" s="20"/>
      <c r="K1" s="21"/>
      <c r="L1" s="22"/>
      <c r="M1" s="23"/>
      <c r="N1" s="6"/>
    </row>
    <row r="2" spans="1:14" ht="18" thickTop="1" thickBot="1">
      <c r="A2" s="34" t="s">
        <v>48</v>
      </c>
      <c r="B2" s="30"/>
      <c r="C2" s="30"/>
      <c r="D2" s="17"/>
      <c r="E2" s="1"/>
      <c r="F2" s="1"/>
      <c r="H2" s="24"/>
      <c r="I2" s="11"/>
      <c r="J2" s="9"/>
      <c r="K2" s="9"/>
      <c r="L2" s="25"/>
      <c r="M2" s="26"/>
      <c r="N2" s="5"/>
    </row>
    <row r="3" spans="1:14" ht="15.75" customHeight="1" thickTop="1" thickBot="1">
      <c r="A3" s="34" t="s">
        <v>42</v>
      </c>
      <c r="B3" s="32">
        <v>5.7870370370370366E-5</v>
      </c>
      <c r="C3" s="31" t="s">
        <v>43</v>
      </c>
      <c r="D3" s="30" t="s">
        <v>1</v>
      </c>
      <c r="E3" s="1"/>
      <c r="F3" s="1"/>
      <c r="J3" s="14" t="s">
        <v>22</v>
      </c>
      <c r="K3" s="14" t="s">
        <v>23</v>
      </c>
      <c r="L3" s="15">
        <v>0.38541666666666669</v>
      </c>
      <c r="M3" s="5"/>
      <c r="N3" s="4"/>
    </row>
    <row r="4" spans="1:14" ht="15.75" customHeight="1" thickTop="1">
      <c r="A4" s="35"/>
      <c r="B4" s="38" t="s">
        <v>21</v>
      </c>
      <c r="C4" s="7"/>
      <c r="D4" s="1"/>
      <c r="G4" s="12"/>
      <c r="K4" s="14" t="s">
        <v>24</v>
      </c>
      <c r="L4" s="15">
        <v>0.75</v>
      </c>
    </row>
    <row r="5" spans="1:14">
      <c r="A5" s="35"/>
      <c r="B5" s="39"/>
      <c r="C5" s="7"/>
      <c r="D5" s="1"/>
    </row>
    <row r="6" spans="1:14">
      <c r="A6" s="36" t="s">
        <v>41</v>
      </c>
      <c r="B6" s="3" t="s">
        <v>7</v>
      </c>
      <c r="C6" s="3" t="s">
        <v>2</v>
      </c>
      <c r="D6" s="3" t="s">
        <v>3</v>
      </c>
      <c r="E6" s="3" t="s">
        <v>5</v>
      </c>
      <c r="F6" s="3" t="s">
        <v>6</v>
      </c>
      <c r="G6" s="18" t="s">
        <v>36</v>
      </c>
    </row>
    <row r="7" spans="1:14">
      <c r="A7" s="37">
        <f t="shared" ref="A7:A13" si="0">VLOOKUP(B7,Prices,4,FALSE)</f>
        <v>41365</v>
      </c>
      <c r="B7" s="1" t="s">
        <v>12</v>
      </c>
      <c r="C7" s="11" t="str">
        <f t="shared" ref="C7:C13" si="1">TEXT(VLOOKUP(B7,Prices,3,FALSE),"hh:mm:ss")</f>
        <v>15:34:00</v>
      </c>
      <c r="D7" s="9">
        <f t="shared" ref="D7:D13" si="2">VLOOKUP(B7,Prices,2,FALSE)</f>
        <v>5704.4</v>
      </c>
      <c r="E7" s="1"/>
      <c r="F7" s="8"/>
      <c r="G7" s="13" t="s">
        <v>14</v>
      </c>
    </row>
    <row r="8" spans="1:14">
      <c r="A8" s="37">
        <f t="shared" si="0"/>
        <v>41361</v>
      </c>
      <c r="B8" s="1" t="s">
        <v>35</v>
      </c>
      <c r="C8" s="11" t="str">
        <f t="shared" si="1"/>
        <v>16:01:00</v>
      </c>
      <c r="D8" s="9">
        <f t="shared" si="2"/>
        <v>22299.63</v>
      </c>
      <c r="E8" s="1"/>
      <c r="F8" s="8"/>
      <c r="G8" s="11" t="s">
        <v>37</v>
      </c>
    </row>
    <row r="9" spans="1:14">
      <c r="A9" s="37">
        <f t="shared" si="0"/>
        <v>41361</v>
      </c>
      <c r="B9" s="1" t="s">
        <v>38</v>
      </c>
      <c r="C9" s="11" t="str">
        <f t="shared" si="1"/>
        <v>16:36:00</v>
      </c>
      <c r="D9" s="9">
        <f t="shared" si="2"/>
        <v>14578.54</v>
      </c>
      <c r="E9" s="1"/>
      <c r="F9" s="8"/>
      <c r="G9" s="11" t="s">
        <v>39</v>
      </c>
    </row>
    <row r="10" spans="1:14">
      <c r="A10" s="37">
        <f t="shared" si="0"/>
        <v>41365</v>
      </c>
      <c r="B10" s="28" t="s">
        <v>40</v>
      </c>
      <c r="C10" s="11" t="str">
        <f t="shared" si="1"/>
        <v>15:29:00</v>
      </c>
      <c r="D10" s="9">
        <f t="shared" si="2"/>
        <v>1163.9000000000001</v>
      </c>
      <c r="E10" s="1"/>
      <c r="F10" s="8"/>
      <c r="G10" s="11" t="s">
        <v>14</v>
      </c>
    </row>
    <row r="11" spans="1:14">
      <c r="A11" s="37">
        <f t="shared" si="0"/>
        <v>41365</v>
      </c>
      <c r="B11" s="28" t="s">
        <v>44</v>
      </c>
      <c r="C11" s="11" t="str">
        <f t="shared" si="1"/>
        <v>15:29:00</v>
      </c>
      <c r="D11" s="9">
        <f t="shared" si="2"/>
        <v>306.85000000000002</v>
      </c>
      <c r="E11" s="1"/>
      <c r="F11" s="8"/>
      <c r="G11" s="11" t="s">
        <v>14</v>
      </c>
      <c r="H11" s="1"/>
      <c r="K11" s="1"/>
      <c r="L11" s="1"/>
      <c r="M11" s="10"/>
      <c r="N11" s="7"/>
    </row>
    <row r="12" spans="1:14">
      <c r="A12" s="37">
        <f t="shared" si="0"/>
        <v>41365</v>
      </c>
      <c r="B12" s="28" t="s">
        <v>45</v>
      </c>
      <c r="C12" s="11" t="str">
        <f t="shared" si="1"/>
        <v>15:30:00</v>
      </c>
      <c r="D12" s="9">
        <f t="shared" si="2"/>
        <v>264.60000000000002</v>
      </c>
      <c r="E12" s="1"/>
      <c r="F12" s="8"/>
      <c r="G12" s="11" t="s">
        <v>14</v>
      </c>
      <c r="H12" s="9"/>
      <c r="K12" s="1"/>
      <c r="L12" s="1"/>
      <c r="M12" s="1"/>
      <c r="N12" s="1"/>
    </row>
    <row r="13" spans="1:14">
      <c r="A13" s="37">
        <f t="shared" si="0"/>
        <v>41365</v>
      </c>
      <c r="B13" s="28" t="s">
        <v>46</v>
      </c>
      <c r="C13" s="11" t="str">
        <f t="shared" si="1"/>
        <v>15:30:00</v>
      </c>
      <c r="D13" s="9">
        <f t="shared" si="2"/>
        <v>1396.45</v>
      </c>
      <c r="E13" s="1"/>
      <c r="F13" s="8"/>
      <c r="G13" s="11" t="s">
        <v>14</v>
      </c>
      <c r="H13" s="1"/>
      <c r="K13" s="1"/>
      <c r="L13" s="1"/>
      <c r="M13" s="1"/>
      <c r="N13" s="1"/>
    </row>
    <row r="14" spans="1:14">
      <c r="B14" s="1"/>
      <c r="C14" s="1"/>
      <c r="D14" s="1"/>
      <c r="E14" s="1"/>
      <c r="F14" s="8"/>
      <c r="H14" s="1"/>
      <c r="K14" s="1"/>
      <c r="L14" s="1"/>
      <c r="M14" s="1"/>
      <c r="N14" s="1"/>
    </row>
    <row r="15" spans="1:14">
      <c r="B15" s="2"/>
      <c r="C15" s="1"/>
      <c r="D15" s="1"/>
      <c r="E15" s="1"/>
      <c r="F15" s="8"/>
      <c r="H15" s="1"/>
      <c r="K15" s="1"/>
      <c r="L15" s="1"/>
      <c r="M15" s="1"/>
      <c r="N15" s="1"/>
    </row>
    <row r="16" spans="1:14">
      <c r="B16" s="1"/>
      <c r="C16" s="1"/>
      <c r="D16" s="1"/>
      <c r="E16" s="1"/>
      <c r="F16" s="8"/>
      <c r="H16" s="1"/>
      <c r="K16" s="1"/>
      <c r="L16" s="1"/>
      <c r="M16" s="1"/>
      <c r="N16" s="1"/>
    </row>
    <row r="17" spans="2:6">
      <c r="B17" s="1"/>
      <c r="C17" s="1"/>
      <c r="D17" s="1"/>
      <c r="E17" s="1"/>
      <c r="F17" s="8"/>
    </row>
    <row r="18" spans="2:6">
      <c r="B18" s="1"/>
      <c r="C18" s="1"/>
      <c r="D18" s="1"/>
      <c r="E18" s="1"/>
      <c r="F18" s="8"/>
    </row>
    <row r="19" spans="2:6">
      <c r="B19" s="1"/>
      <c r="C19" s="1"/>
      <c r="D19" s="1"/>
      <c r="E19" s="1"/>
      <c r="F19" s="8"/>
    </row>
    <row r="20" spans="2:6">
      <c r="B20" s="1"/>
      <c r="C20" s="1"/>
      <c r="D20" s="1"/>
      <c r="E20" s="1"/>
      <c r="F20" s="8"/>
    </row>
    <row r="21" spans="2:6">
      <c r="B21" s="1"/>
      <c r="C21" s="1"/>
      <c r="D21" s="1"/>
      <c r="E21" s="1"/>
      <c r="F21" s="8"/>
    </row>
    <row r="22" spans="2:6">
      <c r="B22" s="1"/>
      <c r="C22" s="1"/>
      <c r="D22" s="1"/>
      <c r="E22" s="1"/>
      <c r="F22" s="8"/>
    </row>
    <row r="23" spans="2:6">
      <c r="B23" s="1"/>
      <c r="C23" s="1"/>
      <c r="D23" s="1"/>
      <c r="E23" s="1"/>
      <c r="F23" s="8"/>
    </row>
    <row r="24" spans="2:6">
      <c r="F24" s="8"/>
    </row>
    <row r="25" spans="2:6">
      <c r="F25" s="8"/>
    </row>
    <row r="26" spans="2:6">
      <c r="F26" s="8"/>
    </row>
    <row r="27" spans="2:6">
      <c r="F27" s="8"/>
    </row>
    <row r="28" spans="2:6">
      <c r="F28" s="8"/>
    </row>
    <row r="29" spans="2:6">
      <c r="F29" s="8"/>
    </row>
    <row r="30" spans="2:6">
      <c r="F30" s="8"/>
    </row>
    <row r="31" spans="2:6">
      <c r="F31" s="8"/>
    </row>
    <row r="32" spans="2:6">
      <c r="F32" s="8"/>
    </row>
    <row r="33" spans="6:6">
      <c r="F33" s="8"/>
    </row>
    <row r="34" spans="6:6">
      <c r="F34" s="8"/>
    </row>
    <row r="35" spans="6:6">
      <c r="F35" s="8"/>
    </row>
    <row r="36" spans="6:6">
      <c r="F36" s="8"/>
    </row>
    <row r="37" spans="6:6">
      <c r="F37" s="8"/>
    </row>
    <row r="38" spans="6:6">
      <c r="F38" s="8"/>
    </row>
    <row r="39" spans="6:6">
      <c r="F39" s="8"/>
    </row>
    <row r="40" spans="6:6">
      <c r="F40" s="8"/>
    </row>
    <row r="41" spans="6:6">
      <c r="F41" s="8"/>
    </row>
    <row r="42" spans="6:6">
      <c r="F42" s="8"/>
    </row>
    <row r="43" spans="6:6">
      <c r="F43" s="8"/>
    </row>
    <row r="44" spans="6:6">
      <c r="F44" s="8"/>
    </row>
    <row r="45" spans="6:6">
      <c r="F45" s="8"/>
    </row>
    <row r="46" spans="6:6">
      <c r="F46" s="8"/>
    </row>
    <row r="47" spans="6:6">
      <c r="F47" s="8"/>
    </row>
    <row r="48" spans="6:6">
      <c r="F48" s="8"/>
    </row>
    <row r="49" spans="6:6">
      <c r="F49" s="8"/>
    </row>
    <row r="50" spans="6:6">
      <c r="F50" s="8"/>
    </row>
    <row r="51" spans="6:6">
      <c r="F51" s="8"/>
    </row>
    <row r="52" spans="6:6">
      <c r="F52" s="8"/>
    </row>
    <row r="53" spans="6:6">
      <c r="F53" s="8"/>
    </row>
    <row r="54" spans="6:6">
      <c r="F54" s="8"/>
    </row>
    <row r="55" spans="6:6">
      <c r="F55" s="8"/>
    </row>
    <row r="56" spans="6:6">
      <c r="F56" s="8"/>
    </row>
    <row r="57" spans="6:6">
      <c r="F57" s="8"/>
    </row>
    <row r="58" spans="6:6">
      <c r="F58" s="8"/>
    </row>
    <row r="59" spans="6:6">
      <c r="F59" s="8"/>
    </row>
    <row r="60" spans="6:6">
      <c r="F60" s="8"/>
    </row>
    <row r="61" spans="6:6">
      <c r="F61" s="8"/>
    </row>
    <row r="62" spans="6:6">
      <c r="F62" s="8"/>
    </row>
    <row r="63" spans="6:6">
      <c r="F63" s="8"/>
    </row>
    <row r="64" spans="6:6">
      <c r="F64" s="8"/>
    </row>
    <row r="65" spans="6:6">
      <c r="F65" s="8"/>
    </row>
    <row r="66" spans="6:6">
      <c r="F66" s="8"/>
    </row>
    <row r="67" spans="6:6">
      <c r="F67" s="8"/>
    </row>
    <row r="68" spans="6:6">
      <c r="F68" s="8"/>
    </row>
    <row r="69" spans="6:6">
      <c r="F69" s="8"/>
    </row>
    <row r="70" spans="6:6">
      <c r="F70" s="8"/>
    </row>
    <row r="71" spans="6:6">
      <c r="F71" s="8"/>
    </row>
    <row r="72" spans="6:6">
      <c r="F72" s="8"/>
    </row>
    <row r="73" spans="6:6">
      <c r="F73" s="8"/>
    </row>
    <row r="74" spans="6:6">
      <c r="F74" s="8"/>
    </row>
    <row r="75" spans="6:6">
      <c r="F75" s="8"/>
    </row>
    <row r="76" spans="6:6">
      <c r="F76" s="8"/>
    </row>
    <row r="77" spans="6:6">
      <c r="F77" s="8"/>
    </row>
    <row r="78" spans="6:6">
      <c r="F78" s="8"/>
    </row>
    <row r="79" spans="6:6">
      <c r="F79" s="8"/>
    </row>
    <row r="80" spans="6:6">
      <c r="F80" s="8"/>
    </row>
    <row r="81" spans="6:6">
      <c r="F81" s="8"/>
    </row>
    <row r="82" spans="6:6">
      <c r="F82" s="8"/>
    </row>
    <row r="83" spans="6:6">
      <c r="F83" s="8"/>
    </row>
    <row r="84" spans="6:6">
      <c r="F84" s="8"/>
    </row>
    <row r="85" spans="6:6">
      <c r="F85" s="8"/>
    </row>
    <row r="86" spans="6:6">
      <c r="F86" s="8"/>
    </row>
    <row r="87" spans="6:6">
      <c r="F87" s="8"/>
    </row>
    <row r="88" spans="6:6">
      <c r="F88" s="8"/>
    </row>
    <row r="89" spans="6:6">
      <c r="F89" s="8"/>
    </row>
    <row r="90" spans="6:6">
      <c r="F90" s="8"/>
    </row>
    <row r="91" spans="6:6">
      <c r="F91" s="8"/>
    </row>
    <row r="92" spans="6:6">
      <c r="F92" s="8"/>
    </row>
    <row r="93" spans="6:6">
      <c r="F93" s="8"/>
    </row>
    <row r="94" spans="6:6">
      <c r="F94" s="8"/>
    </row>
    <row r="95" spans="6:6">
      <c r="F95" s="8"/>
    </row>
    <row r="96" spans="6:6">
      <c r="F96" s="8"/>
    </row>
    <row r="97" spans="6:6">
      <c r="F97" s="8"/>
    </row>
    <row r="98" spans="6:6">
      <c r="F98" s="8"/>
    </row>
  </sheetData>
  <mergeCells count="1">
    <mergeCell ref="B4:B5"/>
  </mergeCells>
  <pageMargins left="0.7" right="0.7" top="0.75" bottom="0.75" header="0.3" footer="0.3"/>
  <pageSetup orientation="portrait" r:id="rId1"/>
  <legacyDrawing r:id="rId2"/>
  <controls>
    <control shapeId="1030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95"/>
  <sheetViews>
    <sheetView topLeftCell="M19" workbookViewId="0">
      <selection activeCell="O37" sqref="O37"/>
    </sheetView>
  </sheetViews>
  <sheetFormatPr defaultRowHeight="15"/>
  <cols>
    <col min="3" max="3" width="9.140625" style="7"/>
    <col min="4" max="4" width="17.7109375" bestFit="1" customWidth="1"/>
    <col min="12" max="19" width="31.7109375" style="29" bestFit="1" customWidth="1"/>
    <col min="20" max="33" width="31.5703125" style="29" bestFit="1" customWidth="1"/>
  </cols>
  <sheetData>
    <row r="1" spans="1:33">
      <c r="A1" s="3"/>
      <c r="B1" s="3"/>
      <c r="C1" s="16"/>
      <c r="E1" s="1"/>
      <c r="F1" s="1"/>
      <c r="G1" s="1"/>
      <c r="H1" s="1"/>
    </row>
    <row r="2" spans="1:33">
      <c r="A2" s="29" t="s">
        <v>12</v>
      </c>
      <c r="B2" s="1">
        <v>5704.4</v>
      </c>
      <c r="C2" s="10">
        <v>0.64861111111111114</v>
      </c>
      <c r="D2" s="2">
        <v>41365</v>
      </c>
      <c r="L2" s="29" t="s">
        <v>25</v>
      </c>
    </row>
    <row r="3" spans="1:33">
      <c r="A3" s="29" t="s">
        <v>35</v>
      </c>
      <c r="B3" s="1">
        <v>22299.63</v>
      </c>
      <c r="C3" s="10">
        <v>0.66736111111111107</v>
      </c>
      <c r="D3" s="2">
        <v>41361</v>
      </c>
      <c r="L3" s="29" t="s">
        <v>26</v>
      </c>
    </row>
    <row r="4" spans="1:33">
      <c r="A4" s="29" t="s">
        <v>38</v>
      </c>
      <c r="B4" s="1">
        <v>14578.54</v>
      </c>
      <c r="C4" s="10">
        <v>0.69166666666666676</v>
      </c>
      <c r="D4" s="2">
        <v>41361</v>
      </c>
      <c r="L4" s="29" t="s">
        <v>10</v>
      </c>
      <c r="M4" s="29">
        <v>207437</v>
      </c>
    </row>
    <row r="5" spans="1:33">
      <c r="A5" s="29" t="s">
        <v>40</v>
      </c>
      <c r="B5" s="1">
        <v>1163.9000000000001</v>
      </c>
      <c r="C5" s="10">
        <v>0.64513888888888882</v>
      </c>
      <c r="D5" s="2">
        <v>41365</v>
      </c>
      <c r="M5" s="29" t="s">
        <v>11</v>
      </c>
      <c r="N5" s="29" t="s">
        <v>30</v>
      </c>
      <c r="O5" s="29" t="s">
        <v>12</v>
      </c>
    </row>
    <row r="6" spans="1:33">
      <c r="A6" s="29" t="s">
        <v>44</v>
      </c>
      <c r="B6" s="1">
        <v>306.85000000000002</v>
      </c>
      <c r="C6" s="7">
        <v>0.64513888888888882</v>
      </c>
      <c r="D6" s="2">
        <v>41365</v>
      </c>
      <c r="M6" s="29" t="s">
        <v>13</v>
      </c>
      <c r="N6" s="29" t="s">
        <v>30</v>
      </c>
      <c r="O6" s="29" t="s">
        <v>14</v>
      </c>
    </row>
    <row r="7" spans="1:33">
      <c r="A7" s="29" t="s">
        <v>45</v>
      </c>
      <c r="B7" s="1">
        <v>264.60000000000002</v>
      </c>
      <c r="C7" s="7">
        <v>0.64583333333333337</v>
      </c>
      <c r="D7" s="2">
        <v>41365</v>
      </c>
      <c r="M7" s="29" t="s">
        <v>15</v>
      </c>
      <c r="N7" s="29" t="s">
        <v>30</v>
      </c>
      <c r="O7" s="29">
        <v>5704.4</v>
      </c>
    </row>
    <row r="8" spans="1:33">
      <c r="A8" s="29" t="s">
        <v>46</v>
      </c>
      <c r="B8" s="1">
        <v>1396.45</v>
      </c>
      <c r="C8" s="7">
        <v>0.64583333333333337</v>
      </c>
      <c r="D8" s="2">
        <v>41365</v>
      </c>
      <c r="M8" s="29" t="s">
        <v>16</v>
      </c>
      <c r="N8" s="29" t="s">
        <v>30</v>
      </c>
      <c r="O8" s="29" t="s">
        <v>50</v>
      </c>
    </row>
    <row r="9" spans="1:33">
      <c r="A9" s="1"/>
      <c r="B9" s="1"/>
      <c r="M9" s="29" t="s">
        <v>8</v>
      </c>
      <c r="N9" s="29" t="s">
        <v>31</v>
      </c>
      <c r="O9" s="29">
        <v>0</v>
      </c>
    </row>
    <row r="10" spans="1:33">
      <c r="A10" s="1"/>
      <c r="B10" s="1"/>
      <c r="I10" s="29"/>
      <c r="M10" s="29" t="s">
        <v>9</v>
      </c>
      <c r="N10" s="29" t="s">
        <v>32</v>
      </c>
      <c r="O10" s="10">
        <v>0.64861111111111114</v>
      </c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</row>
    <row r="11" spans="1:33">
      <c r="A11" s="1"/>
      <c r="B11" s="1"/>
      <c r="J11" s="29"/>
      <c r="M11" s="29" t="s">
        <v>17</v>
      </c>
      <c r="N11" s="29" t="s">
        <v>30</v>
      </c>
      <c r="O11" s="27">
        <v>41365.648611111108</v>
      </c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</row>
    <row r="12" spans="1:33">
      <c r="A12" s="1"/>
      <c r="B12" s="1"/>
      <c r="J12" s="29"/>
      <c r="M12" s="29" t="s">
        <v>18</v>
      </c>
      <c r="N12" s="29" t="s">
        <v>30</v>
      </c>
      <c r="O12" s="29">
        <v>21.85</v>
      </c>
    </row>
    <row r="13" spans="1:33">
      <c r="A13" s="1"/>
      <c r="M13" s="29" t="s">
        <v>19</v>
      </c>
      <c r="N13" s="29" t="s">
        <v>30</v>
      </c>
      <c r="O13" s="29">
        <v>0.38</v>
      </c>
    </row>
    <row r="14" spans="1:33">
      <c r="M14" s="29" t="s">
        <v>20</v>
      </c>
      <c r="N14" s="29" t="s">
        <v>30</v>
      </c>
      <c r="O14" s="29" t="s">
        <v>33</v>
      </c>
    </row>
    <row r="15" spans="1:33">
      <c r="L15" s="29" t="s">
        <v>27</v>
      </c>
    </row>
    <row r="16" spans="1:33">
      <c r="L16" s="29" t="s">
        <v>26</v>
      </c>
    </row>
    <row r="17" spans="12:33">
      <c r="L17" s="29" t="s">
        <v>10</v>
      </c>
      <c r="M17" s="29">
        <v>13414271</v>
      </c>
    </row>
    <row r="18" spans="12:33">
      <c r="M18" s="29" t="s">
        <v>11</v>
      </c>
      <c r="N18" s="29" t="s">
        <v>30</v>
      </c>
      <c r="O18" s="29" t="s">
        <v>35</v>
      </c>
    </row>
    <row r="19" spans="12:33">
      <c r="M19" s="29" t="s">
        <v>13</v>
      </c>
      <c r="N19" s="29" t="s">
        <v>30</v>
      </c>
      <c r="O19" s="29" t="s">
        <v>37</v>
      </c>
    </row>
    <row r="20" spans="12:33">
      <c r="M20" s="29" t="s">
        <v>15</v>
      </c>
      <c r="N20" s="29" t="s">
        <v>30</v>
      </c>
      <c r="O20" s="29">
        <v>22299.63</v>
      </c>
    </row>
    <row r="21" spans="12:33">
      <c r="M21" s="29" t="s">
        <v>16</v>
      </c>
      <c r="N21" s="29" t="s">
        <v>30</v>
      </c>
      <c r="O21" s="29" t="s">
        <v>49</v>
      </c>
    </row>
    <row r="22" spans="12:33">
      <c r="M22" s="29" t="s">
        <v>8</v>
      </c>
      <c r="N22" s="29" t="s">
        <v>31</v>
      </c>
      <c r="O22" s="29">
        <v>0</v>
      </c>
    </row>
    <row r="23" spans="12:33">
      <c r="M23" s="29" t="s">
        <v>9</v>
      </c>
      <c r="N23" s="29" t="s">
        <v>32</v>
      </c>
      <c r="O23" s="10">
        <v>0.66736111111111107</v>
      </c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</row>
    <row r="24" spans="12:33">
      <c r="M24" s="29" t="s">
        <v>17</v>
      </c>
      <c r="N24" s="29" t="s">
        <v>30</v>
      </c>
      <c r="O24" s="27">
        <v>41361.667361111111</v>
      </c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</row>
    <row r="25" spans="12:33">
      <c r="M25" s="29" t="s">
        <v>18</v>
      </c>
      <c r="N25" s="29" t="s">
        <v>30</v>
      </c>
      <c r="O25" s="29">
        <v>-165.19</v>
      </c>
    </row>
    <row r="26" spans="12:33">
      <c r="M26" s="29" t="s">
        <v>19</v>
      </c>
      <c r="N26" s="29" t="s">
        <v>30</v>
      </c>
      <c r="O26" s="29">
        <v>-0.74</v>
      </c>
    </row>
    <row r="27" spans="12:33">
      <c r="M27" s="29" t="s">
        <v>20</v>
      </c>
      <c r="N27" s="29" t="s">
        <v>30</v>
      </c>
      <c r="O27" s="29" t="s">
        <v>34</v>
      </c>
    </row>
    <row r="28" spans="12:33">
      <c r="L28" s="29" t="s">
        <v>27</v>
      </c>
    </row>
    <row r="29" spans="12:33">
      <c r="L29" s="29" t="s">
        <v>26</v>
      </c>
    </row>
    <row r="30" spans="12:33">
      <c r="L30" s="29" t="s">
        <v>10</v>
      </c>
      <c r="M30" s="29">
        <v>983582</v>
      </c>
    </row>
    <row r="31" spans="12:33">
      <c r="M31" s="29" t="s">
        <v>11</v>
      </c>
      <c r="N31" s="29" t="s">
        <v>30</v>
      </c>
      <c r="O31" s="29" t="s">
        <v>38</v>
      </c>
    </row>
    <row r="32" spans="12:33">
      <c r="M32" s="29" t="s">
        <v>13</v>
      </c>
      <c r="N32" s="29" t="s">
        <v>30</v>
      </c>
      <c r="O32" s="29" t="s">
        <v>39</v>
      </c>
    </row>
    <row r="33" spans="12:33">
      <c r="M33" s="29" t="s">
        <v>15</v>
      </c>
      <c r="N33" s="29" t="s">
        <v>30</v>
      </c>
      <c r="O33" s="29">
        <v>14578.54</v>
      </c>
    </row>
    <row r="34" spans="12:33">
      <c r="M34" s="29" t="s">
        <v>16</v>
      </c>
      <c r="N34" s="29" t="s">
        <v>30</v>
      </c>
      <c r="O34" s="29">
        <v>14578.54</v>
      </c>
    </row>
    <row r="35" spans="12:33">
      <c r="M35" s="29" t="s">
        <v>8</v>
      </c>
      <c r="N35" s="29" t="s">
        <v>31</v>
      </c>
      <c r="O35" s="29">
        <v>0</v>
      </c>
    </row>
    <row r="36" spans="12:33">
      <c r="M36" s="29" t="s">
        <v>9</v>
      </c>
      <c r="N36" s="29" t="s">
        <v>32</v>
      </c>
      <c r="O36" s="10">
        <v>0.69166666666666676</v>
      </c>
      <c r="P36" s="10"/>
      <c r="Q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</row>
    <row r="37" spans="12:33">
      <c r="M37" s="29" t="s">
        <v>17</v>
      </c>
      <c r="N37" s="29" t="s">
        <v>30</v>
      </c>
      <c r="O37" s="27">
        <v>41361.691666666666</v>
      </c>
      <c r="P37" s="27"/>
      <c r="Q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</row>
    <row r="38" spans="12:33">
      <c r="M38" s="29" t="s">
        <v>18</v>
      </c>
      <c r="N38" s="29" t="s">
        <v>30</v>
      </c>
      <c r="O38" s="29">
        <v>52.38</v>
      </c>
    </row>
    <row r="39" spans="12:33">
      <c r="M39" s="29" t="s">
        <v>19</v>
      </c>
      <c r="N39" s="29" t="s">
        <v>30</v>
      </c>
      <c r="O39" s="29">
        <v>0.36</v>
      </c>
    </row>
    <row r="40" spans="12:33">
      <c r="M40" s="29" t="s">
        <v>20</v>
      </c>
      <c r="N40" s="29" t="s">
        <v>30</v>
      </c>
      <c r="O40" s="29" t="s">
        <v>33</v>
      </c>
    </row>
    <row r="41" spans="12:33">
      <c r="L41" s="29" t="s">
        <v>27</v>
      </c>
    </row>
    <row r="42" spans="12:33">
      <c r="L42" s="29" t="s">
        <v>26</v>
      </c>
    </row>
    <row r="43" spans="12:33">
      <c r="L43" s="29" t="s">
        <v>10</v>
      </c>
      <c r="M43" s="29">
        <v>11787956</v>
      </c>
    </row>
    <row r="44" spans="12:33">
      <c r="M44" s="29" t="s">
        <v>11</v>
      </c>
      <c r="N44" s="29" t="s">
        <v>30</v>
      </c>
      <c r="O44" s="29" t="s">
        <v>40</v>
      </c>
    </row>
    <row r="45" spans="12:33">
      <c r="M45" s="29" t="s">
        <v>13</v>
      </c>
      <c r="N45" s="29" t="s">
        <v>30</v>
      </c>
      <c r="O45" s="29" t="s">
        <v>14</v>
      </c>
    </row>
    <row r="46" spans="12:33">
      <c r="M46" s="29" t="s">
        <v>15</v>
      </c>
      <c r="N46" s="29" t="s">
        <v>30</v>
      </c>
      <c r="O46" s="29">
        <v>1163.9000000000001</v>
      </c>
    </row>
    <row r="47" spans="12:33">
      <c r="M47" s="29" t="s">
        <v>16</v>
      </c>
      <c r="N47" s="29" t="s">
        <v>30</v>
      </c>
      <c r="O47" s="29" t="s">
        <v>51</v>
      </c>
    </row>
    <row r="48" spans="12:33">
      <c r="M48" s="29" t="s">
        <v>8</v>
      </c>
      <c r="N48" s="29" t="s">
        <v>31</v>
      </c>
      <c r="O48" s="29">
        <v>0</v>
      </c>
    </row>
    <row r="49" spans="12:33">
      <c r="M49" s="29" t="s">
        <v>9</v>
      </c>
      <c r="N49" s="29" t="s">
        <v>32</v>
      </c>
      <c r="O49" s="10">
        <v>0.64513888888888882</v>
      </c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</row>
    <row r="50" spans="12:33">
      <c r="M50" s="29" t="s">
        <v>17</v>
      </c>
      <c r="N50" s="29" t="s">
        <v>30</v>
      </c>
      <c r="O50" s="27">
        <v>41365.645138888889</v>
      </c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</row>
    <row r="51" spans="12:33">
      <c r="M51" s="29" t="s">
        <v>18</v>
      </c>
      <c r="N51" s="29" t="s">
        <v>30</v>
      </c>
      <c r="O51" s="29">
        <v>4.7</v>
      </c>
    </row>
    <row r="52" spans="12:33">
      <c r="M52" s="29" t="s">
        <v>19</v>
      </c>
      <c r="N52" s="29" t="s">
        <v>30</v>
      </c>
      <c r="O52" s="29">
        <v>0.41</v>
      </c>
    </row>
    <row r="53" spans="12:33">
      <c r="M53" s="29" t="s">
        <v>20</v>
      </c>
      <c r="N53" s="29" t="s">
        <v>30</v>
      </c>
      <c r="O53" s="29" t="s">
        <v>33</v>
      </c>
    </row>
    <row r="54" spans="12:33">
      <c r="L54" s="29" t="s">
        <v>27</v>
      </c>
    </row>
    <row r="55" spans="12:33">
      <c r="L55" s="29" t="s">
        <v>26</v>
      </c>
    </row>
    <row r="56" spans="12:33">
      <c r="L56" s="29" t="s">
        <v>10</v>
      </c>
      <c r="M56" s="29">
        <v>4153787</v>
      </c>
    </row>
    <row r="57" spans="12:33">
      <c r="M57" s="29" t="s">
        <v>11</v>
      </c>
      <c r="N57" s="29" t="s">
        <v>30</v>
      </c>
      <c r="O57" s="29" t="s">
        <v>44</v>
      </c>
    </row>
    <row r="58" spans="12:33">
      <c r="M58" s="29" t="s">
        <v>13</v>
      </c>
      <c r="N58" s="29" t="s">
        <v>30</v>
      </c>
      <c r="O58" s="29" t="s">
        <v>14</v>
      </c>
    </row>
    <row r="59" spans="12:33">
      <c r="M59" s="29" t="s">
        <v>15</v>
      </c>
      <c r="N59" s="29" t="s">
        <v>30</v>
      </c>
      <c r="O59" s="29">
        <v>306.85000000000002</v>
      </c>
    </row>
    <row r="60" spans="12:33">
      <c r="M60" s="29" t="s">
        <v>16</v>
      </c>
      <c r="N60" s="29" t="s">
        <v>30</v>
      </c>
      <c r="O60" s="29" t="s">
        <v>52</v>
      </c>
    </row>
    <row r="61" spans="12:33">
      <c r="M61" s="29" t="s">
        <v>8</v>
      </c>
      <c r="N61" s="29" t="s">
        <v>31</v>
      </c>
      <c r="O61" s="29">
        <v>0</v>
      </c>
    </row>
    <row r="62" spans="12:33">
      <c r="M62" s="29" t="s">
        <v>9</v>
      </c>
      <c r="N62" s="29" t="s">
        <v>32</v>
      </c>
      <c r="O62" s="10">
        <v>0.64513888888888882</v>
      </c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</row>
    <row r="63" spans="12:33">
      <c r="M63" s="29" t="s">
        <v>17</v>
      </c>
      <c r="N63" s="29" t="s">
        <v>30</v>
      </c>
      <c r="O63" s="27">
        <v>41365.645138888889</v>
      </c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</row>
    <row r="64" spans="12:33">
      <c r="M64" s="29" t="s">
        <v>18</v>
      </c>
      <c r="N64" s="29" t="s">
        <v>30</v>
      </c>
      <c r="O64" s="29">
        <v>-2.6</v>
      </c>
    </row>
    <row r="65" spans="12:33">
      <c r="M65" s="29" t="s">
        <v>19</v>
      </c>
      <c r="N65" s="29" t="s">
        <v>30</v>
      </c>
      <c r="O65" s="29">
        <v>-0.84</v>
      </c>
    </row>
    <row r="66" spans="12:33">
      <c r="M66" s="29" t="s">
        <v>20</v>
      </c>
      <c r="N66" s="29" t="s">
        <v>30</v>
      </c>
      <c r="O66" s="29" t="s">
        <v>34</v>
      </c>
    </row>
    <row r="67" spans="12:33">
      <c r="L67" s="29" t="s">
        <v>27</v>
      </c>
    </row>
    <row r="68" spans="12:33">
      <c r="L68" s="29" t="s">
        <v>26</v>
      </c>
    </row>
    <row r="69" spans="12:33">
      <c r="L69" s="29" t="s">
        <v>10</v>
      </c>
      <c r="M69" s="29">
        <v>9708440</v>
      </c>
    </row>
    <row r="70" spans="12:33">
      <c r="M70" s="29" t="s">
        <v>11</v>
      </c>
      <c r="N70" s="29" t="s">
        <v>30</v>
      </c>
      <c r="O70" s="29" t="s">
        <v>45</v>
      </c>
    </row>
    <row r="71" spans="12:33">
      <c r="M71" s="29" t="s">
        <v>13</v>
      </c>
      <c r="N71" s="29" t="s">
        <v>30</v>
      </c>
      <c r="O71" s="29" t="s">
        <v>14</v>
      </c>
    </row>
    <row r="72" spans="12:33">
      <c r="M72" s="29" t="s">
        <v>15</v>
      </c>
      <c r="N72" s="29" t="s">
        <v>30</v>
      </c>
      <c r="O72" s="29">
        <v>264.60000000000002</v>
      </c>
    </row>
    <row r="73" spans="12:33">
      <c r="M73" s="29" t="s">
        <v>16</v>
      </c>
      <c r="N73" s="29" t="s">
        <v>30</v>
      </c>
      <c r="O73" s="29" t="s">
        <v>53</v>
      </c>
    </row>
    <row r="74" spans="12:33">
      <c r="M74" s="29" t="s">
        <v>8</v>
      </c>
      <c r="N74" s="29" t="s">
        <v>31</v>
      </c>
      <c r="O74" s="29">
        <v>0</v>
      </c>
    </row>
    <row r="75" spans="12:33">
      <c r="M75" s="29" t="s">
        <v>9</v>
      </c>
      <c r="N75" s="29" t="s">
        <v>32</v>
      </c>
      <c r="O75" s="10">
        <v>0.64583333333333337</v>
      </c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</row>
    <row r="76" spans="12:33">
      <c r="M76" s="29" t="s">
        <v>17</v>
      </c>
      <c r="N76" s="29" t="s">
        <v>30</v>
      </c>
      <c r="O76" s="27">
        <v>41365.645833333336</v>
      </c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</row>
    <row r="77" spans="12:33">
      <c r="M77" s="29" t="s">
        <v>18</v>
      </c>
      <c r="N77" s="29" t="s">
        <v>30</v>
      </c>
      <c r="O77" s="29">
        <v>-4.55</v>
      </c>
    </row>
    <row r="78" spans="12:33">
      <c r="M78" s="29" t="s">
        <v>19</v>
      </c>
      <c r="N78" s="29" t="s">
        <v>30</v>
      </c>
      <c r="O78" s="29">
        <v>-1.69</v>
      </c>
    </row>
    <row r="79" spans="12:33">
      <c r="M79" s="29" t="s">
        <v>20</v>
      </c>
      <c r="N79" s="29" t="s">
        <v>30</v>
      </c>
      <c r="O79" s="29" t="s">
        <v>34</v>
      </c>
    </row>
    <row r="80" spans="12:33">
      <c r="L80" s="29" t="s">
        <v>27</v>
      </c>
    </row>
    <row r="81" spans="12:33">
      <c r="L81" s="29" t="s">
        <v>26</v>
      </c>
    </row>
    <row r="82" spans="12:33">
      <c r="L82" s="29" t="s">
        <v>10</v>
      </c>
      <c r="M82" s="29">
        <v>2042500</v>
      </c>
    </row>
    <row r="83" spans="12:33">
      <c r="M83" s="29" t="s">
        <v>11</v>
      </c>
      <c r="N83" s="29" t="s">
        <v>30</v>
      </c>
      <c r="O83" s="29" t="s">
        <v>46</v>
      </c>
    </row>
    <row r="84" spans="12:33">
      <c r="M84" s="29" t="s">
        <v>13</v>
      </c>
      <c r="N84" s="29" t="s">
        <v>30</v>
      </c>
      <c r="O84" s="29" t="s">
        <v>14</v>
      </c>
    </row>
    <row r="85" spans="12:33">
      <c r="M85" s="29" t="s">
        <v>15</v>
      </c>
      <c r="N85" s="29" t="s">
        <v>30</v>
      </c>
      <c r="O85" s="29">
        <v>1396.45</v>
      </c>
    </row>
    <row r="86" spans="12:33">
      <c r="M86" s="29" t="s">
        <v>16</v>
      </c>
      <c r="N86" s="29" t="s">
        <v>30</v>
      </c>
      <c r="O86" s="29" t="s">
        <v>54</v>
      </c>
    </row>
    <row r="87" spans="12:33">
      <c r="M87" s="29" t="s">
        <v>8</v>
      </c>
      <c r="N87" s="29" t="s">
        <v>31</v>
      </c>
      <c r="O87" s="29">
        <v>0</v>
      </c>
    </row>
    <row r="88" spans="12:33">
      <c r="M88" s="29" t="s">
        <v>9</v>
      </c>
      <c r="N88" s="29" t="s">
        <v>32</v>
      </c>
      <c r="O88" s="10">
        <v>0.64583333333333337</v>
      </c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</row>
    <row r="89" spans="12:33">
      <c r="M89" s="29" t="s">
        <v>17</v>
      </c>
      <c r="N89" s="29" t="s">
        <v>30</v>
      </c>
      <c r="O89" s="27">
        <v>41365.645833333336</v>
      </c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</row>
    <row r="90" spans="12:33">
      <c r="M90" s="29" t="s">
        <v>18</v>
      </c>
      <c r="N90" s="29" t="s">
        <v>30</v>
      </c>
      <c r="O90" s="29">
        <v>30.25</v>
      </c>
    </row>
    <row r="91" spans="12:33">
      <c r="M91" s="29" t="s">
        <v>19</v>
      </c>
      <c r="N91" s="29" t="s">
        <v>30</v>
      </c>
      <c r="O91" s="29">
        <v>2.21</v>
      </c>
    </row>
    <row r="92" spans="12:33">
      <c r="M92" s="29" t="s">
        <v>20</v>
      </c>
      <c r="N92" s="29" t="s">
        <v>30</v>
      </c>
      <c r="O92" s="29" t="s">
        <v>33</v>
      </c>
    </row>
    <row r="93" spans="12:33">
      <c r="L93" s="29" t="s">
        <v>27</v>
      </c>
    </row>
    <row r="94" spans="12:33">
      <c r="L94" s="29" t="s">
        <v>28</v>
      </c>
    </row>
    <row r="95" spans="12:33">
      <c r="L95" s="29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RTG</vt:lpstr>
      <vt:lpstr>Google</vt:lpstr>
      <vt:lpstr>Google!ExternalData_1</vt:lpstr>
      <vt:lpstr>Prices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sapuser</dc:creator>
  <cp:lastModifiedBy>Satish Joshi</cp:lastModifiedBy>
  <dcterms:created xsi:type="dcterms:W3CDTF">2012-05-23T15:32:01Z</dcterms:created>
  <dcterms:modified xsi:type="dcterms:W3CDTF">2014-07-04T10:41:46Z</dcterms:modified>
</cp:coreProperties>
</file>
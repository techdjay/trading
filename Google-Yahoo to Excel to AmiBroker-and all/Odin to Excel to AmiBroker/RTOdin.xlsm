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05" windowWidth="15480" windowHeight="7005"/>
  </bookViews>
  <sheets>
    <sheet name="Odin" sheetId="1" r:id="rId1"/>
  </sheets>
  <externalReferences>
    <externalReference r:id="rId2"/>
    <externalReference r:id="rId3"/>
  </externalReferences>
  <definedNames>
    <definedName name="Prices">#REF!</definedName>
  </definedNames>
  <calcPr calcId="124519"/>
</workbook>
</file>

<file path=xl/calcChain.xml><?xml version="1.0" encoding="utf-8"?>
<calcChain xmlns="http://schemas.openxmlformats.org/spreadsheetml/2006/main">
  <c r="E16" i="1"/>
  <c r="D16"/>
  <c r="C16"/>
  <c r="B16"/>
  <c r="A16"/>
  <c r="E15"/>
  <c r="D15"/>
  <c r="C15"/>
  <c r="B15"/>
  <c r="A15"/>
  <c r="E14"/>
  <c r="D14"/>
  <c r="C14"/>
  <c r="B14"/>
  <c r="A14"/>
  <c r="A13"/>
  <c r="E13"/>
  <c r="D13"/>
  <c r="C13"/>
  <c r="B13"/>
  <c r="C7"/>
  <c r="E12"/>
  <c r="E11"/>
  <c r="E10"/>
  <c r="E9"/>
  <c r="E8"/>
  <c r="E7"/>
  <c r="D12"/>
  <c r="D11"/>
  <c r="D10"/>
  <c r="D9"/>
  <c r="D8"/>
  <c r="D7"/>
  <c r="C12"/>
  <c r="C11"/>
  <c r="C10"/>
  <c r="C9"/>
  <c r="C8"/>
  <c r="B12"/>
  <c r="B11"/>
  <c r="B10"/>
  <c r="B9"/>
  <c r="B8"/>
  <c r="A12"/>
  <c r="A11"/>
  <c r="A10"/>
  <c r="A9"/>
  <c r="A8"/>
  <c r="A7"/>
  <c r="B7"/>
  <c r="B5"/>
</calcChain>
</file>

<file path=xl/comments1.xml><?xml version="1.0" encoding="utf-8"?>
<comments xmlns="http://schemas.openxmlformats.org/spreadsheetml/2006/main">
  <authors>
    <author>sapuser</author>
    <author>Satish Joshi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  <comment ref="B2" authorId="1">
      <text>
        <r>
          <rPr>
            <b/>
            <sz val="11"/>
            <color indexed="10"/>
            <rFont val="Tahoma"/>
            <family val="2"/>
          </rPr>
          <t>Keep this empty if you have not installed RAM Disk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0" background="1">
    <webPr url="http://finance.google.com/finance/info?client=ig&amp;q=NSE:NIFTY,NSE:ACC,NSE:ITC,NSE:HINDUNILVR" htmlTables="1" htmlFormat="all"/>
  </connection>
  <connection id="4" name="Connection11" type="4" refreshedVersion="0" background="1">
    <webPr url="http://finance.google.com/finance/info?client=ig&amp;q=NSE:NIFTY,NSE:ACC,NSE:ITC,NSE:HINDUNILVR" htmlTables="1" htmlFormat="all"/>
  </connection>
  <connection id="5" name="Connection12" type="4" refreshedVersion="0" background="1">
    <webPr url="http://finance.google.com/finance/info?client=ig&amp;q=NSE:NIFTY" htmlTables="1" htmlFormat="all"/>
  </connection>
  <connection id="6" name="Connection13" type="4" refreshedVersion="0" background="1">
    <webPr url="http://finance.google.com/finance/info?client=ig&amp;q=NSE:NIFTY" htmlTables="1" htmlFormat="all"/>
  </connection>
  <connection id="7" name="Connection14" type="4" refreshedVersion="0" background="1">
    <webPr url="http://finance.google.com/finance/info?client=ig&amp;q=NSE:NIFTY" htmlTables="1" htmlFormat="all"/>
  </connection>
  <connection id="8" name="Connection15" type="4" refreshedVersion="0" background="1">
    <webPr url="http://finance.google.com/finance/info?client=ig&amp;q=NSE:NIFTY" htmlTables="1" htmlFormat="all"/>
  </connection>
  <connection id="9" name="Connection2" type="4" refreshedVersion="3" background="1">
    <webPr xl2000="1" url="http://finance.google.com/finance/info?client=ig&amp;q=NSE:NIFTY,NSE:ACC,NSE:ITC,NSE:HINDUNILVR," htmlFormat="all"/>
  </connection>
  <connection id="10" name="Connection3" type="4" refreshedVersion="3" background="1">
    <webPr xl2000="1" url="http://finance.google.com/finance/info?client=ig&amp;q=NSE:NIFTY,NSE:ACC,NSE:ITC,NSE:HINDUNILVR," htmlFormat="all"/>
  </connection>
  <connection id="11" name="Connection4" type="4" refreshedVersion="3" background="1">
    <webPr xl2000="1" url="http://finance.google.com/finance/info?client=ig&amp;q=NSE:NIFTY,NSE:ACC,NSE:ITC,NSE:HINDUNILVR," htmlFormat="all"/>
  </connection>
  <connection id="12" name="Connection5" type="4" refreshedVersion="0" background="1">
    <webPr url="http://finance.google.com/finance/info?client=ig&amp;q=NSE:NIFTY,NSE:ACC,NSE:ITC,NSE:HINDUNILVR," htmlTables="1" htmlFormat="all"/>
  </connection>
  <connection id="13" name="Connection6" type="4" refreshedVersion="0" background="1">
    <webPr url="http://finance.google.com/finance/info?client=ig&amp;q=NSE:NIFTY,NSE:ACC,NSE:ITC,NSE:HINDUNILVR," htmlTables="1" htmlFormat="all"/>
  </connection>
  <connection id="14" name="Connection7" type="4" refreshedVersion="3" background="1">
    <webPr xl2000="1" url="http://finance.google.com/finance/info?client=ig&amp;q=NSE:NIFTY,NSE:ACC,NSE:ITC,NSE:HINDUNILVR," htmlFormat="all"/>
  </connection>
  <connection id="15" name="Connection8" type="4" refreshedVersion="3" background="1">
    <webPr xl2000="1" url="http://finance.google.com/finance/info?client=ig&amp;q=NSE:NIFTY,NSE:ACC,NSE:ITC,NSE:HINDUNILVR," htmlFormat="all"/>
  </connection>
  <connection id="16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<sst xmlns="http://schemas.openxmlformats.org/spreadsheetml/2006/main" count="15" uniqueCount="15">
  <si>
    <t>AmiBroker Database path</t>
  </si>
  <si>
    <t>Date</t>
  </si>
  <si>
    <t>Trading Symbol</t>
  </si>
  <si>
    <t>Last Trade Time</t>
  </si>
  <si>
    <t>Last Traded Price</t>
  </si>
  <si>
    <t>Symbol</t>
  </si>
  <si>
    <t>Refresh Period</t>
  </si>
  <si>
    <t>Seconds</t>
  </si>
  <si>
    <t>Start</t>
  </si>
  <si>
    <t>End</t>
  </si>
  <si>
    <t>Exchange</t>
  </si>
  <si>
    <t xml:space="preserve">Volume </t>
  </si>
  <si>
    <t>Open Interest/Value</t>
  </si>
  <si>
    <t>H:\Amibroker\test</t>
  </si>
  <si>
    <t>RAMDisk Path e.g. R: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</si>
</sst>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sz val="10"/>
      <name val="Arial Black"/>
      <family val="2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11"/>
      <color indexed="1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10"/>
      </top>
      <bottom/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0" fillId="0" borderId="0" xfId="0"/>
    <xf numFmtId="14" fontId="0" fillId="3" borderId="0" xfId="0" applyNumberFormat="1" applyFill="1"/>
    <xf numFmtId="0" fontId="0" fillId="2" borderId="0" xfId="0" applyFill="1"/>
    <xf numFmtId="0" fontId="0" fillId="4" borderId="0" xfId="0" applyFill="1"/>
    <xf numFmtId="0" fontId="1" fillId="2" borderId="1" xfId="0" applyFont="1" applyFill="1" applyBorder="1"/>
    <xf numFmtId="0" fontId="0" fillId="0" borderId="0" xfId="0" applyFill="1"/>
    <xf numFmtId="0" fontId="3" fillId="3" borderId="0" xfId="0" applyFont="1" applyFill="1"/>
    <xf numFmtId="14" fontId="3" fillId="3" borderId="0" xfId="0" applyNumberFormat="1" applyFont="1" applyFill="1"/>
    <xf numFmtId="0" fontId="3" fillId="0" borderId="0" xfId="0" applyFont="1" applyFill="1" applyAlignment="1">
      <alignment horizontal="center" vertical="top" wrapText="1"/>
    </xf>
    <xf numFmtId="21" fontId="0" fillId="2" borderId="0" xfId="0" applyNumberFormat="1" applyFill="1"/>
    <xf numFmtId="0" fontId="0" fillId="0" borderId="0" xfId="0"/>
    <xf numFmtId="0" fontId="5" fillId="3" borderId="2" xfId="1" applyFont="1" applyFill="1" applyBorder="1" applyAlignment="1">
      <alignment vertical="top"/>
    </xf>
    <xf numFmtId="20" fontId="6" fillId="2" borderId="0" xfId="0" applyNumberFormat="1" applyFont="1" applyFill="1"/>
    <xf numFmtId="21" fontId="0" fillId="0" borderId="0" xfId="0" applyNumberFormat="1"/>
    <xf numFmtId="0" fontId="0" fillId="0" borderId="0" xfId="0" quotePrefix="1"/>
    <xf numFmtId="0" fontId="0" fillId="5" borderId="0" xfId="0" applyFill="1"/>
    <xf numFmtId="14" fontId="0" fillId="4" borderId="0" xfId="0" applyNumberFormat="1" applyFill="1"/>
    <xf numFmtId="0" fontId="0" fillId="6" borderId="0" xfId="0" applyFill="1"/>
  </cellXfs>
  <cellStyles count="2">
    <cellStyle name="Normal" xfId="0" builtinId="0"/>
    <cellStyle name="Normal 3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Caption" ax:value="Stop RT Data"/>
  <ax:ocxPr ax:name="Size" ax:value="5292;1032"/>
  <ax:ocxPr ax:name="FontName" ax:value="Century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DIN/Diet/Arbitrag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rbitrag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>
        <row r="3">
          <cell r="B3" t="str">
            <v xml:space="preserve">  ALBK  31JAN2013  </v>
          </cell>
        </row>
        <row r="4">
          <cell r="B4" t="str">
            <v xml:space="preserve">  AXISBANK  31JAN2013  </v>
          </cell>
        </row>
        <row r="5">
          <cell r="B5" t="str">
            <v xml:space="preserve">  SBIN  31JAN2013  </v>
          </cell>
        </row>
        <row r="6">
          <cell r="B6" t="str">
            <v xml:space="preserve">  ALBK  31JAN2013  </v>
          </cell>
        </row>
        <row r="7">
          <cell r="B7" t="str">
            <v xml:space="preserve">  AXISBANK  31JAN2013  </v>
          </cell>
        </row>
        <row r="8">
          <cell r="B8" t="str">
            <v xml:space="preserve">  SBIN  31JAN2013  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">
          <cell r="L3">
            <v>175.65</v>
          </cell>
          <cell r="M3">
            <v>3518</v>
          </cell>
          <cell r="N3">
            <v>6079.46</v>
          </cell>
        </row>
        <row r="4">
          <cell r="L4">
            <v>1487.8</v>
          </cell>
          <cell r="M4">
            <v>6898.5</v>
          </cell>
          <cell r="N4">
            <v>101323.1</v>
          </cell>
        </row>
        <row r="5">
          <cell r="L5">
            <v>2520.85</v>
          </cell>
          <cell r="M5">
            <v>6471.25</v>
          </cell>
          <cell r="N5">
            <v>162370.14000000001</v>
          </cell>
        </row>
        <row r="6">
          <cell r="L6">
            <v>169.2</v>
          </cell>
          <cell r="M6">
            <v>7230</v>
          </cell>
          <cell r="N6">
            <v>12466.69</v>
          </cell>
        </row>
        <row r="7">
          <cell r="L7">
            <v>1472.2</v>
          </cell>
          <cell r="M7">
            <v>9162.5</v>
          </cell>
          <cell r="N7">
            <v>134805.10999999999</v>
          </cell>
        </row>
        <row r="8">
          <cell r="L8">
            <v>2460.9499999999998</v>
          </cell>
          <cell r="M8">
            <v>10886.875</v>
          </cell>
          <cell r="N8">
            <v>271816.96999999997</v>
          </cell>
        </row>
        <row r="47">
          <cell r="B47" t="str">
            <v>SUNPHARMA  EQ</v>
          </cell>
          <cell r="L47">
            <v>709.75</v>
          </cell>
          <cell r="M47">
            <v>687.76199999999994</v>
          </cell>
          <cell r="N47">
            <v>4875.34</v>
          </cell>
        </row>
        <row r="48">
          <cell r="B48" t="str">
            <v>TATAMOTORS  EQ</v>
          </cell>
          <cell r="L48">
            <v>313.05</v>
          </cell>
          <cell r="M48">
            <v>7207.8329999999996</v>
          </cell>
          <cell r="N48">
            <v>22553.31</v>
          </cell>
        </row>
        <row r="49">
          <cell r="B49" t="str">
            <v>TATAPOWER  EQ</v>
          </cell>
          <cell r="L49">
            <v>110</v>
          </cell>
          <cell r="M49">
            <v>2718.3009999999999</v>
          </cell>
          <cell r="N49">
            <v>2952.62</v>
          </cell>
        </row>
        <row r="50">
          <cell r="B50" t="str">
            <v>TATASTEEL  EQ</v>
          </cell>
          <cell r="L50">
            <v>407.55</v>
          </cell>
          <cell r="M50">
            <v>3093.1309999999999</v>
          </cell>
          <cell r="N50">
            <v>12619.67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63"/>
  <sheetViews>
    <sheetView tabSelected="1" workbookViewId="0">
      <selection activeCell="A7" sqref="A7"/>
    </sheetView>
  </sheetViews>
  <sheetFormatPr defaultRowHeight="15"/>
  <cols>
    <col min="1" max="1" width="23.85546875" bestFit="1" customWidth="1"/>
    <col min="2" max="2" width="14.5703125" customWidth="1"/>
    <col min="3" max="3" width="16" bestFit="1" customWidth="1"/>
    <col min="4" max="4" width="10" bestFit="1" customWidth="1"/>
    <col min="5" max="5" width="19.5703125" bestFit="1" customWidth="1"/>
    <col min="6" max="6" width="7.5703125" bestFit="1" customWidth="1"/>
    <col min="7" max="7" width="9.85546875" style="16" customWidth="1"/>
    <col min="10" max="10" width="11.5703125" bestFit="1" customWidth="1"/>
  </cols>
  <sheetData>
    <row r="1" spans="1:12" ht="15.75" customHeight="1">
      <c r="A1" s="2" t="s">
        <v>0</v>
      </c>
      <c r="B1" s="3" t="s">
        <v>13</v>
      </c>
      <c r="C1" s="3"/>
      <c r="E1" s="1"/>
      <c r="F1" s="1"/>
    </row>
    <row r="2" spans="1:12" ht="15.75" thickBot="1">
      <c r="A2" s="17" t="s">
        <v>14</v>
      </c>
      <c r="B2" s="18"/>
      <c r="C2" s="9"/>
      <c r="E2" s="1"/>
      <c r="F2" s="1"/>
    </row>
    <row r="3" spans="1:12" ht="15.75" customHeight="1" thickTop="1" thickBot="1">
      <c r="A3" s="4" t="s">
        <v>6</v>
      </c>
      <c r="B3" s="10">
        <v>3.4722222222222222E-5</v>
      </c>
      <c r="C3" s="9" t="s">
        <v>7</v>
      </c>
      <c r="E3" s="1"/>
      <c r="F3" s="1"/>
      <c r="J3" s="12" t="s">
        <v>10</v>
      </c>
      <c r="K3" s="12" t="s">
        <v>8</v>
      </c>
      <c r="L3" s="13">
        <v>0.38541666666666669</v>
      </c>
    </row>
    <row r="4" spans="1:12" ht="15.75" thickTop="1">
      <c r="B4" s="6"/>
      <c r="C4" s="9"/>
      <c r="D4" s="1"/>
      <c r="E4" s="1"/>
      <c r="F4" s="1"/>
      <c r="J4" s="11"/>
      <c r="K4" s="12" t="s">
        <v>9</v>
      </c>
      <c r="L4" s="13">
        <v>0.64583333333333337</v>
      </c>
    </row>
    <row r="5" spans="1:12">
      <c r="A5" s="7" t="s">
        <v>1</v>
      </c>
      <c r="B5" s="8">
        <f ca="1">TODAY()</f>
        <v>43388</v>
      </c>
      <c r="C5" s="1"/>
      <c r="D5" s="1"/>
      <c r="E5" s="1"/>
      <c r="F5" s="1"/>
    </row>
    <row r="6" spans="1:12">
      <c r="A6" s="5" t="s">
        <v>2</v>
      </c>
      <c r="B6" s="5" t="s">
        <v>3</v>
      </c>
      <c r="C6" s="5" t="s">
        <v>4</v>
      </c>
      <c r="D6" s="5" t="s">
        <v>11</v>
      </c>
      <c r="E6" s="5" t="s">
        <v>12</v>
      </c>
      <c r="F6" s="5" t="s">
        <v>5</v>
      </c>
    </row>
    <row r="7" spans="1:12">
      <c r="A7" t="str">
        <f>TRIM([1]Sheet1!B3)</f>
        <v>ALBK 31JAN2013</v>
      </c>
      <c r="B7" s="14" t="str">
        <f ca="1">TEXT(NOW(), "hh:mm:ss")</f>
        <v>11:10:11</v>
      </c>
      <c r="C7" s="15">
        <f>[2]Sheet1!L3</f>
        <v>175.65</v>
      </c>
      <c r="D7" s="15">
        <f>[2]Sheet1!M3</f>
        <v>3518</v>
      </c>
      <c r="E7" s="15">
        <f>[2]Sheet1!N3</f>
        <v>6079.46</v>
      </c>
    </row>
    <row r="8" spans="1:12">
      <c r="A8" s="11" t="str">
        <f>TRIM([1]Sheet1!B4)</f>
        <v>AXISBANK 31JAN2013</v>
      </c>
      <c r="B8" s="14" t="str">
        <f t="shared" ref="B8:B16" ca="1" si="0">TEXT(NOW(), "hh:mm:ss")</f>
        <v>11:10:11</v>
      </c>
      <c r="C8" s="15">
        <f>[2]Sheet1!L4</f>
        <v>1487.8</v>
      </c>
      <c r="D8" s="15">
        <f>[2]Sheet1!M4</f>
        <v>6898.5</v>
      </c>
      <c r="E8" s="15">
        <f>[2]Sheet1!N4</f>
        <v>101323.1</v>
      </c>
    </row>
    <row r="9" spans="1:12">
      <c r="A9" s="11" t="str">
        <f>TRIM([1]Sheet1!B5)</f>
        <v>SBIN 31JAN2013</v>
      </c>
      <c r="B9" s="14" t="str">
        <f t="shared" ca="1" si="0"/>
        <v>11:10:11</v>
      </c>
      <c r="C9" s="15">
        <f>[2]Sheet1!L5</f>
        <v>2520.85</v>
      </c>
      <c r="D9" s="15">
        <f>[2]Sheet1!M5</f>
        <v>6471.25</v>
      </c>
      <c r="E9" s="15">
        <f>[2]Sheet1!N5</f>
        <v>162370.14000000001</v>
      </c>
    </row>
    <row r="10" spans="1:12">
      <c r="A10" s="11" t="str">
        <f>TRIM([1]Sheet1!B6)</f>
        <v>ALBK 31JAN2013</v>
      </c>
      <c r="B10" s="14" t="str">
        <f t="shared" ca="1" si="0"/>
        <v>11:10:11</v>
      </c>
      <c r="C10" s="15">
        <f>[2]Sheet1!L6</f>
        <v>169.2</v>
      </c>
      <c r="D10" s="15">
        <f>[2]Sheet1!M6</f>
        <v>7230</v>
      </c>
      <c r="E10" s="15">
        <f>[2]Sheet1!N6</f>
        <v>12466.69</v>
      </c>
    </row>
    <row r="11" spans="1:12">
      <c r="A11" s="11" t="str">
        <f>TRIM([1]Sheet1!B7)</f>
        <v>AXISBANK 31JAN2013</v>
      </c>
      <c r="B11" s="14" t="str">
        <f t="shared" ca="1" si="0"/>
        <v>11:10:11</v>
      </c>
      <c r="C11" s="15">
        <f>[2]Sheet1!L7</f>
        <v>1472.2</v>
      </c>
      <c r="D11" s="15">
        <f>[2]Sheet1!M7</f>
        <v>9162.5</v>
      </c>
      <c r="E11" s="15">
        <f>[2]Sheet1!N7</f>
        <v>134805.10999999999</v>
      </c>
    </row>
    <row r="12" spans="1:12">
      <c r="A12" s="11" t="str">
        <f>TRIM([1]Sheet1!B8)</f>
        <v>SBIN 31JAN2013</v>
      </c>
      <c r="B12" s="14" t="str">
        <f t="shared" ca="1" si="0"/>
        <v>11:10:11</v>
      </c>
      <c r="C12" s="15">
        <f>[2]Sheet1!L8</f>
        <v>2460.9499999999998</v>
      </c>
      <c r="D12" s="15">
        <f>[2]Sheet1!M8</f>
        <v>10886.875</v>
      </c>
      <c r="E12" s="15">
        <f>[2]Sheet1!N8</f>
        <v>271816.96999999997</v>
      </c>
    </row>
    <row r="13" spans="1:12">
      <c r="A13" s="11" t="str">
        <f>[2]Sheet1!B47</f>
        <v>SUNPHARMA  EQ</v>
      </c>
      <c r="B13" s="14" t="str">
        <f t="shared" ca="1" si="0"/>
        <v>11:10:11</v>
      </c>
      <c r="C13" s="15">
        <f>[2]Sheet1!L47</f>
        <v>709.75</v>
      </c>
      <c r="D13" s="15">
        <f>[2]Sheet1!M47</f>
        <v>687.76199999999994</v>
      </c>
      <c r="E13" s="15">
        <f>[2]Sheet1!N47</f>
        <v>4875.34</v>
      </c>
    </row>
    <row r="14" spans="1:12">
      <c r="A14" s="11" t="str">
        <f>[2]Sheet1!B48</f>
        <v>TATAMOTORS  EQ</v>
      </c>
      <c r="B14" s="14" t="str">
        <f t="shared" ca="1" si="0"/>
        <v>11:10:11</v>
      </c>
      <c r="C14" s="15">
        <f>[2]Sheet1!L48</f>
        <v>313.05</v>
      </c>
      <c r="D14" s="15">
        <f>[2]Sheet1!M48</f>
        <v>7207.8329999999996</v>
      </c>
      <c r="E14" s="15">
        <f>[2]Sheet1!N48</f>
        <v>22553.31</v>
      </c>
    </row>
    <row r="15" spans="1:12">
      <c r="A15" s="11" t="str">
        <f>[2]Sheet1!B49</f>
        <v>TATAPOWER  EQ</v>
      </c>
      <c r="B15" s="14" t="str">
        <f t="shared" ca="1" si="0"/>
        <v>11:10:11</v>
      </c>
      <c r="C15" s="15">
        <f>[2]Sheet1!L49</f>
        <v>110</v>
      </c>
      <c r="D15" s="15">
        <f>[2]Sheet1!M49</f>
        <v>2718.3009999999999</v>
      </c>
      <c r="E15" s="15">
        <f>[2]Sheet1!N49</f>
        <v>2952.62</v>
      </c>
    </row>
    <row r="16" spans="1:12">
      <c r="A16" s="11" t="str">
        <f>[2]Sheet1!B50</f>
        <v>TATASTEEL  EQ</v>
      </c>
      <c r="B16" s="14" t="str">
        <f t="shared" ca="1" si="0"/>
        <v>11:10:11</v>
      </c>
      <c r="C16" s="15">
        <f>[2]Sheet1!L50</f>
        <v>407.55</v>
      </c>
      <c r="D16" s="15">
        <f>[2]Sheet1!M50</f>
        <v>3093.1309999999999</v>
      </c>
      <c r="E16" s="15">
        <f>[2]Sheet1!N50</f>
        <v>12619.67</v>
      </c>
    </row>
    <row r="17" spans="1:6">
      <c r="A17" s="11"/>
      <c r="B17" s="14"/>
      <c r="C17" s="15"/>
      <c r="D17" s="15"/>
      <c r="E17" s="11"/>
      <c r="F17" s="1"/>
    </row>
    <row r="18" spans="1:6">
      <c r="A18" s="11"/>
      <c r="B18" s="14"/>
      <c r="C18" s="15"/>
      <c r="D18" s="15"/>
      <c r="E18" s="11"/>
      <c r="F18" s="1"/>
    </row>
    <row r="19" spans="1:6">
      <c r="A19" s="11"/>
      <c r="B19" s="14"/>
      <c r="C19" s="15"/>
      <c r="D19" s="15"/>
      <c r="E19" s="11"/>
      <c r="F19" s="1"/>
    </row>
    <row r="20" spans="1:6">
      <c r="A20" s="11"/>
      <c r="B20" s="14"/>
      <c r="C20" s="15"/>
      <c r="D20" s="15"/>
      <c r="E20" s="11"/>
    </row>
    <row r="21" spans="1:6">
      <c r="A21" s="11"/>
      <c r="B21" s="14"/>
      <c r="C21" s="15"/>
      <c r="D21" s="15"/>
      <c r="E21" s="11"/>
    </row>
    <row r="22" spans="1:6">
      <c r="A22" s="11"/>
      <c r="B22" s="14"/>
      <c r="C22" s="15"/>
      <c r="D22" s="15"/>
      <c r="E22" s="11"/>
    </row>
    <row r="23" spans="1:6">
      <c r="A23" s="11"/>
      <c r="B23" s="14"/>
      <c r="C23" s="15"/>
      <c r="D23" s="15"/>
      <c r="E23" s="11"/>
    </row>
    <row r="24" spans="1:6">
      <c r="A24" s="11"/>
      <c r="B24" s="14"/>
      <c r="C24" s="15"/>
      <c r="D24" s="15"/>
      <c r="E24" s="11"/>
    </row>
    <row r="25" spans="1:6">
      <c r="A25" s="11"/>
      <c r="B25" s="14"/>
      <c r="C25" s="15"/>
      <c r="D25" s="15"/>
      <c r="E25" s="11"/>
    </row>
    <row r="26" spans="1:6">
      <c r="A26" s="11"/>
      <c r="B26" s="14"/>
      <c r="C26" s="15"/>
      <c r="D26" s="15"/>
      <c r="E26" s="11"/>
    </row>
    <row r="27" spans="1:6">
      <c r="A27" s="11"/>
      <c r="B27" s="14"/>
      <c r="C27" s="15"/>
      <c r="D27" s="15"/>
      <c r="E27" s="11"/>
    </row>
    <row r="28" spans="1:6">
      <c r="A28" s="11"/>
      <c r="B28" s="14"/>
      <c r="C28" s="15"/>
      <c r="D28" s="15"/>
      <c r="E28" s="11"/>
    </row>
    <row r="29" spans="1:6">
      <c r="A29" s="11"/>
      <c r="B29" s="14"/>
      <c r="C29" s="15"/>
      <c r="D29" s="15"/>
      <c r="E29" s="11"/>
    </row>
    <row r="30" spans="1:6">
      <c r="A30" s="11"/>
      <c r="B30" s="14"/>
      <c r="C30" s="15"/>
      <c r="D30" s="15"/>
      <c r="E30" s="11"/>
    </row>
    <row r="31" spans="1:6">
      <c r="A31" s="11"/>
      <c r="B31" s="14"/>
      <c r="C31" s="15"/>
      <c r="D31" s="15"/>
      <c r="E31" s="11"/>
    </row>
    <row r="32" spans="1:6">
      <c r="A32" s="11"/>
      <c r="B32" s="14"/>
      <c r="C32" s="15"/>
      <c r="D32" s="15"/>
      <c r="E32" s="11"/>
    </row>
    <row r="33" spans="1:5">
      <c r="A33" s="11"/>
      <c r="B33" s="14"/>
      <c r="C33" s="15"/>
      <c r="D33" s="15"/>
      <c r="E33" s="11"/>
    </row>
    <row r="34" spans="1:5">
      <c r="A34" s="11"/>
      <c r="B34" s="14"/>
      <c r="C34" s="15"/>
      <c r="D34" s="15"/>
      <c r="E34" s="11"/>
    </row>
    <row r="35" spans="1:5">
      <c r="A35" s="11"/>
      <c r="B35" s="14"/>
      <c r="C35" s="15"/>
      <c r="D35" s="15"/>
      <c r="E35" s="11"/>
    </row>
    <row r="36" spans="1:5">
      <c r="A36" s="11"/>
      <c r="B36" s="14"/>
      <c r="C36" s="15"/>
      <c r="D36" s="15"/>
      <c r="E36" s="11"/>
    </row>
    <row r="37" spans="1:5">
      <c r="A37" s="11"/>
      <c r="B37" s="14"/>
      <c r="C37" s="15"/>
      <c r="D37" s="15"/>
      <c r="E37" s="11"/>
    </row>
    <row r="38" spans="1:5">
      <c r="A38" s="11"/>
      <c r="B38" s="14"/>
      <c r="C38" s="15"/>
      <c r="D38" s="15"/>
      <c r="E38" s="11"/>
    </row>
    <row r="39" spans="1:5">
      <c r="A39" s="11"/>
      <c r="B39" s="14"/>
      <c r="C39" s="15"/>
      <c r="D39" s="15"/>
      <c r="E39" s="11"/>
    </row>
    <row r="40" spans="1:5">
      <c r="A40" s="11"/>
      <c r="B40" s="14"/>
      <c r="C40" s="15"/>
      <c r="D40" s="15"/>
      <c r="E40" s="11"/>
    </row>
    <row r="41" spans="1:5">
      <c r="A41" s="11"/>
      <c r="B41" s="14"/>
      <c r="C41" s="15"/>
      <c r="D41" s="15"/>
      <c r="E41" s="11"/>
    </row>
    <row r="42" spans="1:5">
      <c r="A42" s="11"/>
      <c r="B42" s="14"/>
      <c r="C42" s="15"/>
      <c r="D42" s="15"/>
      <c r="E42" s="11"/>
    </row>
    <row r="43" spans="1:5">
      <c r="A43" s="11"/>
      <c r="B43" s="14"/>
      <c r="C43" s="15"/>
      <c r="D43" s="15"/>
      <c r="E43" s="11"/>
    </row>
    <row r="44" spans="1:5">
      <c r="A44" s="11"/>
      <c r="B44" s="14"/>
      <c r="C44" s="15"/>
      <c r="D44" s="15"/>
      <c r="E44" s="11"/>
    </row>
    <row r="45" spans="1:5">
      <c r="A45" s="11"/>
      <c r="B45" s="14"/>
      <c r="C45" s="15"/>
      <c r="D45" s="15"/>
      <c r="E45" s="11"/>
    </row>
    <row r="46" spans="1:5">
      <c r="A46" s="11"/>
      <c r="B46" s="14"/>
      <c r="C46" s="15"/>
      <c r="D46" s="15"/>
      <c r="E46" s="11"/>
    </row>
    <row r="47" spans="1:5">
      <c r="A47" s="11"/>
      <c r="B47" s="14"/>
      <c r="C47" s="15"/>
      <c r="D47" s="15"/>
      <c r="E47" s="11"/>
    </row>
    <row r="48" spans="1:5">
      <c r="A48" s="11"/>
      <c r="B48" s="14"/>
      <c r="C48" s="15"/>
      <c r="D48" s="15"/>
      <c r="E48" s="11"/>
    </row>
    <row r="49" spans="1:5">
      <c r="A49" s="11"/>
      <c r="B49" s="14"/>
      <c r="C49" s="15"/>
      <c r="D49" s="15"/>
      <c r="E49" s="11"/>
    </row>
    <row r="50" spans="1:5">
      <c r="A50" s="11"/>
      <c r="B50" s="14"/>
      <c r="C50" s="15"/>
      <c r="D50" s="15"/>
      <c r="E50" s="11"/>
    </row>
    <row r="51" spans="1:5">
      <c r="A51" s="11"/>
      <c r="B51" s="14"/>
      <c r="C51" s="15"/>
      <c r="D51" s="15"/>
      <c r="E51" s="11"/>
    </row>
    <row r="52" spans="1:5">
      <c r="A52" s="11"/>
      <c r="B52" s="14"/>
      <c r="C52" s="15"/>
      <c r="D52" s="15"/>
      <c r="E52" s="11"/>
    </row>
    <row r="53" spans="1:5">
      <c r="A53" s="11"/>
      <c r="B53" s="14"/>
      <c r="C53" s="15"/>
      <c r="D53" s="15"/>
      <c r="E53" s="11"/>
    </row>
    <row r="54" spans="1:5">
      <c r="A54" s="11"/>
      <c r="B54" s="14"/>
      <c r="C54" s="15"/>
      <c r="D54" s="15"/>
      <c r="E54" s="11"/>
    </row>
    <row r="55" spans="1:5">
      <c r="A55" s="11"/>
      <c r="B55" s="14"/>
      <c r="C55" s="15"/>
      <c r="D55" s="15"/>
      <c r="E55" s="11"/>
    </row>
    <row r="56" spans="1:5">
      <c r="A56" s="11"/>
      <c r="B56" s="14"/>
      <c r="C56" s="15"/>
      <c r="D56" s="15"/>
      <c r="E56" s="11"/>
    </row>
    <row r="57" spans="1:5">
      <c r="A57" s="11"/>
    </row>
    <row r="58" spans="1:5">
      <c r="A58" s="11"/>
    </row>
    <row r="59" spans="1:5">
      <c r="A59" s="11"/>
    </row>
    <row r="60" spans="1:5">
      <c r="A60" s="11"/>
    </row>
    <row r="61" spans="1:5">
      <c r="A61" s="11"/>
    </row>
    <row r="62" spans="1:5">
      <c r="A62" s="11"/>
    </row>
    <row r="63" spans="1:5">
      <c r="A63" s="11"/>
    </row>
  </sheetData>
  <pageMargins left="0.7" right="0.7" top="0.75" bottom="0.75" header="0.3" footer="0.3"/>
  <pageSetup orientation="portrait" r:id="rId1"/>
  <legacyDrawing r:id="rId2"/>
  <controls>
    <control shapeId="1030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Odin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sapuser</dc:creator>
  <cp:lastModifiedBy>Satish Joshi</cp:lastModifiedBy>
  <dcterms:created xsi:type="dcterms:W3CDTF">2012-05-23T15:32:01Z</dcterms:created>
  <dcterms:modified xsi:type="dcterms:W3CDTF">2018-10-15T07:17:50Z</dcterms:modified>
</cp:coreProperties>
</file>
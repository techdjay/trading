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y\Desktop\Trading\Google-Yahoo to Excel to AmiBroker-and all\Trade Tiger to Excel to AmiBroker\"/>
    </mc:Choice>
  </mc:AlternateContent>
  <xr:revisionPtr revIDLastSave="0" documentId="13_ncr:1_{1B9E2A49-3C73-435C-B53D-754F8409C4BB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Streaming_Stock_Watch" sheetId="2" r:id="rId1"/>
    <sheet name="WorkArea" sheetId="3" r:id="rId2"/>
    <sheet name="Sheet1" sheetId="1" r:id="rId3"/>
  </sheets>
  <calcPr calcId="181029"/>
</workbook>
</file>

<file path=xl/calcChain.xml><?xml version="1.0" encoding="utf-8"?>
<calcChain xmlns="http://schemas.openxmlformats.org/spreadsheetml/2006/main">
  <c r="E217" i="3" l="1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G231" i="2"/>
  <c r="B231" i="2" s="1"/>
  <c r="G230" i="2"/>
  <c r="B230" i="2" s="1"/>
  <c r="G229" i="2"/>
  <c r="B229" i="2" s="1"/>
  <c r="G228" i="2"/>
  <c r="B228" i="2" s="1"/>
  <c r="G227" i="2"/>
  <c r="B227" i="2" s="1"/>
  <c r="G226" i="2"/>
  <c r="B226" i="2" s="1"/>
  <c r="G225" i="2"/>
  <c r="B225" i="2" s="1"/>
  <c r="G224" i="2"/>
  <c r="B224" i="2" s="1"/>
  <c r="G223" i="2"/>
  <c r="B223" i="2" s="1"/>
  <c r="G222" i="2"/>
  <c r="B222" i="2" s="1"/>
  <c r="G221" i="2"/>
  <c r="B221" i="2" s="1"/>
  <c r="G220" i="2"/>
  <c r="B220" i="2" s="1"/>
  <c r="G219" i="2"/>
  <c r="B219" i="2" s="1"/>
  <c r="G218" i="2"/>
  <c r="B218" i="2" s="1"/>
  <c r="G217" i="2"/>
  <c r="B217" i="2" s="1"/>
  <c r="C217" i="2"/>
  <c r="D217" i="2"/>
  <c r="C218" i="2"/>
  <c r="D218" i="2"/>
  <c r="C219" i="2"/>
  <c r="D219" i="2"/>
  <c r="C220" i="2"/>
  <c r="D220" i="2"/>
  <c r="C221" i="2"/>
  <c r="D221" i="2"/>
  <c r="C222" i="2"/>
  <c r="D222" i="2"/>
  <c r="C223" i="2"/>
  <c r="D223" i="2"/>
  <c r="C224" i="2"/>
  <c r="D224" i="2"/>
  <c r="C225" i="2"/>
  <c r="D225" i="2"/>
  <c r="C226" i="2"/>
  <c r="D226" i="2"/>
  <c r="C227" i="2"/>
  <c r="D227" i="2"/>
  <c r="C228" i="2"/>
  <c r="D228" i="2"/>
  <c r="C229" i="2"/>
  <c r="D229" i="2"/>
  <c r="C230" i="2"/>
  <c r="D230" i="2"/>
  <c r="C231" i="2"/>
  <c r="D231" i="2"/>
  <c r="G9" i="2"/>
  <c r="B9" i="2" s="1"/>
  <c r="C226" i="3" l="1"/>
  <c r="C220" i="3"/>
  <c r="B218" i="3"/>
  <c r="B230" i="3"/>
  <c r="D229" i="3"/>
  <c r="D223" i="3"/>
  <c r="B227" i="3"/>
  <c r="C230" i="3"/>
  <c r="C228" i="3"/>
  <c r="C224" i="3"/>
  <c r="C222" i="3"/>
  <c r="C218" i="3"/>
  <c r="B222" i="3"/>
  <c r="B226" i="3"/>
  <c r="D231" i="3"/>
  <c r="D227" i="3"/>
  <c r="D225" i="3"/>
  <c r="D221" i="3"/>
  <c r="D219" i="3"/>
  <c r="D217" i="3"/>
  <c r="B219" i="3"/>
  <c r="B223" i="3"/>
  <c r="B231" i="3"/>
  <c r="C231" i="3"/>
  <c r="C229" i="3"/>
  <c r="C227" i="3"/>
  <c r="C225" i="3"/>
  <c r="C223" i="3"/>
  <c r="C221" i="3"/>
  <c r="C219" i="3"/>
  <c r="C217" i="3"/>
  <c r="B220" i="3"/>
  <c r="B224" i="3"/>
  <c r="B228" i="3"/>
  <c r="D230" i="3"/>
  <c r="D228" i="3"/>
  <c r="D226" i="3"/>
  <c r="D224" i="3"/>
  <c r="D222" i="3"/>
  <c r="D220" i="3"/>
  <c r="D218" i="3"/>
  <c r="B217" i="3"/>
  <c r="B221" i="3"/>
  <c r="B225" i="3"/>
  <c r="B22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A212" i="3" l="1"/>
  <c r="A213" i="3"/>
  <c r="A214" i="3"/>
  <c r="A215" i="3"/>
  <c r="A216" i="3"/>
  <c r="A209" i="3"/>
  <c r="A210" i="3"/>
  <c r="A211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52" i="3"/>
  <c r="A53" i="3"/>
  <c r="B9" i="3" l="1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G216" i="2"/>
  <c r="B216" i="2" s="1"/>
  <c r="G215" i="2"/>
  <c r="B215" i="2" s="1"/>
  <c r="G214" i="2"/>
  <c r="B214" i="2" s="1"/>
  <c r="G213" i="2"/>
  <c r="B213" i="2" s="1"/>
  <c r="G212" i="2"/>
  <c r="B212" i="2" s="1"/>
  <c r="G211" i="2"/>
  <c r="B211" i="2" s="1"/>
  <c r="G210" i="2"/>
  <c r="B210" i="2" s="1"/>
  <c r="G209" i="2"/>
  <c r="B209" i="2" s="1"/>
  <c r="G208" i="2"/>
  <c r="B208" i="2" s="1"/>
  <c r="G207" i="2"/>
  <c r="B207" i="2" s="1"/>
  <c r="G206" i="2"/>
  <c r="B206" i="2" s="1"/>
  <c r="G205" i="2"/>
  <c r="B205" i="2" s="1"/>
  <c r="G204" i="2"/>
  <c r="B204" i="2" s="1"/>
  <c r="G203" i="2"/>
  <c r="B203" i="2" s="1"/>
  <c r="G202" i="2"/>
  <c r="B202" i="2" s="1"/>
  <c r="G201" i="2"/>
  <c r="B201" i="2" s="1"/>
  <c r="G200" i="2"/>
  <c r="B200" i="2" s="1"/>
  <c r="G199" i="2"/>
  <c r="B199" i="2" s="1"/>
  <c r="G198" i="2"/>
  <c r="B198" i="2" s="1"/>
  <c r="G197" i="2"/>
  <c r="B197" i="2" s="1"/>
  <c r="G196" i="2"/>
  <c r="B196" i="2" s="1"/>
  <c r="G195" i="2"/>
  <c r="B195" i="2" s="1"/>
  <c r="G194" i="2"/>
  <c r="B194" i="2" s="1"/>
  <c r="G193" i="2"/>
  <c r="B193" i="2" s="1"/>
  <c r="G192" i="2"/>
  <c r="B192" i="2" s="1"/>
  <c r="G191" i="2"/>
  <c r="B191" i="2" s="1"/>
  <c r="G190" i="2"/>
  <c r="B190" i="2" s="1"/>
  <c r="G189" i="2"/>
  <c r="B189" i="2" s="1"/>
  <c r="G188" i="2"/>
  <c r="B188" i="2" s="1"/>
  <c r="G187" i="2"/>
  <c r="B187" i="2" s="1"/>
  <c r="G186" i="2"/>
  <c r="B186" i="2" s="1"/>
  <c r="G185" i="2"/>
  <c r="B185" i="2" s="1"/>
  <c r="G184" i="2"/>
  <c r="B184" i="2" s="1"/>
  <c r="G183" i="2"/>
  <c r="B183" i="2" s="1"/>
  <c r="G182" i="2"/>
  <c r="B182" i="2" s="1"/>
  <c r="G181" i="2"/>
  <c r="B181" i="2" s="1"/>
  <c r="G180" i="2"/>
  <c r="B180" i="2" s="1"/>
  <c r="G179" i="2"/>
  <c r="B179" i="2" s="1"/>
  <c r="G178" i="2"/>
  <c r="B178" i="2" s="1"/>
  <c r="G177" i="2"/>
  <c r="B177" i="2" s="1"/>
  <c r="G176" i="2"/>
  <c r="B176" i="2" s="1"/>
  <c r="G175" i="2"/>
  <c r="B175" i="2" s="1"/>
  <c r="G174" i="2"/>
  <c r="B174" i="2" s="1"/>
  <c r="G173" i="2"/>
  <c r="B173" i="2" s="1"/>
  <c r="G172" i="2"/>
  <c r="B172" i="2" s="1"/>
  <c r="G171" i="2"/>
  <c r="B171" i="2" s="1"/>
  <c r="G170" i="2"/>
  <c r="B170" i="2" s="1"/>
  <c r="G169" i="2"/>
  <c r="B169" i="2" s="1"/>
  <c r="G168" i="2"/>
  <c r="B168" i="2" s="1"/>
  <c r="G167" i="2"/>
  <c r="B167" i="2" s="1"/>
  <c r="G166" i="2"/>
  <c r="B166" i="2" s="1"/>
  <c r="G165" i="2"/>
  <c r="B165" i="2" s="1"/>
  <c r="G164" i="2"/>
  <c r="B164" i="2" s="1"/>
  <c r="G163" i="2"/>
  <c r="B163" i="2" s="1"/>
  <c r="G162" i="2"/>
  <c r="B162" i="2" s="1"/>
  <c r="G161" i="2"/>
  <c r="B161" i="2" s="1"/>
  <c r="G160" i="2"/>
  <c r="B160" i="2" s="1"/>
  <c r="G159" i="2"/>
  <c r="B159" i="2" s="1"/>
  <c r="G158" i="2"/>
  <c r="B158" i="2" s="1"/>
  <c r="G157" i="2"/>
  <c r="B157" i="2" s="1"/>
  <c r="G156" i="2"/>
  <c r="B156" i="2" s="1"/>
  <c r="G155" i="2"/>
  <c r="B155" i="2" s="1"/>
  <c r="G154" i="2"/>
  <c r="B154" i="2" s="1"/>
  <c r="G153" i="2"/>
  <c r="B153" i="2" s="1"/>
  <c r="G152" i="2"/>
  <c r="B152" i="2" s="1"/>
  <c r="G151" i="2"/>
  <c r="B151" i="2" s="1"/>
  <c r="G150" i="2"/>
  <c r="B150" i="2" s="1"/>
  <c r="G149" i="2"/>
  <c r="B149" i="2" s="1"/>
  <c r="G148" i="2"/>
  <c r="B148" i="2" s="1"/>
  <c r="G147" i="2"/>
  <c r="B147" i="2" s="1"/>
  <c r="G146" i="2"/>
  <c r="B146" i="2" s="1"/>
  <c r="G145" i="2"/>
  <c r="B145" i="2" s="1"/>
  <c r="G144" i="2"/>
  <c r="B144" i="2" s="1"/>
  <c r="G143" i="2"/>
  <c r="B143" i="2" s="1"/>
  <c r="G142" i="2"/>
  <c r="B142" i="2" s="1"/>
  <c r="G141" i="2"/>
  <c r="B141" i="2" s="1"/>
  <c r="G140" i="2"/>
  <c r="B140" i="2" s="1"/>
  <c r="G139" i="2"/>
  <c r="B139" i="2" s="1"/>
  <c r="G138" i="2"/>
  <c r="B138" i="2" s="1"/>
  <c r="G137" i="2"/>
  <c r="B137" i="2" s="1"/>
  <c r="G136" i="2"/>
  <c r="B136" i="2" s="1"/>
  <c r="G135" i="2"/>
  <c r="B135" i="2" s="1"/>
  <c r="G134" i="2"/>
  <c r="B134" i="2" s="1"/>
  <c r="G133" i="2"/>
  <c r="B133" i="2" s="1"/>
  <c r="G132" i="2"/>
  <c r="B132" i="2" s="1"/>
  <c r="G131" i="2"/>
  <c r="B131" i="2" s="1"/>
  <c r="G130" i="2"/>
  <c r="B130" i="2" s="1"/>
  <c r="G129" i="2"/>
  <c r="B129" i="2" s="1"/>
  <c r="G128" i="2"/>
  <c r="B128" i="2" s="1"/>
  <c r="G127" i="2"/>
  <c r="B127" i="2" s="1"/>
  <c r="G126" i="2"/>
  <c r="B126" i="2" s="1"/>
  <c r="G125" i="2"/>
  <c r="B125" i="2" s="1"/>
  <c r="G124" i="2"/>
  <c r="B124" i="2" s="1"/>
  <c r="G123" i="2"/>
  <c r="B123" i="2" s="1"/>
  <c r="G122" i="2"/>
  <c r="B122" i="2" s="1"/>
  <c r="G121" i="2"/>
  <c r="B121" i="2" s="1"/>
  <c r="G120" i="2"/>
  <c r="B120" i="2" s="1"/>
  <c r="G119" i="2"/>
  <c r="B119" i="2" s="1"/>
  <c r="G118" i="2"/>
  <c r="B118" i="2" s="1"/>
  <c r="G117" i="2"/>
  <c r="B117" i="2" s="1"/>
  <c r="G116" i="2"/>
  <c r="B116" i="2" s="1"/>
  <c r="G115" i="2"/>
  <c r="B115" i="2" s="1"/>
  <c r="G114" i="2"/>
  <c r="B114" i="2" s="1"/>
  <c r="G113" i="2"/>
  <c r="B113" i="2" s="1"/>
  <c r="G112" i="2"/>
  <c r="B112" i="2" s="1"/>
  <c r="G111" i="2"/>
  <c r="B111" i="2" s="1"/>
  <c r="G110" i="2"/>
  <c r="B110" i="2" s="1"/>
  <c r="G109" i="2"/>
  <c r="B109" i="2" s="1"/>
  <c r="G108" i="2"/>
  <c r="B108" i="2" s="1"/>
  <c r="G107" i="2"/>
  <c r="B107" i="2" s="1"/>
  <c r="G106" i="2"/>
  <c r="B106" i="2" s="1"/>
  <c r="G105" i="2"/>
  <c r="B105" i="2" s="1"/>
  <c r="G104" i="2"/>
  <c r="B104" i="2" s="1"/>
  <c r="G103" i="2"/>
  <c r="B103" i="2" s="1"/>
  <c r="G102" i="2"/>
  <c r="B102" i="2" s="1"/>
  <c r="G101" i="2"/>
  <c r="B101" i="2" s="1"/>
  <c r="G100" i="2"/>
  <c r="B100" i="2" s="1"/>
  <c r="G99" i="2"/>
  <c r="B99" i="2" s="1"/>
  <c r="G98" i="2"/>
  <c r="B98" i="2" s="1"/>
  <c r="G97" i="2"/>
  <c r="B97" i="2" s="1"/>
  <c r="G96" i="2"/>
  <c r="B96" i="2" s="1"/>
  <c r="G95" i="2"/>
  <c r="B95" i="2" s="1"/>
  <c r="G94" i="2"/>
  <c r="B94" i="2" s="1"/>
  <c r="G93" i="2"/>
  <c r="B93" i="2" s="1"/>
  <c r="G92" i="2"/>
  <c r="B92" i="2" s="1"/>
  <c r="G91" i="2"/>
  <c r="B91" i="2" s="1"/>
  <c r="G90" i="2"/>
  <c r="B90" i="2" s="1"/>
  <c r="G89" i="2"/>
  <c r="B89" i="2" s="1"/>
  <c r="G88" i="2"/>
  <c r="B88" i="2" s="1"/>
  <c r="G87" i="2"/>
  <c r="B87" i="2" s="1"/>
  <c r="G86" i="2"/>
  <c r="B86" i="2" s="1"/>
  <c r="G85" i="2"/>
  <c r="B85" i="2" s="1"/>
  <c r="G84" i="2"/>
  <c r="B84" i="2" s="1"/>
  <c r="G83" i="2"/>
  <c r="B83" i="2" s="1"/>
  <c r="G82" i="2"/>
  <c r="B82" i="2" s="1"/>
  <c r="G81" i="2"/>
  <c r="B81" i="2" s="1"/>
  <c r="G80" i="2"/>
  <c r="B80" i="2" s="1"/>
  <c r="G79" i="2"/>
  <c r="B79" i="2" s="1"/>
  <c r="G78" i="2"/>
  <c r="B78" i="2" s="1"/>
  <c r="G77" i="2"/>
  <c r="B77" i="2" s="1"/>
  <c r="G76" i="2"/>
  <c r="B76" i="2" s="1"/>
  <c r="G75" i="2"/>
  <c r="B75" i="2" s="1"/>
  <c r="G74" i="2"/>
  <c r="B74" i="2" s="1"/>
  <c r="G73" i="2"/>
  <c r="B73" i="2" s="1"/>
  <c r="G72" i="2"/>
  <c r="B72" i="2" s="1"/>
  <c r="G71" i="2"/>
  <c r="B71" i="2" s="1"/>
  <c r="G70" i="2"/>
  <c r="B70" i="2" s="1"/>
  <c r="G69" i="2"/>
  <c r="B69" i="2" s="1"/>
  <c r="G68" i="2"/>
  <c r="B68" i="2" s="1"/>
  <c r="G67" i="2"/>
  <c r="B67" i="2" s="1"/>
  <c r="G66" i="2"/>
  <c r="B66" i="2" s="1"/>
  <c r="G65" i="2"/>
  <c r="B65" i="2" s="1"/>
  <c r="G64" i="2"/>
  <c r="B64" i="2" s="1"/>
  <c r="G63" i="2"/>
  <c r="B63" i="2" s="1"/>
  <c r="G62" i="2"/>
  <c r="B62" i="2" s="1"/>
  <c r="G61" i="2"/>
  <c r="B61" i="2" s="1"/>
  <c r="G60" i="2"/>
  <c r="B60" i="2" s="1"/>
  <c r="G59" i="2"/>
  <c r="B59" i="2" s="1"/>
  <c r="G58" i="2"/>
  <c r="B58" i="2" s="1"/>
  <c r="G57" i="2"/>
  <c r="B57" i="2" s="1"/>
  <c r="G56" i="2"/>
  <c r="B56" i="2" s="1"/>
  <c r="G55" i="2"/>
  <c r="B55" i="2" s="1"/>
  <c r="G54" i="2"/>
  <c r="B54" i="2" s="1"/>
  <c r="G53" i="2"/>
  <c r="B53" i="2" s="1"/>
  <c r="G52" i="2"/>
  <c r="B52" i="2" s="1"/>
  <c r="G51" i="2"/>
  <c r="B51" i="2" s="1"/>
  <c r="G50" i="2"/>
  <c r="B50" i="2" s="1"/>
  <c r="G49" i="2"/>
  <c r="B49" i="2" s="1"/>
  <c r="G48" i="2"/>
  <c r="B48" i="2" s="1"/>
  <c r="G47" i="2"/>
  <c r="B47" i="2" s="1"/>
  <c r="G46" i="2"/>
  <c r="B46" i="2" s="1"/>
  <c r="G45" i="2"/>
  <c r="B45" i="2" s="1"/>
  <c r="G44" i="2"/>
  <c r="B44" i="2" s="1"/>
  <c r="G43" i="2"/>
  <c r="B43" i="2" s="1"/>
  <c r="G42" i="2"/>
  <c r="B42" i="2" s="1"/>
  <c r="G41" i="2"/>
  <c r="B41" i="2" s="1"/>
  <c r="G40" i="2"/>
  <c r="B40" i="2" s="1"/>
  <c r="G39" i="2"/>
  <c r="B39" i="2" s="1"/>
  <c r="G38" i="2"/>
  <c r="B38" i="2" s="1"/>
  <c r="G37" i="2"/>
  <c r="B37" i="2" s="1"/>
  <c r="G36" i="2"/>
  <c r="B36" i="2" s="1"/>
  <c r="G35" i="2"/>
  <c r="B35" i="2" s="1"/>
  <c r="G34" i="2"/>
  <c r="B34" i="2" s="1"/>
  <c r="G33" i="2"/>
  <c r="B33" i="2" s="1"/>
  <c r="G32" i="2"/>
  <c r="B32" i="2" s="1"/>
  <c r="G31" i="2"/>
  <c r="B31" i="2" s="1"/>
  <c r="G30" i="2"/>
  <c r="B30" i="2" s="1"/>
  <c r="G29" i="2"/>
  <c r="B29" i="2" s="1"/>
  <c r="G28" i="2"/>
  <c r="B28" i="2" s="1"/>
  <c r="G27" i="2"/>
  <c r="B27" i="2" s="1"/>
  <c r="G26" i="2"/>
  <c r="B26" i="2" s="1"/>
  <c r="G25" i="2"/>
  <c r="B25" i="2" s="1"/>
  <c r="G24" i="2"/>
  <c r="B24" i="2" s="1"/>
  <c r="G23" i="2"/>
  <c r="B23" i="2" s="1"/>
  <c r="G22" i="2"/>
  <c r="B22" i="2" s="1"/>
  <c r="G21" i="2"/>
  <c r="B21" i="2" s="1"/>
  <c r="G20" i="2"/>
  <c r="B20" i="2" s="1"/>
  <c r="G19" i="2"/>
  <c r="B19" i="2" s="1"/>
  <c r="G18" i="2"/>
  <c r="B18" i="2" s="1"/>
  <c r="G17" i="2"/>
  <c r="B17" i="2" s="1"/>
  <c r="G16" i="2"/>
  <c r="B16" i="2" s="1"/>
  <c r="G15" i="2"/>
  <c r="B15" i="2" s="1"/>
  <c r="G14" i="2"/>
  <c r="B14" i="2" s="1"/>
  <c r="G13" i="2"/>
  <c r="B13" i="2" s="1"/>
  <c r="G12" i="2"/>
  <c r="B12" i="2" s="1"/>
  <c r="G11" i="2"/>
  <c r="B11" i="2" s="1"/>
  <c r="G10" i="2"/>
  <c r="B10" i="2" s="1"/>
  <c r="B8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F8" i="3"/>
  <c r="E8" i="3"/>
  <c r="D8" i="3"/>
  <c r="C8" i="3"/>
  <c r="A8" i="3"/>
  <c r="C214" i="3" l="1"/>
  <c r="C215" i="3"/>
  <c r="D215" i="3"/>
  <c r="C212" i="3"/>
  <c r="C216" i="3"/>
  <c r="D212" i="3"/>
  <c r="D216" i="3"/>
  <c r="D214" i="3"/>
  <c r="C213" i="3"/>
  <c r="D213" i="3"/>
  <c r="C211" i="3"/>
  <c r="D211" i="3"/>
  <c r="C210" i="3"/>
  <c r="D210" i="3"/>
  <c r="C209" i="3"/>
  <c r="D209" i="3"/>
  <c r="C62" i="3"/>
  <c r="C74" i="3"/>
  <c r="C86" i="3"/>
  <c r="C94" i="3"/>
  <c r="C102" i="3"/>
  <c r="C114" i="3"/>
  <c r="C130" i="3"/>
  <c r="C138" i="3"/>
  <c r="C154" i="3"/>
  <c r="C162" i="3"/>
  <c r="C174" i="3"/>
  <c r="C186" i="3"/>
  <c r="C198" i="3"/>
  <c r="D54" i="3"/>
  <c r="D62" i="3"/>
  <c r="D74" i="3"/>
  <c r="D86" i="3"/>
  <c r="D98" i="3"/>
  <c r="D114" i="3"/>
  <c r="D126" i="3"/>
  <c r="D138" i="3"/>
  <c r="D150" i="3"/>
  <c r="D162" i="3"/>
  <c r="D174" i="3"/>
  <c r="D186" i="3"/>
  <c r="D198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D55" i="3"/>
  <c r="D59" i="3"/>
  <c r="D63" i="3"/>
  <c r="D67" i="3"/>
  <c r="D71" i="3"/>
  <c r="D75" i="3"/>
  <c r="D79" i="3"/>
  <c r="D83" i="3"/>
  <c r="D87" i="3"/>
  <c r="D91" i="3"/>
  <c r="D95" i="3"/>
  <c r="D99" i="3"/>
  <c r="D103" i="3"/>
  <c r="D107" i="3"/>
  <c r="D111" i="3"/>
  <c r="D115" i="3"/>
  <c r="D119" i="3"/>
  <c r="D123" i="3"/>
  <c r="D127" i="3"/>
  <c r="D131" i="3"/>
  <c r="D135" i="3"/>
  <c r="D139" i="3"/>
  <c r="D143" i="3"/>
  <c r="D147" i="3"/>
  <c r="D151" i="3"/>
  <c r="D155" i="3"/>
  <c r="D159" i="3"/>
  <c r="D163" i="3"/>
  <c r="D167" i="3"/>
  <c r="D171" i="3"/>
  <c r="D175" i="3"/>
  <c r="D179" i="3"/>
  <c r="D183" i="3"/>
  <c r="D187" i="3"/>
  <c r="D191" i="3"/>
  <c r="D195" i="3"/>
  <c r="D199" i="3"/>
  <c r="D203" i="3"/>
  <c r="D207" i="3"/>
  <c r="C54" i="3"/>
  <c r="C66" i="3"/>
  <c r="C78" i="3"/>
  <c r="C90" i="3"/>
  <c r="C106" i="3"/>
  <c r="C118" i="3"/>
  <c r="C126" i="3"/>
  <c r="C142" i="3"/>
  <c r="C150" i="3"/>
  <c r="C166" i="3"/>
  <c r="C178" i="3"/>
  <c r="C190" i="3"/>
  <c r="C202" i="3"/>
  <c r="D66" i="3"/>
  <c r="D78" i="3"/>
  <c r="D90" i="3"/>
  <c r="D102" i="3"/>
  <c r="D110" i="3"/>
  <c r="D122" i="3"/>
  <c r="D134" i="3"/>
  <c r="D146" i="3"/>
  <c r="D158" i="3"/>
  <c r="D170" i="3"/>
  <c r="D182" i="3"/>
  <c r="D194" i="3"/>
  <c r="D206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D56" i="3"/>
  <c r="D60" i="3"/>
  <c r="D64" i="3"/>
  <c r="D68" i="3"/>
  <c r="D72" i="3"/>
  <c r="D76" i="3"/>
  <c r="D80" i="3"/>
  <c r="D84" i="3"/>
  <c r="D88" i="3"/>
  <c r="D92" i="3"/>
  <c r="D96" i="3"/>
  <c r="D100" i="3"/>
  <c r="D104" i="3"/>
  <c r="D108" i="3"/>
  <c r="D112" i="3"/>
  <c r="D116" i="3"/>
  <c r="D120" i="3"/>
  <c r="D124" i="3"/>
  <c r="D128" i="3"/>
  <c r="D132" i="3"/>
  <c r="D136" i="3"/>
  <c r="D140" i="3"/>
  <c r="D144" i="3"/>
  <c r="D148" i="3"/>
  <c r="D152" i="3"/>
  <c r="D156" i="3"/>
  <c r="D160" i="3"/>
  <c r="D164" i="3"/>
  <c r="D168" i="3"/>
  <c r="D172" i="3"/>
  <c r="D176" i="3"/>
  <c r="D180" i="3"/>
  <c r="D184" i="3"/>
  <c r="D188" i="3"/>
  <c r="D192" i="3"/>
  <c r="D196" i="3"/>
  <c r="D200" i="3"/>
  <c r="D204" i="3"/>
  <c r="D208" i="3"/>
  <c r="C58" i="3"/>
  <c r="C70" i="3"/>
  <c r="C82" i="3"/>
  <c r="C98" i="3"/>
  <c r="C110" i="3"/>
  <c r="C122" i="3"/>
  <c r="C134" i="3"/>
  <c r="C146" i="3"/>
  <c r="C158" i="3"/>
  <c r="C170" i="3"/>
  <c r="C182" i="3"/>
  <c r="C194" i="3"/>
  <c r="C206" i="3"/>
  <c r="D58" i="3"/>
  <c r="D70" i="3"/>
  <c r="D82" i="3"/>
  <c r="D94" i="3"/>
  <c r="D106" i="3"/>
  <c r="D118" i="3"/>
  <c r="D130" i="3"/>
  <c r="D142" i="3"/>
  <c r="D154" i="3"/>
  <c r="D166" i="3"/>
  <c r="D178" i="3"/>
  <c r="D190" i="3"/>
  <c r="D202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D57" i="3"/>
  <c r="D61" i="3"/>
  <c r="D65" i="3"/>
  <c r="D69" i="3"/>
  <c r="D73" i="3"/>
  <c r="D77" i="3"/>
  <c r="D81" i="3"/>
  <c r="D85" i="3"/>
  <c r="D89" i="3"/>
  <c r="D93" i="3"/>
  <c r="D97" i="3"/>
  <c r="D101" i="3"/>
  <c r="D105" i="3"/>
  <c r="D109" i="3"/>
  <c r="D113" i="3"/>
  <c r="D117" i="3"/>
  <c r="D121" i="3"/>
  <c r="D125" i="3"/>
  <c r="D129" i="3"/>
  <c r="D133" i="3"/>
  <c r="D137" i="3"/>
  <c r="D141" i="3"/>
  <c r="D145" i="3"/>
  <c r="D149" i="3"/>
  <c r="D153" i="3"/>
  <c r="D157" i="3"/>
  <c r="D161" i="3"/>
  <c r="D165" i="3"/>
  <c r="D169" i="3"/>
  <c r="D173" i="3"/>
  <c r="D177" i="3"/>
  <c r="D181" i="3"/>
  <c r="D185" i="3"/>
  <c r="D189" i="3"/>
  <c r="D193" i="3"/>
  <c r="D197" i="3"/>
  <c r="D201" i="3"/>
  <c r="D205" i="3"/>
  <c r="C52" i="3"/>
  <c r="D52" i="3"/>
  <c r="C53" i="3"/>
  <c r="D53" i="3"/>
  <c r="D27" i="3"/>
  <c r="D28" i="3"/>
  <c r="D44" i="3"/>
  <c r="D24" i="3"/>
  <c r="C51" i="3"/>
  <c r="D51" i="3"/>
  <c r="C30" i="3"/>
  <c r="C38" i="3"/>
  <c r="C50" i="3"/>
  <c r="D26" i="3"/>
  <c r="D34" i="3"/>
  <c r="D42" i="3"/>
  <c r="D50" i="3"/>
  <c r="C27" i="3"/>
  <c r="C31" i="3"/>
  <c r="C35" i="3"/>
  <c r="C39" i="3"/>
  <c r="C43" i="3"/>
  <c r="C47" i="3"/>
  <c r="D31" i="3"/>
  <c r="D35" i="3"/>
  <c r="D39" i="3"/>
  <c r="D43" i="3"/>
  <c r="D47" i="3"/>
  <c r="C42" i="3"/>
  <c r="C28" i="3"/>
  <c r="C32" i="3"/>
  <c r="C36" i="3"/>
  <c r="C40" i="3"/>
  <c r="C44" i="3"/>
  <c r="C48" i="3"/>
  <c r="D32" i="3"/>
  <c r="D36" i="3"/>
  <c r="D40" i="3"/>
  <c r="D48" i="3"/>
  <c r="C26" i="3"/>
  <c r="C34" i="3"/>
  <c r="C46" i="3"/>
  <c r="D30" i="3"/>
  <c r="D38" i="3"/>
  <c r="D46" i="3"/>
  <c r="C25" i="3"/>
  <c r="C29" i="3"/>
  <c r="C33" i="3"/>
  <c r="C37" i="3"/>
  <c r="C41" i="3"/>
  <c r="C45" i="3"/>
  <c r="C49" i="3"/>
  <c r="D25" i="3"/>
  <c r="D29" i="3"/>
  <c r="D33" i="3"/>
  <c r="D37" i="3"/>
  <c r="D41" i="3"/>
  <c r="D45" i="3"/>
  <c r="D49" i="3"/>
  <c r="C24" i="3"/>
  <c r="C23" i="3"/>
  <c r="D23" i="3"/>
  <c r="C14" i="3"/>
  <c r="C22" i="3"/>
  <c r="D14" i="3"/>
  <c r="D22" i="3"/>
  <c r="D11" i="3"/>
  <c r="D19" i="3"/>
  <c r="C10" i="3"/>
  <c r="D10" i="3"/>
  <c r="C11" i="3"/>
  <c r="C12" i="3"/>
  <c r="D16" i="3"/>
  <c r="D20" i="3"/>
  <c r="C18" i="3"/>
  <c r="D18" i="3"/>
  <c r="C15" i="3"/>
  <c r="C19" i="3"/>
  <c r="D15" i="3"/>
  <c r="C16" i="3"/>
  <c r="C20" i="3"/>
  <c r="D12" i="3"/>
  <c r="C9" i="3"/>
  <c r="C13" i="3"/>
  <c r="C17" i="3"/>
  <c r="C21" i="3"/>
  <c r="D9" i="3"/>
  <c r="D13" i="3"/>
  <c r="D17" i="3"/>
  <c r="D21" i="3"/>
  <c r="E9" i="3"/>
  <c r="B204" i="3" l="1"/>
  <c r="B156" i="3"/>
  <c r="B108" i="3"/>
  <c r="B60" i="3"/>
  <c r="B146" i="3"/>
  <c r="B90" i="3"/>
  <c r="B165" i="3"/>
  <c r="B109" i="3"/>
  <c r="B203" i="3"/>
  <c r="B171" i="3"/>
  <c r="B139" i="3"/>
  <c r="B107" i="3"/>
  <c r="B75" i="3"/>
  <c r="B194" i="3"/>
  <c r="B122" i="3"/>
  <c r="B213" i="3"/>
  <c r="B141" i="3"/>
  <c r="B69" i="3"/>
  <c r="B24" i="3"/>
  <c r="B10" i="3"/>
  <c r="B27" i="3"/>
  <c r="B26" i="3"/>
  <c r="B216" i="3"/>
  <c r="B200" i="3"/>
  <c r="B184" i="3"/>
  <c r="B168" i="3"/>
  <c r="B152" i="3"/>
  <c r="B136" i="3"/>
  <c r="B120" i="3"/>
  <c r="B104" i="3"/>
  <c r="B88" i="3"/>
  <c r="B72" i="3"/>
  <c r="B56" i="3"/>
  <c r="B198" i="3"/>
  <c r="B170" i="3"/>
  <c r="B138" i="3"/>
  <c r="B110" i="3"/>
  <c r="B82" i="3"/>
  <c r="B54" i="3"/>
  <c r="B185" i="3"/>
  <c r="B157" i="3"/>
  <c r="B129" i="3"/>
  <c r="B101" i="3"/>
  <c r="B73" i="3"/>
  <c r="B215" i="3"/>
  <c r="B199" i="3"/>
  <c r="B183" i="3"/>
  <c r="B167" i="3"/>
  <c r="B151" i="3"/>
  <c r="B135" i="3"/>
  <c r="B119" i="3"/>
  <c r="B103" i="3"/>
  <c r="B87" i="3"/>
  <c r="B71" i="3"/>
  <c r="B55" i="3"/>
  <c r="B186" i="3"/>
  <c r="B150" i="3"/>
  <c r="B114" i="3"/>
  <c r="B78" i="3"/>
  <c r="B205" i="3"/>
  <c r="B169" i="3"/>
  <c r="B133" i="3"/>
  <c r="B97" i="3"/>
  <c r="B61" i="3"/>
  <c r="B36" i="3"/>
  <c r="B20" i="3"/>
  <c r="B38" i="3"/>
  <c r="B41" i="3"/>
  <c r="B13" i="3"/>
  <c r="B39" i="3"/>
  <c r="B23" i="3"/>
  <c r="B50" i="3"/>
  <c r="B18" i="3"/>
  <c r="B37" i="3"/>
  <c r="B188" i="3"/>
  <c r="B140" i="3"/>
  <c r="B92" i="3"/>
  <c r="B206" i="3"/>
  <c r="B118" i="3"/>
  <c r="B193" i="3"/>
  <c r="B137" i="3"/>
  <c r="B53" i="3"/>
  <c r="B187" i="3"/>
  <c r="B155" i="3"/>
  <c r="B123" i="3"/>
  <c r="B91" i="3"/>
  <c r="B59" i="3"/>
  <c r="B158" i="3"/>
  <c r="B86" i="3"/>
  <c r="B177" i="3"/>
  <c r="B105" i="3"/>
  <c r="B40" i="3"/>
  <c r="B46" i="3"/>
  <c r="B21" i="3"/>
  <c r="B43" i="3"/>
  <c r="B45" i="3"/>
  <c r="B212" i="3"/>
  <c r="B196" i="3"/>
  <c r="B180" i="3"/>
  <c r="B164" i="3"/>
  <c r="B148" i="3"/>
  <c r="B132" i="3"/>
  <c r="B116" i="3"/>
  <c r="B100" i="3"/>
  <c r="B84" i="3"/>
  <c r="B68" i="3"/>
  <c r="B52" i="3"/>
  <c r="B190" i="3"/>
  <c r="B162" i="3"/>
  <c r="B134" i="3"/>
  <c r="B106" i="3"/>
  <c r="B74" i="3"/>
  <c r="B209" i="3"/>
  <c r="B181" i="3"/>
  <c r="B149" i="3"/>
  <c r="B121" i="3"/>
  <c r="B93" i="3"/>
  <c r="B65" i="3"/>
  <c r="B211" i="3"/>
  <c r="B195" i="3"/>
  <c r="B179" i="3"/>
  <c r="B163" i="3"/>
  <c r="B147" i="3"/>
  <c r="B131" i="3"/>
  <c r="B115" i="3"/>
  <c r="B99" i="3"/>
  <c r="B83" i="3"/>
  <c r="B67" i="3"/>
  <c r="B214" i="3"/>
  <c r="B178" i="3"/>
  <c r="B142" i="3"/>
  <c r="B102" i="3"/>
  <c r="B70" i="3"/>
  <c r="B197" i="3"/>
  <c r="B161" i="3"/>
  <c r="B125" i="3"/>
  <c r="B85" i="3"/>
  <c r="B48" i="3"/>
  <c r="B32" i="3"/>
  <c r="B16" i="3"/>
  <c r="B30" i="3"/>
  <c r="B33" i="3"/>
  <c r="B51" i="3"/>
  <c r="B35" i="3"/>
  <c r="B19" i="3"/>
  <c r="B42" i="3"/>
  <c r="B14" i="3"/>
  <c r="B29" i="3"/>
  <c r="B172" i="3"/>
  <c r="B124" i="3"/>
  <c r="B76" i="3"/>
  <c r="B174" i="3"/>
  <c r="B58" i="3"/>
  <c r="B81" i="3"/>
  <c r="B11" i="3"/>
  <c r="B208" i="3"/>
  <c r="B192" i="3"/>
  <c r="B176" i="3"/>
  <c r="B160" i="3"/>
  <c r="B144" i="3"/>
  <c r="B128" i="3"/>
  <c r="B112" i="3"/>
  <c r="B96" i="3"/>
  <c r="B80" i="3"/>
  <c r="B64" i="3"/>
  <c r="B210" i="3"/>
  <c r="B182" i="3"/>
  <c r="B154" i="3"/>
  <c r="B126" i="3"/>
  <c r="B98" i="3"/>
  <c r="B66" i="3"/>
  <c r="B201" i="3"/>
  <c r="B173" i="3"/>
  <c r="B145" i="3"/>
  <c r="B113" i="3"/>
  <c r="B89" i="3"/>
  <c r="B57" i="3"/>
  <c r="B207" i="3"/>
  <c r="B191" i="3"/>
  <c r="B175" i="3"/>
  <c r="B159" i="3"/>
  <c r="B143" i="3"/>
  <c r="B127" i="3"/>
  <c r="B111" i="3"/>
  <c r="B95" i="3"/>
  <c r="B79" i="3"/>
  <c r="B63" i="3"/>
  <c r="B202" i="3"/>
  <c r="B166" i="3"/>
  <c r="B130" i="3"/>
  <c r="B94" i="3"/>
  <c r="B62" i="3"/>
  <c r="B189" i="3"/>
  <c r="B153" i="3"/>
  <c r="B117" i="3"/>
  <c r="B77" i="3"/>
  <c r="B44" i="3"/>
  <c r="B28" i="3"/>
  <c r="B12" i="3"/>
  <c r="B22" i="3"/>
  <c r="B25" i="3"/>
  <c r="B47" i="3"/>
  <c r="B31" i="3"/>
  <c r="B15" i="3"/>
  <c r="B34" i="3"/>
  <c r="B49" i="3"/>
  <c r="B17" i="3"/>
</calcChain>
</file>

<file path=xl/sharedStrings.xml><?xml version="1.0" encoding="utf-8"?>
<sst xmlns="http://schemas.openxmlformats.org/spreadsheetml/2006/main" count="687" uniqueCount="241">
  <si>
    <t>Instructions :</t>
  </si>
  <si>
    <t>ACC</t>
  </si>
  <si>
    <t>NSE</t>
  </si>
  <si>
    <t>AMBUJACEM</t>
  </si>
  <si>
    <t>AXISBANK</t>
  </si>
  <si>
    <t>BAJAJ-AUTO</t>
  </si>
  <si>
    <t>BHARTIARTL</t>
  </si>
  <si>
    <t>BHEL</t>
  </si>
  <si>
    <t>BPCL</t>
  </si>
  <si>
    <t>CIPLA</t>
  </si>
  <si>
    <t>DRREDDY</t>
  </si>
  <si>
    <t>GAIL</t>
  </si>
  <si>
    <t>HCLTECH</t>
  </si>
  <si>
    <t>HDFC</t>
  </si>
  <si>
    <t>HDFCBANK</t>
  </si>
  <si>
    <t>HEROMOTOCO</t>
  </si>
  <si>
    <t>HINDALCO</t>
  </si>
  <si>
    <t>HINDUNILVR</t>
  </si>
  <si>
    <t>ICICIBANK</t>
  </si>
  <si>
    <t>INFY</t>
  </si>
  <si>
    <t>ITC</t>
  </si>
  <si>
    <t>JINDALSTEL</t>
  </si>
  <si>
    <t>KOTAKBANK</t>
  </si>
  <si>
    <t>LT</t>
  </si>
  <si>
    <t>MARUTI</t>
  </si>
  <si>
    <t>NTPC</t>
  </si>
  <si>
    <t>ONGC</t>
  </si>
  <si>
    <t>PNB</t>
  </si>
  <si>
    <t>POWERGRID</t>
  </si>
  <si>
    <t>RELIANCE</t>
  </si>
  <si>
    <t>SAIL</t>
  </si>
  <si>
    <t>SBIN</t>
  </si>
  <si>
    <t>SIEMENS</t>
  </si>
  <si>
    <t>SUNPHARMA</t>
  </si>
  <si>
    <t>TATAMOTORS</t>
  </si>
  <si>
    <t>TATAPOWER</t>
  </si>
  <si>
    <t>TATASTEEL</t>
  </si>
  <si>
    <t>TCS</t>
  </si>
  <si>
    <t>WIPRO</t>
  </si>
  <si>
    <t>A. You can make changes/ apply formulae to this sheet.</t>
  </si>
  <si>
    <t>B. The rates in this sheet will update as &amp; when they get updated in the 'Streaming Stock Watch' sheet.</t>
  </si>
  <si>
    <t>C. The Streaming Stock Watch sheet will not get updated on making changes in the Work area sheet as it is not available for editing.</t>
  </si>
  <si>
    <t>D. Save Excel After Creating formulae in this sheet.</t>
  </si>
  <si>
    <t>Scrip Name</t>
  </si>
  <si>
    <t>Last Traded Time</t>
  </si>
  <si>
    <t>Current</t>
  </si>
  <si>
    <t>Last Traded Qty</t>
  </si>
  <si>
    <t>Open Interest</t>
  </si>
  <si>
    <t>Exchange</t>
  </si>
  <si>
    <t>A. DO NOT make any changes in Streaming Watchlist.</t>
  </si>
  <si>
    <t>B. Excel Watchlist will stop streaming if Streaming Watchlist sheet is edited .</t>
  </si>
  <si>
    <t>C. You can make changes / apply formulae in Work Area sheet.</t>
  </si>
  <si>
    <t>D. The rates in this sheet will update as &amp; when they get updated in the 'Market Watch'.</t>
  </si>
  <si>
    <t>E.  You can Save Excel After Creating formulae in Work Area sheet.</t>
  </si>
  <si>
    <t>ASIANPAINT</t>
  </si>
  <si>
    <t>BRITANNIA</t>
  </si>
  <si>
    <t>EICHERMOT</t>
  </si>
  <si>
    <t>NESTLEIND</t>
  </si>
  <si>
    <t>GRASIM</t>
  </si>
  <si>
    <t>SHREECEM</t>
  </si>
  <si>
    <t>TATACONSUM</t>
  </si>
  <si>
    <t>TITAN</t>
  </si>
  <si>
    <t>UPL</t>
  </si>
  <si>
    <t>BAJFINANCE</t>
  </si>
  <si>
    <t>JSWSTEEL</t>
  </si>
  <si>
    <t>INDUSINDBK</t>
  </si>
  <si>
    <t>IOC</t>
  </si>
  <si>
    <t>COALINDIA</t>
  </si>
  <si>
    <t>TECHM</t>
  </si>
  <si>
    <t>DIVISLAB</t>
  </si>
  <si>
    <t>ADANIPORTS</t>
  </si>
  <si>
    <t>HDFCLIFE</t>
  </si>
  <si>
    <t>SBILIFE</t>
  </si>
  <si>
    <t>ULTRACEMCO</t>
  </si>
  <si>
    <t>BAJAJFINSV</t>
  </si>
  <si>
    <t>APOLLOTYRE</t>
  </si>
  <si>
    <t>ASHOKLEY</t>
  </si>
  <si>
    <t>BAJAJHLDNG</t>
  </si>
  <si>
    <t>BALKRISIND</t>
  </si>
  <si>
    <t>BATAINDIA</t>
  </si>
  <si>
    <t>BERGEPAINT</t>
  </si>
  <si>
    <t>BHARATFORG</t>
  </si>
  <si>
    <t>BBTC</t>
  </si>
  <si>
    <t>ABBOTINDIA</t>
  </si>
  <si>
    <t>CESC</t>
  </si>
  <si>
    <t>EXIDEIND</t>
  </si>
  <si>
    <t>COLPAL</t>
  </si>
  <si>
    <t>TATACOFFEE</t>
  </si>
  <si>
    <t>COROMANDEL</t>
  </si>
  <si>
    <t>DEEPAKNTR</t>
  </si>
  <si>
    <t>ESCORTS</t>
  </si>
  <si>
    <t>SANOFI</t>
  </si>
  <si>
    <t>INDIACEM</t>
  </si>
  <si>
    <t>INDHOTEL</t>
  </si>
  <si>
    <t>CASTROLIND</t>
  </si>
  <si>
    <t>JKTYRE</t>
  </si>
  <si>
    <t>WHIRLPOOL</t>
  </si>
  <si>
    <t>CUMMINSIND</t>
  </si>
  <si>
    <t>TRENT</t>
  </si>
  <si>
    <t>RAMCOCEM</t>
  </si>
  <si>
    <t>MFSL</t>
  </si>
  <si>
    <t>BOSCHLTD</t>
  </si>
  <si>
    <t>MRF</t>
  </si>
  <si>
    <t>PEL</t>
  </si>
  <si>
    <t>PFIZER</t>
  </si>
  <si>
    <t>PGHH</t>
  </si>
  <si>
    <t>VEDL</t>
  </si>
  <si>
    <t>SRF</t>
  </si>
  <si>
    <t>TATACHEM</t>
  </si>
  <si>
    <t>VOLTAS</t>
  </si>
  <si>
    <t>APOLLOHOSP</t>
  </si>
  <si>
    <t>GODREJIND</t>
  </si>
  <si>
    <t>SRTRANSFIN</t>
  </si>
  <si>
    <t>IOLCP</t>
  </si>
  <si>
    <t>AMARAJABAT</t>
  </si>
  <si>
    <t>CHOLAFIN</t>
  </si>
  <si>
    <t>TATACOMM</t>
  </si>
  <si>
    <t>BEL</t>
  </si>
  <si>
    <t>NATIONALUM</t>
  </si>
  <si>
    <t>HINDPETRO</t>
  </si>
  <si>
    <t>HINDZINC</t>
  </si>
  <si>
    <t>TATAELXSI</t>
  </si>
  <si>
    <t>AARTIIND</t>
  </si>
  <si>
    <t>PIIND</t>
  </si>
  <si>
    <t>TRIDENT</t>
  </si>
  <si>
    <t>LUPIN</t>
  </si>
  <si>
    <t>ZEEL</t>
  </si>
  <si>
    <t>PIDILITIND</t>
  </si>
  <si>
    <t>HAVELLS</t>
  </si>
  <si>
    <t>MPHASIS</t>
  </si>
  <si>
    <t>DABUR</t>
  </si>
  <si>
    <t>TORNTPHARM</t>
  </si>
  <si>
    <t>IPCALAB</t>
  </si>
  <si>
    <t>FEDERALBNK</t>
  </si>
  <si>
    <t>ADANIENT</t>
  </si>
  <si>
    <t>LICHSGFIN</t>
  </si>
  <si>
    <t>AUROPHARMA</t>
  </si>
  <si>
    <t>NATCOPHARM</t>
  </si>
  <si>
    <t>OIL</t>
  </si>
  <si>
    <t>BANKBARODA</t>
  </si>
  <si>
    <t>CANBK</t>
  </si>
  <si>
    <t>UNIONBANK</t>
  </si>
  <si>
    <t>BANKINDIA</t>
  </si>
  <si>
    <t>JKPAPER</t>
  </si>
  <si>
    <t>RBLBANK</t>
  </si>
  <si>
    <t>MANAPPURAM</t>
  </si>
  <si>
    <t>EMAMILTD</t>
  </si>
  <si>
    <t>DLF</t>
  </si>
  <si>
    <t>CUB</t>
  </si>
  <si>
    <t>TVSMOTOR</t>
  </si>
  <si>
    <t>MCDOWELL</t>
  </si>
  <si>
    <t>HAL</t>
  </si>
  <si>
    <t>NMDC</t>
  </si>
  <si>
    <t>PFC</t>
  </si>
  <si>
    <t>ISEC</t>
  </si>
  <si>
    <t>PAGEIND</t>
  </si>
  <si>
    <t>MARICO</t>
  </si>
  <si>
    <t>CONCOR</t>
  </si>
  <si>
    <t>NAM-INDIA</t>
  </si>
  <si>
    <t>PRESTIGE</t>
  </si>
  <si>
    <t>MGL</t>
  </si>
  <si>
    <t>AJANTPHARM</t>
  </si>
  <si>
    <t>GLAND</t>
  </si>
  <si>
    <t>JUBLFOOD</t>
  </si>
  <si>
    <t>BIOCON</t>
  </si>
  <si>
    <t>SUNTV</t>
  </si>
  <si>
    <t>GODREJPROP</t>
  </si>
  <si>
    <t>GODREJAGRO</t>
  </si>
  <si>
    <t>M&amp;MFIN</t>
  </si>
  <si>
    <t>RECLTD</t>
  </si>
  <si>
    <t>LTI</t>
  </si>
  <si>
    <t>TORNTPOWER</t>
  </si>
  <si>
    <t>NAUKRI</t>
  </si>
  <si>
    <t>ALKEM</t>
  </si>
  <si>
    <t>VGUARD</t>
  </si>
  <si>
    <t>PETRONET</t>
  </si>
  <si>
    <t>SBICARD</t>
  </si>
  <si>
    <t>MINDTREE</t>
  </si>
  <si>
    <t>GLENMARK</t>
  </si>
  <si>
    <t>IGL</t>
  </si>
  <si>
    <t>CADILAHC</t>
  </si>
  <si>
    <t>HDFCAMC</t>
  </si>
  <si>
    <t>GODREJCP</t>
  </si>
  <si>
    <t>ICICIPRULI</t>
  </si>
  <si>
    <t>ICICIGI</t>
  </si>
  <si>
    <t>GMRINFRA</t>
  </si>
  <si>
    <t>IDEA</t>
  </si>
  <si>
    <t>UBL</t>
  </si>
  <si>
    <t>IRCTC</t>
  </si>
  <si>
    <t>FORTIS</t>
  </si>
  <si>
    <t>GSPL</t>
  </si>
  <si>
    <t>NAVINFLUOR</t>
  </si>
  <si>
    <t>VBL</t>
  </si>
  <si>
    <t>MUTHOOTFIN</t>
  </si>
  <si>
    <t>COFORGE</t>
  </si>
  <si>
    <t>YESBANK</t>
  </si>
  <si>
    <t>SYNGENE</t>
  </si>
  <si>
    <t>POLYCAB</t>
  </si>
  <si>
    <t>DHANI</t>
  </si>
  <si>
    <t>JSWENERGY</t>
  </si>
  <si>
    <t>INDIGO</t>
  </si>
  <si>
    <t>AUBANK</t>
  </si>
  <si>
    <t>DIXON</t>
  </si>
  <si>
    <t>IBULHSGFIN</t>
  </si>
  <si>
    <t>OBEROIRLTY</t>
  </si>
  <si>
    <t>ATGL</t>
  </si>
  <si>
    <t>INDUSTOWER</t>
  </si>
  <si>
    <t>APLLTD</t>
  </si>
  <si>
    <t>ENDURANCE</t>
  </si>
  <si>
    <t>ABCAPITAL</t>
  </si>
  <si>
    <t>ABFRL</t>
  </si>
  <si>
    <t>DMART</t>
  </si>
  <si>
    <t>L&amp;TFH</t>
  </si>
  <si>
    <t>LALPATHLAB</t>
  </si>
  <si>
    <t>GUJGASLTD</t>
  </si>
  <si>
    <t>LTTS</t>
  </si>
  <si>
    <t>LAURUSLABS</t>
  </si>
  <si>
    <t>IDFCFIRSTB</t>
  </si>
  <si>
    <t>CROMPTON</t>
  </si>
  <si>
    <t>ADANITRANS</t>
  </si>
  <si>
    <t>BANDHANBNK</t>
  </si>
  <si>
    <t>INDIAMART</t>
  </si>
  <si>
    <t>ADANIGREEN</t>
  </si>
  <si>
    <t>DALBHARAT</t>
  </si>
  <si>
    <t>M_M</t>
  </si>
  <si>
    <t>Full date time</t>
  </si>
  <si>
    <t>NiftyNext50</t>
  </si>
  <si>
    <t>NIFTYMIDCAP100</t>
  </si>
  <si>
    <t>NIFTYSMLCAP100</t>
  </si>
  <si>
    <t>NiftyBank</t>
  </si>
  <si>
    <t>NiftyAuto</t>
  </si>
  <si>
    <t>NiftyEnergy</t>
  </si>
  <si>
    <t>NiftyFinService</t>
  </si>
  <si>
    <t>NiftyFMCG</t>
  </si>
  <si>
    <t>NiftyIT</t>
  </si>
  <si>
    <t>NiftyMedia</t>
  </si>
  <si>
    <t>NiftyMetal</t>
  </si>
  <si>
    <t>NiftyPharma</t>
  </si>
  <si>
    <t>NiftyPSUBank</t>
  </si>
  <si>
    <t>NiftyRealty</t>
  </si>
  <si>
    <t>Nifty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</si>
</sst>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d/mm/yyyy\,\ 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80008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901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 applyProtection="1"/>
    <xf numFmtId="2" fontId="0" fillId="0" borderId="0" xfId="0" applyNumberFormat="1"/>
    <xf numFmtId="2" fontId="2" fillId="2" borderId="0" xfId="0" applyNumberFormat="1" applyFont="1" applyFill="1"/>
    <xf numFmtId="0" fontId="1" fillId="0" borderId="0" xfId="0" applyFont="1"/>
    <xf numFmtId="0" fontId="3" fillId="0" borderId="0" xfId="0" applyFont="1"/>
    <xf numFmtId="2" fontId="1" fillId="0" borderId="0" xfId="0" applyNumberFormat="1" applyFont="1"/>
    <xf numFmtId="2" fontId="3" fillId="0" borderId="0" xfId="0" applyNumberFormat="1" applyFont="1"/>
    <xf numFmtId="2" fontId="4" fillId="0" borderId="0" xfId="0" applyNumberFormat="1" applyFont="1"/>
    <xf numFmtId="164" fontId="0" fillId="0" borderId="0" xfId="0" applyNumberFormat="1"/>
    <xf numFmtId="164" fontId="2" fillId="2" borderId="0" xfId="0" applyNumberFormat="1" applyFont="1" applyFill="1"/>
    <xf numFmtId="164" fontId="0" fillId="0" borderId="0" xfId="0" applyNumberFormat="1" applyProtection="1"/>
    <xf numFmtId="165" fontId="0" fillId="0" borderId="0" xfId="0" applyNumberFormat="1" applyProtection="1"/>
    <xf numFmtId="165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x3.livefeed">
      <tp t="s">
        <v>168.5</v>
        <stp/>
        <stp>17869_NSE@Price</stp>
        <tr r="C192" s="2"/>
      </tp>
      <tp t="s">
        <v>3727.85</v>
        <stp/>
        <stp>16669_NSE@Price</stp>
        <tr r="C57" s="2"/>
      </tp>
      <tp t="s">
        <v>129.05</v>
        <stp/>
        <stp>14299_NSE@Price</stp>
        <tr r="C144" s="2"/>
      </tp>
      <tp t="s">
        <v>722.80</v>
        <stp/>
        <stp>10599_NSE@Price</stp>
        <tr r="C207" s="2"/>
      </tp>
      <tp t="s">
        <v>1099.30</v>
        <stp/>
        <stp>10099_NSE@Price</stp>
        <tr r="C175" s="2"/>
      </tp>
      <tp t="s">
        <v>6846.10</v>
        <stp/>
        <stp>10999_NSE@Price</stp>
        <tr r="C42" s="2"/>
      </tp>
      <tp t="s">
        <v>182.00</v>
        <stp/>
        <stp>17438_NSE@Price</stp>
        <tr r="C128" s="2"/>
      </tp>
      <tp t="s">
        <v>5312.45</v>
        <stp/>
        <stp>17818_NSE@Price</stp>
        <tr r="C162" s="2"/>
      </tp>
      <tp t="s">
        <v>29.05</v>
        <stp/>
        <stp>13528_NSE@Price</stp>
        <tr r="C178" s="2"/>
      </tp>
      <tp t="s">
        <v>1447.65</v>
        <stp/>
        <stp>13538_NSE@Price</stp>
        <tr r="C51" s="2"/>
      </tp>
      <tp t="s">
        <v>751.35</v>
        <stp/>
        <stp>25328_NSE@Price</stp>
        <tr r="C200" s="2"/>
      </tp>
      <tp t="s">
        <v>83.30</v>
        <stp/>
        <stp>24948_NSE@Price</stp>
        <tr r="C205" s="2"/>
      </tp>
      <tp t="s">
        <v>1130.75</v>
        <stp/>
        <stp>21238_NSE@Price</stp>
        <tr r="C194" s="2"/>
      </tp>
      <tp t="s">
        <v>1192.05</v>
        <stp/>
        <stp>21808_NSE@Price</stp>
        <tr r="C55" s="2"/>
      </tp>
      <tp t="s">
        <v>208.10</v>
        <stp/>
        <stp>30108_NSE@Price</stp>
        <tr r="C203" s="2"/>
      </tp>
      <tp t="s">
        <v>1489.00</v>
        <stp/>
        <stp>17875_NSE@Price</stp>
        <tr r="C158" s="2"/>
      </tp>
      <tp t="s">
        <v>17148.75</v>
        <stp/>
        <stp>16675_NSE@Price</stp>
        <tr r="C58" s="2"/>
      </tp>
      <tp t="s">
        <v>151.70</v>
        <stp/>
        <stp>15355_NSE@Price</stp>
        <tr r="C161" s="2"/>
      </tp>
      <tp t="s">
        <v>145.25</v>
        <stp/>
        <stp>14435_NSE@Price</stp>
        <tr r="C81" s="2"/>
      </tp>
      <tp t="s">
        <v>160.15</v>
        <stp/>
        <stp>13285_NSE@Price</stp>
        <tr r="C160" s="2"/>
      </tp>
      <tp t="s">
        <v>1904.15</v>
        <stp/>
        <stp>11195_NSE@Price</stp>
        <tr r="C193" s="2"/>
      </tp>
      <tp t="s">
        <v>10.80</v>
        <stp/>
        <stp>11915_NSE@Price</stp>
        <tr r="C188" s="2"/>
      </tp>
      <tp t="s">
        <v>558.80</v>
        <stp/>
        <stp>10925_NSE@Price</stp>
        <tr r="C99" s="2"/>
      </tp>
      <tp t="s">
        <v>666.60</v>
        <stp/>
        <stp>19234_NSE@Price</stp>
        <tr r="C209" s="2"/>
      </tp>
      <tp t="s">
        <v>3919.55</v>
        <stp/>
        <stp>18564_NSE@Price</stp>
        <tr r="C208" s="2"/>
      </tp>
      <tp t="s">
        <v>1146.65</v>
        <stp/>
        <stp>17534_NSE@Price</stp>
        <tr r="C152" s="2"/>
      </tp>
      <tp t="s">
        <v>473.45</v>
        <stp/>
        <stp>17094_NSE@Price</stp>
        <tr r="C211" s="2"/>
      </tp>
      <tp t="s">
        <v>199.40</v>
        <stp/>
        <stp>15384_NSE@Price</stp>
        <tr r="C191" s="2"/>
      </tp>
      <tp t="s">
        <v>482.55</v>
        <stp/>
        <stp>13404_NSE@Price</stp>
        <tr r="C157" s="2"/>
      </tp>
      <tp t="s">
        <v>4051.55</v>
        <stp/>
        <stp>11654_NSE@Price</stp>
        <tr r="C206" s="2"/>
      </tp>
      <tp t="s">
        <v>42.95</v>
        <stp/>
        <stp>11184_NSE@Price</stp>
        <tr r="C210" s="2"/>
      </tp>
      <tp t="s">
        <v>159.10</v>
        <stp/>
        <stp>10794_NSE@Price</stp>
        <tr r="C130" s="2"/>
      </tp>
      <tp t="s">
        <v>664.05</v>
        <stp/>
        <stp>10604_NSE@Price</stp>
        <tr r="C50" s="2"/>
      </tp>
      <tp t="s">
        <v>3394.00</v>
        <stp/>
        <stp>24184_NSE@Price</stp>
        <tr r="C113" s="2"/>
      </tp>
      <tp t="s">
        <v>175.35</v>
        <stp/>
        <stp>14977_NSE@Price</stp>
        <tr r="C41" s="2"/>
      </tp>
      <tp t="s">
        <v>597.20</v>
        <stp/>
        <stp>13517_NSE@Price</stp>
        <tr r="C136" s="2"/>
      </tp>
      <tp t="s">
        <v>350.65</v>
        <stp/>
        <stp>13197_NSE@Price</stp>
        <tr r="C183" s="2"/>
      </tp>
      <tp t="s">
        <v>107.85</v>
        <stp/>
        <stp>21614_NSE@Price</stp>
        <tr r="C202" s="2"/>
      </tp>
      <tp t="s">
        <v>741.25</v>
        <stp/>
        <stp>11287_NSE@Price</stp>
        <tr r="C33" s="2"/>
      </tp>
      <tp t="s">
        <v>715.15</v>
        <stp/>
        <stp>10447_NSE@Price</stp>
        <tr r="C141" s="2"/>
      </tp>
      <tp t="s">
        <v>224.00</v>
        <stp/>
        <stp>30125_NSE@Price</stp>
        <tr r="C196" s="2"/>
      </tp>
      <tp t="s">
        <v>145.85</v>
        <stp/>
        <stp>20374_NSE@Price</stp>
        <tr r="C49" s="2"/>
      </tp>
      <tp t="s">
        <v>215.35</v>
        <stp/>
        <stp>29135_NSE@Price</stp>
        <tr r="C199" s="2"/>
      </tp>
      <tp t="s">
        <v>3995.00</v>
        <stp/>
        <stp>18096_NSE@Price</stp>
        <tr r="C155" s="2"/>
      </tp>
      <tp t="s">
        <v>6.10</v>
        <stp/>
        <stp>14366_NSE@Price</stp>
        <tr r="C179" s="2"/>
      </tp>
      <tp t="s">
        <v>3627.25</v>
        <stp/>
        <stp>14356_NSE@Price</stp>
        <tr r="C170" s="2"/>
      </tp>
      <tp t="s">
        <v>481.50</v>
        <stp/>
        <stp>13786_NSE@Price</stp>
        <tr r="C163" s="2"/>
      </tp>
      <tp t="s">
        <v>3786.45</v>
        <stp/>
        <stp>11536_NSE@Price</stp>
        <tr r="C39" s="2"/>
      </tp>
      <tp t="s">
        <v>7848.20</v>
        <stp/>
        <stp>10726_NSE@Price</stp>
        <tr r="C214" s="2"/>
      </tp>
      <tp t="s">
        <v>36.65</v>
        <stp/>
        <stp>10666_NSE@Price</stp>
        <tr r="C139" s="2"/>
      </tp>
      <tp t="s">
        <v>160.40</v>
        <stp/>
        <stp>19061_NSE@Price</stp>
        <tr r="C135" s="2"/>
      </tp>
      <tp t="s">
        <v>2130.20</v>
        <stp/>
        <stp>18011_NSE@Price</stp>
        <tr r="C82" s="2"/>
      </tp>
      <tp t="s">
        <v>165.50</v>
        <stp/>
        <stp>18391_NSE@Price</stp>
        <tr r="C134" s="2"/>
      </tp>
      <tp t="s">
        <v>846.95</v>
        <stp/>
        <stp>18921_NSE@Price</stp>
        <tr r="C185" s="2"/>
      </tp>
      <tp t="s">
        <v>1140.55</v>
        <stp/>
        <stp>17971_NSE@Price</stp>
        <tr r="C168" s="2"/>
      </tp>
      <tp t="s">
        <v>1693.30</v>
        <stp/>
        <stp>15141_NSE@Price</stp>
        <tr r="C71" s="2"/>
      </tp>
      <tp t="s">
        <v>6182.35</v>
        <stp/>
        <stp>13751_NSE@Price</stp>
        <tr r="C164" s="2"/>
      </tp>
      <tp t="s">
        <v>2752.00</v>
        <stp/>
        <stp>13611_NSE@Price</stp>
        <tr r="C181" s="2"/>
      </tp>
      <tp t="s">
        <v>227.60</v>
        <stp/>
        <stp>11351_NSE@Price</stp>
        <tr r="C167" s="2"/>
      </tp>
      <tp t="s">
        <v>352.65</v>
        <stp/>
        <stp>20302_NSE@Price</stp>
        <tr r="C151" s="2"/>
      </tp>
      <tp t="s">
        <v>1580.60</v>
        <stp/>
        <stp>10221_NSE@Price</stp>
        <tr r="C212" s="2"/>
      </tp>
      <tp t="s">
        <v>703.60</v>
        <stp/>
        <stp>20242_NSE@Price</stp>
        <tr r="C197" s="2"/>
      </tp>
      <tp t="s">
        <v>115.95</v>
        <stp/>
        <stp>11630_NSE@Price</stp>
        <tr r="C47" s="2"/>
      </tp>
      <tp t="s">
        <v>244.45</v>
        <stp/>
        <stp>11860_NSE@Price</stp>
        <tr r="C133" s="2"/>
      </tp>
      <tp t="s">
        <v>559.10</v>
        <stp/>
        <stp>20413_NSE@Price</stp>
        <tr r="C101" s="2"/>
      </tp>
      <tp t="s">
        <v>957.85</v>
        <stp/>
        <stp>10440_NSE@Price</stp>
        <tr r="C115" s="2"/>
      </tp>
      <tp t="s">
        <v>5173.60</v>
        <stp/>
        <stp>10940_NSE@Price</stp>
        <tr r="C52" s="2"/>
      </tp>
      <tp t="s">
        <v>3954.80</v>
        <stp/>
        <stp>19913_NSE@Price</stp>
        <tr r="C204" s="2"/>
      </tp>
      <tp t="s">
        <v>2283.60</v>
        <stp/>
        <stp>19943_NSE@Price</stp>
        <tr r="C74" s="2"/>
      </tp>
      <tp t="s">
        <v>19272.10</v>
        <stp/>
        <stp>17903_NSE@Price</stp>
        <tr r="C68" s="2"/>
      </tp>
      <tp t="s">
        <v>19467.75</v>
        <stp/>
        <stp>17963_NSE@Price</stp>
        <tr r="C13" s="2"/>
      </tp>
      <tp t="s">
        <v>1475.00</v>
        <stp/>
        <stp>16713_NSE@Price</stp>
        <tr r="C180" s="2"/>
      </tp>
      <tp t="s">
        <v>748.30</v>
        <stp/>
        <stp>15083_NSE@Price</stp>
        <tr r="C53" s="2"/>
      </tp>
      <tp t="s">
        <v>31499.10</v>
        <stp/>
        <stp>14413_NSE@Price</stp>
        <tr r="C147" s="2"/>
      </tp>
      <tp t="s">
        <v>1514.00</v>
        <stp/>
        <stp>23650_NSE@Price</stp>
        <tr r="C186" s="2"/>
      </tp>
      <tp t="s">
        <v>5208.75</v>
        <stp/>
        <stp>11543_NSE@Price</stp>
        <tr r="C187" s="2"/>
      </tp>
      <tp t="s">
        <v>1672.20</v>
        <stp/>
        <stp>11483_NSE@Price</stp>
        <tr r="C20" s="2"/>
      </tp>
      <tp t="s">
        <v>687.60</v>
        <stp/>
        <stp>11723_NSE@Price</stp>
        <tr r="C37" s="2"/>
      </tp>
      <tp t="s">
        <v>3878.60</v>
        <stp/>
        <stp>11703_NSE@Price</stp>
        <tr r="C165" s="2"/>
      </tp>
      <tp t="s">
        <v>1594.60</v>
        <stp/>
        <stp>21770_NSE@Price</stp>
        <tr r="C177" s="2"/>
      </tp>
      <tp t="s">
        <v>4160.40</v>
        <stp/>
        <stp>21690_NSE@Price</stp>
        <tr r="C195" s="2"/>
      </tp>
      <tp t="s">
        <v>358.85</v>
        <stp/>
        <stp>11373_NSE@Price</stp>
        <tr r="C156" s="2"/>
      </tp>
      <tp t="s">
        <v>35.40</v>
        <stp/>
        <stp>10753_NSE@Price</stp>
        <tr r="C131" s="2"/>
      </tp>
      <tp t="s">
        <v>641.35</v>
        <stp/>
        <stp>10243_NSE@Price</stp>
        <tr r="C189" s="2"/>
      </tp>
      <tp t="s">
        <v>659.10</v>
        <stp/>
        <stp>18652_NSE@Price</stp>
        <tr r="C176" s="2"/>
      </tp>
      <tp t="s">
        <v>1662.85</v>
        <stp/>
        <stp>18822_NSE@Price</stp>
        <tr r="C201" s="2"/>
      </tp>
      <tp t="s">
        <v>154.05</v>
        <stp/>
        <stp>15332_NSE@Price</stp>
        <tr r="C143" s="2"/>
      </tp>
      <tp t="s">
        <v>243.45</v>
        <stp/>
        <stp>15362_NSE@Price</stp>
        <tr r="C166" s="2"/>
      </tp>
      <tp t="s">
        <v>290.50</v>
        <stp/>
        <stp>14592_NSE@Price</stp>
        <tr r="C182" s="2"/>
      </tp>
      <tp t="s">
        <v>320.55</v>
        <stp/>
        <stp>14732_NSE@Price</stp>
        <tr r="C137" s="2"/>
      </tp>
      <tp t="s">
        <v>4027.60</v>
        <stp/>
        <stp>14672_NSE@Price</stp>
        <tr r="C184" s="2"/>
      </tp>
      <tp t="s">
        <v>7832.45</v>
        <stp/>
        <stp>11532_NSE@Price</stp>
        <tr r="C56" s="2"/>
      </tp>
      <tp t="s">
        <v>545.85</v>
        <stp/>
        <stp>11262_NSE@Price</stp>
        <tr r="C172" s="2"/>
      </tp>
      <tp t="s">
        <v>9001236</v>
        <stp/>
        <stp>526_NSE@Volume</stp>
        <tr r="D31" s="2"/>
      </tp>
      <tp t="s">
        <v>688613</v>
        <stp/>
        <stp>547_NSE@Volume</stp>
        <tr r="D10" s="2"/>
      </tp>
      <tp t="s">
        <v>3404792</v>
        <stp/>
        <stp>422_NSE@Volume</stp>
        <tr r="D66" s="2"/>
      </tp>
      <tp t="s">
        <v>30251959</v>
        <stp/>
        <stp>438_NSE@Volume</stp>
        <tr r="D109" s="2"/>
      </tp>
      <tp t="s">
        <v>1219916</v>
        <stp/>
        <stp>404_NSE@Volume</stp>
        <tr r="D65" s="2"/>
      </tp>
      <tp t="s">
        <v>3854510</v>
        <stp/>
        <stp>467_NSE@Volume</stp>
        <tr r="D54" s="2"/>
      </tp>
      <tp t="s">
        <v>16750725</v>
        <stp/>
        <stp>724_NSE@Volume</stp>
        <tr r="D72" s="2"/>
      </tp>
      <tp t="s">
        <v>631601</v>
        <stp/>
        <stp>739_NSE@Volume</stp>
        <tr r="D73" s="2"/>
      </tp>
      <tp t="s">
        <v>3026655</v>
        <stp/>
        <stp>772_NSE@Volume</stp>
        <tr r="D120" s="2"/>
      </tp>
      <tp t="s">
        <v>5252586</v>
        <stp/>
        <stp>685_NSE@Volume</stp>
        <tr r="D103" s="2"/>
      </tp>
      <tp t="s">
        <v>2463088</v>
        <stp/>
        <stp>694_NSE@Volume</stp>
        <tr r="D11" s="2"/>
      </tp>
      <tp t="s">
        <v>1007718</v>
        <stp/>
        <stp>628_NSE@Volume</stp>
        <tr r="D69" s="2"/>
      </tp>
      <tp t="s">
        <v>5277497</v>
        <stp/>
        <stp>676_NSE@Volume</stp>
        <tr r="D70" s="2"/>
      </tp>
      <tp t="s">
        <v>1122577</v>
        <stp/>
        <stp>100_NSE@Volume</stp>
        <tr r="D102" s="2"/>
      </tp>
      <tp t="s">
        <v>3204602</v>
        <stp/>
        <stp>163_NSE@Volume</stp>
        <tr r="D60" s="2"/>
      </tp>
      <tp t="s">
        <v>115072</v>
        <stp/>
        <stp>144_NSE@Volume</stp>
        <tr r="D159" s="2"/>
      </tp>
      <tp t="s">
        <v>2883159</v>
        <stp/>
        <stp>157_NSE@Volume</stp>
        <tr r="D98" s="2"/>
      </tp>
      <tp t="s">
        <v>7201234</v>
        <stp/>
        <stp>383_NSE@Volume</stp>
        <tr r="D105" s="2"/>
      </tp>
      <tp t="s">
        <v>259919</v>
        <stp/>
        <stp>380_NSE@Volume</stp>
        <tr r="D67" s="2"/>
      </tp>
      <tp t="s">
        <v>479245</v>
        <stp/>
        <stp>335_NSE@Volume</stp>
        <tr r="D63" s="2"/>
      </tp>
      <tp t="s">
        <v>47450</v>
        <stp/>
        <stp>305_NSE@Volume</stp>
        <tr r="D62" s="2"/>
      </tp>
      <tp t="s">
        <v>2946438</v>
        <stp/>
        <stp>317_NSE@Volume</stp>
        <tr r="D35" s="2"/>
      </tp>
      <tp t="s">
        <v>638971</v>
        <stp/>
        <stp>371_NSE@Volume</stp>
        <tr r="D64" s="2"/>
      </tp>
      <tp t="s">
        <v>1367796</v>
        <stp/>
        <stp>357_NSE@Volume</stp>
        <tr r="D150" s="2"/>
      </tp>
      <tp t="s">
        <v>2283290</v>
        <stp/>
        <stp>236_NSE@Volume</stp>
        <tr r="D9" s="2"/>
      </tp>
      <tp t="s">
        <v>20046747</v>
        <stp/>
        <stp>212_NSE@Volume</stp>
        <tr r="D61" s="2"/>
      </tp>
      <tp t="s">
        <v>3877654</v>
        <stp/>
        <stp>275_NSE@Volume</stp>
        <tr r="D126" s="2"/>
      </tp>
      <tp t="s">
        <v>2381821</v>
        <stp/>
        <stp>910_NSE@Volume</stp>
        <tr r="D12" s="2"/>
      </tp>
      <tp t="s">
        <v>827925</v>
        <stp/>
        <stp>958_NSE@Volume</stp>
        <tr r="D75" s="2"/>
      </tp>
      <tp t="s">
        <v>645527</v>
        <stp/>
        <stp>881_NSE@Volume</stp>
        <tr r="D28" s="2"/>
      </tp>
      <tp t="s">
        <v>580467</v>
        <stp/>
        <stp>22_NSE@Volume</stp>
        <tr r="D59" s="2"/>
      </tp>
      <tp t="s">
        <v>7234384</v>
        <stp/>
        <stp>25_NSE@Volume</stp>
        <tr r="D124" s="2"/>
      </tp>
      <tp t="s">
        <v>1601.10</v>
        <stp/>
        <stp>-47@Price</stp>
        <tr r="C226" s="2"/>
      </tp>
      <tp t="s">
        <v>20286.50</v>
        <stp/>
        <stp>-36@Price</stp>
        <tr r="C222" s="2"/>
      </tp>
      <tp t="s">
        <v>10037.50</v>
        <stp/>
        <stp>-46@Price</stp>
        <tr r="C221" s="2"/>
      </tp>
      <tp t="s">
        <v>39509.25</v>
        <stp/>
        <stp>-35@Price</stp>
        <tr r="C224" s="2"/>
      </tp>
      <tp t="s">
        <v>10260.05</v>
        <stp/>
        <stp>-45@Price</stp>
        <tr r="C219" s="2"/>
      </tp>
      <tp t="s">
        <v>14336.80</v>
        <stp/>
        <stp>-33@Price</stp>
        <tr r="C228" s="2"/>
      </tp>
      <tp t="s">
        <v>41580.45</v>
        <stp/>
        <stp>-23@Price</stp>
        <tr r="C217" s="2"/>
      </tp>
      <tp t="s">
        <v>31 Aug 2021, 03:54:16 PM</v>
        <stp/>
        <stp>685_NSE@altt</stp>
        <tr r="G103" s="2"/>
      </tp>
      <tp t="s">
        <v>31 Aug 2021, 03:46:42 PM</v>
        <stp/>
        <stp>383_NSE@altt</stp>
        <tr r="G105" s="2"/>
      </tp>
      <tp t="s">
        <v>31 Aug 2021, 03:51:20 PM</v>
        <stp/>
        <stp>881_NSE@altt</stp>
        <tr r="G28" s="2"/>
      </tp>
      <tp t="s">
        <v>31 Aug 2021, 03:51:22 PM</v>
        <stp/>
        <stp>380_NSE@altt</stp>
        <tr r="G67" s="2"/>
      </tp>
      <tp t="s">
        <v>28417.25</v>
        <stp/>
        <stp>-22@Price</stp>
        <tr r="C218" s="2"/>
      </tp>
      <tp t="s">
        <v>31 Aug 2021, 03:54:25 PM</v>
        <stp/>
        <stp>694_NSE@altt</stp>
        <tr r="G11" s="2"/>
      </tp>
      <tp t="s">
        <v>2331.50</v>
        <stp/>
        <stp>-31@Price</stp>
        <tr r="C229" s="2"/>
      </tp>
      <tp t="s">
        <v>36389.15</v>
        <stp/>
        <stp>-21@Price</stp>
        <tr r="C220" s="2"/>
      </tp>
      <tp t="s">
        <v>387.10</v>
        <stp/>
        <stp>-30@Price</stp>
        <tr r="C230" s="2"/>
      </tp>
      <tp t="s">
        <v>18052.25</v>
        <stp/>
        <stp>-40@Price</stp>
        <tr r="C223" s="2"/>
      </tp>
      <tp t="s">
        <v>31 Aug 2021, 03:48:09 PM</v>
        <stp/>
        <stp>547_NSE@altt</stp>
        <tr r="G10" s="2"/>
      </tp>
      <tp t="s">
        <v>31 Aug 2021, 03:49:55 PM</v>
        <stp/>
        <stp>144_NSE@altt</stp>
        <tr r="G159" s="2"/>
      </tp>
      <tp t="s">
        <v>31 Aug 2021, 03:57:56 PM</v>
        <stp/>
        <stp>958_NSE@altt</stp>
        <tr r="G75" s="2"/>
      </tp>
      <tp t="s">
        <v>31 Aug 2021, 03:51:16 PM</v>
        <stp/>
        <stp>357_NSE@altt</stp>
        <tr r="G150" s="2"/>
      </tp>
      <tp t="s">
        <v>31 Aug 2021, 03:58:37 PM</v>
        <stp/>
        <stp>157_NSE@altt</stp>
        <tr r="G98" s="2"/>
      </tp>
      <tp t="s">
        <v>31 Aug 2021, 03:58:34 PM</v>
        <stp/>
        <stp>467_NSE@altt</stp>
        <tr r="G54" s="2"/>
      </tp>
      <tp t="s">
        <v>31 Aug 2021, 03:58:44 PM</v>
        <stp/>
        <stp>163_NSE@altt</stp>
        <tr r="G60" s="2"/>
      </tp>
      <tp t="s">
        <v>31 Aug 2021, 03:59:44 PM</v>
        <stp/>
        <stp>676_NSE@altt</stp>
        <tr r="G70" s="2"/>
      </tp>
      <tp t="s">
        <v>31 Aug 2021, 03:58:44 PM</v>
        <stp/>
        <stp>275_NSE@altt</stp>
        <tr r="G126" s="2"/>
      </tp>
      <tp t="s">
        <v>31 Aug 2021, 03:52:21 PM</v>
        <stp/>
        <stp>772_NSE@altt</stp>
        <tr r="G120" s="2"/>
      </tp>
      <tp t="s">
        <v>31 Aug 2021, 03:59:39 PM</v>
        <stp/>
        <stp>371_NSE@altt</stp>
        <tr r="G64" s="2"/>
      </tp>
      <tp t="s">
        <v>31 Aug 2021, 03:51:01 PM</v>
        <stp/>
        <stp>305_NSE@altt</stp>
        <tr r="G62" s="2"/>
      </tp>
      <tp t="s">
        <v>31 Aug 2021, 03:57:00 PM</v>
        <stp/>
        <stp>404_NSE@altt</stp>
        <tr r="G65" s="2"/>
      </tp>
      <tp t="s">
        <v>31 Aug 2021, 03:57:25 PM</v>
        <stp/>
        <stp>100_NSE@altt</stp>
        <tr r="G102" s="2"/>
      </tp>
      <tp t="s">
        <v>31 Aug 2021, 03:43:11 PM</v>
        <stp/>
        <stp>22_NSE@altt</stp>
        <tr r="G59" s="2"/>
      </tp>
      <tp t="s">
        <v>31 Aug 2021, 03:59:28 PM</v>
        <stp/>
        <stp>25_NSE@altt</stp>
        <tr r="G124" s="2"/>
      </tp>
      <tp t="s">
        <v>31 Aug 2021, 03:57:40 PM</v>
        <stp/>
        <stp>317_NSE@altt</stp>
        <tr r="G35" s="2"/>
      </tp>
      <tp t="s">
        <v>31 Aug 2021, 03:59:58 PM</v>
        <stp/>
        <stp>212_NSE@altt</stp>
        <tr r="G61" s="2"/>
      </tp>
      <tp t="s">
        <v>31 Aug 2021, 03:58:45 PM</v>
        <stp/>
        <stp>910_NSE@altt</stp>
        <tr r="G12" s="2"/>
      </tp>
      <tp t="s">
        <v>17129.25</v>
        <stp/>
        <stp>-29@Price</stp>
        <tr r="C231" s="2"/>
      </tp>
      <tp t="s">
        <v>31 Aug 2021, 03:59:45 PM</v>
        <stp/>
        <stp>628_NSE@altt</stp>
        <tr r="G69" s="2"/>
      </tp>
      <tp t="s">
        <v>31 Aug 2021, 03:59:14 PM</v>
        <stp/>
        <stp>526_NSE@altt</stp>
        <tr r="G31" s="2"/>
      </tp>
      <tp t="s">
        <v>31 Aug 2021, 03:59:45 PM</v>
        <stp/>
        <stp>724_NSE@altt</stp>
        <tr r="G72" s="2"/>
      </tp>
      <tp t="s">
        <v>31 Aug 2021, 03:52:20 PM</v>
        <stp/>
        <stp>422_NSE@altt</stp>
        <tr r="G66" s="2"/>
      </tp>
      <tp t="s">
        <v>34570.25</v>
        <stp/>
        <stp>-28@Price</stp>
        <tr r="C225" s="2"/>
      </tp>
      <tp t="s">
        <v>5713.25</v>
        <stp/>
        <stp>-48@Price</stp>
        <tr r="C227" s="2"/>
      </tp>
      <tp t="s">
        <v>31 Aug 2021, 03:44:41 PM</v>
        <stp/>
        <stp>739_NSE@altt</stp>
        <tr r="G73" s="2"/>
      </tp>
      <tp t="s">
        <v>31 Aug 2021, 03:59:58 PM</v>
        <stp/>
        <stp>438_NSE@altt</stp>
        <tr r="G109" s="2"/>
      </tp>
      <tp t="s">
        <v>31 Aug 2021, 03:57:37 PM</v>
        <stp/>
        <stp>236_NSE@altt</stp>
        <tr r="G9" s="2"/>
      </tp>
      <tp t="s">
        <v>31 Aug 2021, 03:40:00 PM</v>
        <stp/>
        <stp>335_NSE@altt</stp>
        <tr r="G63" s="2"/>
      </tp>
      <tp t="s">
        <v>1587.60</v>
        <stp/>
        <stp>25_NSE@Price</stp>
        <tr r="C124" s="2"/>
      </tp>
      <tp t="s">
        <v>938.10</v>
        <stp/>
        <stp>7_NSE@Price</stp>
        <tr r="C112" s="2"/>
      </tp>
      <tp t="s">
        <v>2413.20</v>
        <stp/>
        <stp>22_NSE@Price</stp>
        <tr r="C59" s="2"/>
      </tp>
      <tp t="s">
        <v>31 Aug 2021, 03:59:05 PM</v>
        <stp/>
        <stp>7_NSE@altt</stp>
        <tr r="G112" s="2"/>
      </tp>
      <tp t="s">
        <v>524749</v>
        <stp/>
        <stp>7_NSE@Volume</stp>
        <tr r="D112" s="2"/>
      </tp>
      <tp t="s">
        <v>0</v>
        <stp/>
        <stp>-33@Volume</stp>
        <tr r="D228" s="2"/>
      </tp>
      <tp t="s">
        <v>0</v>
        <stp/>
        <stp>-30@Volume</stp>
        <tr r="D230" s="2"/>
      </tp>
      <tp t="s">
        <v>0</v>
        <stp/>
        <stp>-31@Volume</stp>
        <tr r="D229" s="2"/>
      </tp>
      <tp t="s">
        <v>0</v>
        <stp/>
        <stp>-36@Volume</stp>
        <tr r="D222" s="2"/>
      </tp>
      <tp t="s">
        <v>0</v>
        <stp/>
        <stp>-35@Volume</stp>
        <tr r="D224" s="2"/>
      </tp>
      <tp t="s">
        <v>0</v>
        <stp/>
        <stp>-22@Volume</stp>
        <tr r="D218" s="2"/>
      </tp>
      <tp t="s">
        <v>0</v>
        <stp/>
        <stp>-23@Volume</stp>
        <tr r="D217" s="2"/>
      </tp>
      <tp t="s">
        <v>0</v>
        <stp/>
        <stp>-21@Volume</stp>
        <tr r="D220" s="2"/>
      </tp>
      <tp t="s">
        <v>0</v>
        <stp/>
        <stp>-28@Volume</stp>
        <tr r="D225" s="2"/>
      </tp>
      <tp t="s">
        <v>0</v>
        <stp/>
        <stp>-29@Volume</stp>
        <tr r="D231" s="2"/>
      </tp>
      <tp t="s">
        <v>0</v>
        <stp/>
        <stp>-40@Volume</stp>
        <tr r="D223" s="2"/>
      </tp>
      <tp t="s">
        <v>0</v>
        <stp/>
        <stp>-46@Volume</stp>
        <tr r="D221" s="2"/>
      </tp>
      <tp t="s">
        <v>0</v>
        <stp/>
        <stp>-47@Volume</stp>
        <tr r="D226" s="2"/>
      </tp>
      <tp t="s">
        <v>0</v>
        <stp/>
        <stp>-45@Volume</stp>
        <tr r="D219" s="2"/>
      </tp>
      <tp t="s">
        <v>0</v>
        <stp/>
        <stp>-48@Volume</stp>
        <tr r="D227" s="2"/>
      </tp>
      <tp t="s">
        <v>122.75</v>
        <stp/>
        <stp>212_NSE@Price</stp>
        <tr r="C61" s="2"/>
      </tp>
      <tp t="s">
        <v>621.50</v>
        <stp/>
        <stp>772_NSE@Price</stp>
        <tr r="C120" s="2"/>
      </tp>
      <tp t="s">
        <v>767.20</v>
        <stp/>
        <stp>422_NSE@Price</stp>
        <tr r="C66" s="2"/>
      </tp>
      <tp t="s">
        <v>1352.70</v>
        <stp/>
        <stp>4306_NSE@Price</stp>
        <tr r="C100" s="2"/>
      </tp>
      <tp t="s">
        <v>530.30</v>
        <stp/>
        <stp>7406_NSE@Price</stp>
        <tr r="C171" s="2"/>
      </tp>
      <tp t="s">
        <v>3893.90</v>
        <stp/>
        <stp>1186_NSE@Price</stp>
        <tr r="C154" s="2"/>
      </tp>
      <tp t="s">
        <v>266.60</v>
        <stp/>
        <stp>1406_NSE@Price</stp>
        <tr r="C108" s="2"/>
      </tp>
      <tp t="s">
        <v>287.30</v>
        <stp/>
        <stp>3456_NSE@Price</stp>
        <tr r="C25" s="2"/>
      </tp>
      <tp t="s">
        <v>129.05</v>
        <stp/>
        <stp>3426_NSE@Price</stp>
        <tr r="C96" s="2"/>
      </tp>
      <tp t="s">
        <v>1921.60</v>
        <stp/>
        <stp>3506_NSE@Price</stp>
        <tr r="C29" s="2"/>
      </tp>
      <tp t="s">
        <v>186.65</v>
        <stp/>
        <stp>383_NSE@Price</stp>
        <tr r="C105" s="2"/>
      </tp>
      <tp t="s">
        <v>212.95</v>
        <stp/>
        <stp>163_NSE@Price</stp>
        <tr r="C60" s="2"/>
      </tp>
      <tp t="s">
        <v>544.45</v>
        <stp/>
        <stp>4067_NSE@Price</stp>
        <tr r="C148" s="2"/>
      </tp>
      <tp t="s">
        <v>146.15</v>
        <stp/>
        <stp>4717_NSE@Price</stp>
        <tr r="C145" s="2"/>
      </tp>
      <tp t="s">
        <v>402.25</v>
        <stp/>
        <stp>1997_NSE@Price</stp>
        <tr r="C125" s="2"/>
      </tp>
      <tp t="s">
        <v>79742.75</v>
        <stp/>
        <stp>2277_NSE@Price</stp>
        <tr r="C88" s="2"/>
      </tp>
      <tp t="s">
        <v>640.95</v>
        <stp/>
        <stp>3787_NSE@Price</stp>
        <tr r="C27" s="2"/>
      </tp>
      <tp t="s">
        <v>2679.25</v>
        <stp/>
        <stp>910_NSE@Price</stp>
        <tr r="C12" s="2"/>
      </tp>
      <tp t="s">
        <v>1189.30</v>
        <stp/>
        <stp>380_NSE@Price</stp>
        <tr r="C67" s="2"/>
      </tp>
      <tp t="s">
        <v>699.25</v>
        <stp/>
        <stp>100_NSE@Price</stp>
        <tr r="C102" s="2"/>
      </tp>
      <tp t="s">
        <v>2227.80</v>
        <stp/>
        <stp>8124_NSE@Price</stp>
        <tr r="C153" s="2"/>
      </tp>
      <tp t="s">
        <v>3074.30</v>
        <stp/>
        <stp>4244_NSE@Price</stp>
        <tr r="C174" s="2"/>
      </tp>
      <tp t="s">
        <v>1452.50</v>
        <stp/>
        <stp>6074_NSE@Price</stp>
        <tr r="C198" s="2"/>
      </tp>
      <tp t="s">
        <v>90.75</v>
        <stp/>
        <stp>6364_NSE@Price</stp>
        <tr r="C107" s="2"/>
      </tp>
      <tp t="s">
        <v>1006.90</v>
        <stp/>
        <stp>1964_NSE@Price</stp>
        <tr r="C84" s="2"/>
      </tp>
      <tp t="s">
        <v>2724.10</v>
        <stp/>
        <stp>1394_NSE@Price</stp>
        <tr r="C18" s="2"/>
      </tp>
      <tp t="s">
        <v>321.75</v>
        <stp/>
        <stp>1424_NSE@Price</stp>
        <tr r="C110" s="2"/>
      </tp>
      <tp t="s">
        <v>1706.45</v>
        <stp/>
        <stp>1594_NSE@Price</stp>
        <tr r="C34" s="2"/>
      </tp>
      <tp t="s">
        <v>110.85</v>
        <stp/>
        <stp>1624_NSE@Price</stp>
        <tr r="C48" s="2"/>
      </tp>
      <tp t="s">
        <v>2280.35</v>
        <stp/>
        <stp>2664_NSE@Price</stp>
        <tr r="C117" s="2"/>
      </tp>
      <tp t="s">
        <v>4704.05</v>
        <stp/>
        <stp>881_NSE@Price</stp>
        <tr r="C28" s="2"/>
      </tp>
      <tp t="s">
        <v>1771.80</v>
        <stp/>
        <stp>371_NSE@Price</stp>
        <tr r="C64" s="2"/>
      </tp>
      <tp t="s">
        <v>2199.80</v>
        <stp/>
        <stp>8075_NSE@Price</stp>
        <tr r="C216" s="2"/>
      </tp>
      <tp t="s">
        <v>20.65</v>
        <stp/>
        <stp>9685_NSE@Price</stp>
        <tr r="C114" s="2"/>
      </tp>
      <tp t="s">
        <v>66.35</v>
        <stp/>
        <stp>4745_NSE@Price</stp>
        <tr r="C132" s="2"/>
      </tp>
      <tp t="s">
        <v>163.60</v>
        <stp/>
        <stp>1515_NSE@Price</stp>
        <tr r="C78" s="2"/>
      </tp>
      <tp t="s">
        <v>2258.15</v>
        <stp/>
        <stp>2885_NSE@Price</stp>
        <tr r="C22" s="2"/>
      </tp>
      <tp t="s">
        <v>120.55</v>
        <stp/>
        <stp>2475_NSE@Price</stp>
        <tr r="C46" s="2"/>
      </tp>
      <tp t="s">
        <v>13873.60</v>
        <stp/>
        <stp>2535_NSE@Price</stp>
        <tr r="C91" s="2"/>
      </tp>
      <tp t="s">
        <v>426.05</v>
        <stp/>
        <stp>3045_NSE@Price</stp>
        <tr r="C30" s="2"/>
      </tp>
      <tp t="s">
        <v>844.65</v>
        <stp/>
        <stp>3405_NSE@Price</stp>
        <tr r="C95" s="2"/>
      </tp>
      <tp t="s">
        <v>3201.35</v>
        <stp/>
        <stp>236_NSE@Price</stp>
        <tr r="C9" s="2"/>
      </tp>
      <tp t="s">
        <v>161.15</v>
        <stp/>
        <stp>676_NSE@Price</stp>
        <tr r="C70" s="2"/>
      </tp>
      <tp t="s">
        <v>471.65</v>
        <stp/>
        <stp>526_NSE@Price</stp>
        <tr r="C31" s="2"/>
      </tp>
      <tp t="s">
        <v>1753.70</v>
        <stp/>
        <stp>1922_NSE@Price</stp>
        <tr r="C32" s="2"/>
      </tp>
      <tp t="s">
        <v>1500.40</v>
        <stp/>
        <stp>1232_NSE@Price</stp>
        <tr r="C14" s="2"/>
      </tp>
      <tp t="s">
        <v>9013.80</v>
        <stp/>
        <stp>1442_NSE@Price</stp>
        <tr r="C77" s="2"/>
      </tp>
      <tp t="s">
        <v>140.40</v>
        <stp/>
        <stp>1512_NSE@Price</stp>
        <tr r="C79" s="2"/>
      </tp>
      <tp t="s">
        <v>1088.15</v>
        <stp/>
        <stp>2142_NSE@Price</stp>
        <tr r="C86" s="2"/>
      </tp>
      <tp t="s">
        <v>2606.65</v>
        <stp/>
        <stp>2412_NSE@Price</stp>
        <tr r="C89" s="2"/>
      </tp>
      <tp t="s">
        <v>171.65</v>
        <stp/>
        <stp>3812_NSE@Price</stp>
        <tr r="C116" s="2"/>
      </tp>
      <tp t="s">
        <v>864.95</v>
        <stp/>
        <stp>3432_NSE@Price</stp>
        <tr r="C24" s="2"/>
      </tp>
      <tp t="s">
        <v>7524.50</v>
        <stp/>
        <stp>317_NSE@Price</stp>
        <tr r="C35" s="2"/>
      </tp>
      <tp t="s">
        <v>424.10</v>
        <stp/>
        <stp>357_NSE@Price</stp>
        <tr r="C150" s="2"/>
      </tp>
      <tp t="s">
        <v>4969.55</v>
        <stp/>
        <stp>157_NSE@Price</stp>
        <tr r="C98" s="2"/>
      </tp>
      <tp t="s">
        <v>3997.50</v>
        <stp/>
        <stp>547_NSE@Price</stp>
        <tr r="C10" s="2"/>
      </tp>
      <tp t="s">
        <v>717.75</v>
        <stp/>
        <stp>467_NSE@Price</stp>
        <tr r="C54" s="2"/>
      </tp>
      <tp t="s">
        <v>719.05</v>
        <stp/>
        <stp>4963_NSE@Price</stp>
        <tr r="C40" s="2"/>
      </tp>
      <tp t="s">
        <v>2898.10</v>
        <stp/>
        <stp>4503_NSE@Price</stp>
        <tr r="C119" s="2"/>
      </tp>
      <tp t="s">
        <v>376.95</v>
        <stp/>
        <stp>6733_NSE@Price</stp>
        <tr r="C169" s="2"/>
      </tp>
      <tp t="s">
        <v>81.25</v>
        <stp/>
        <stp>1023_NSE@Price</stp>
        <tr r="C123" s="2"/>
      </tp>
      <tp t="s">
        <v>468.30</v>
        <stp/>
        <stp>1363_NSE@Price</stp>
        <tr r="C17" s="2"/>
      </tp>
      <tp t="s">
        <v>1581.40</v>
        <stp/>
        <stp>1333_NSE@Price</stp>
        <tr r="C38" s="2"/>
      </tp>
      <tp t="s">
        <v>2575.30</v>
        <stp/>
        <stp>1633_NSE@Price</stp>
        <tr r="C122" s="2"/>
      </tp>
      <tp t="s">
        <v>121.60</v>
        <stp/>
        <stp>2963_NSE@Price</stp>
        <tr r="C106" s="2"/>
      </tp>
      <tp t="s">
        <v>1008.80</v>
        <stp/>
        <stp>2043_NSE@Price</stp>
        <tr r="C85" s="2"/>
      </tp>
      <tp t="s">
        <v>285.00</v>
        <stp/>
        <stp>2263_NSE@Price</stp>
        <tr r="C213" s="2"/>
      </tp>
      <tp t="s">
        <v>1375.80</v>
        <stp/>
        <stp>2303_NSE@Price</stp>
        <tr r="C142" s="2"/>
      </tp>
      <tp t="s">
        <v>5725.05</v>
        <stp/>
        <stp>2643_NSE@Price</stp>
        <tr r="C90" s="2"/>
      </tp>
      <tp t="s">
        <v>302.80</v>
        <stp/>
        <stp>3063_NSE@Price</stp>
        <tr r="C92" s="2"/>
      </tp>
      <tp t="s">
        <v>28287.90</v>
        <stp/>
        <stp>3103_NSE@Price</stp>
        <tr r="C23" s="2"/>
      </tp>
      <tp t="s">
        <v>10139.75</v>
        <stp/>
        <stp>3273_NSE@Price</stp>
        <tr r="C93" s="2"/>
      </tp>
      <tp t="s">
        <v>632.00</v>
        <stp/>
        <stp>144_NSE@Price</stp>
        <tr r="C159" s="2"/>
      </tp>
      <tp t="s">
        <v>213.15</v>
        <stp/>
        <stp>724_NSE@Price</stp>
        <tr r="C72" s="2"/>
      </tp>
      <tp t="s">
        <v>947.80</v>
        <stp/>
        <stp>694_NSE@Price</stp>
        <tr r="C11" s="2"/>
      </tp>
      <tp t="s">
        <v>820.80</v>
        <stp/>
        <stp>404_NSE@Price</stp>
        <tr r="C65" s="2"/>
      </tp>
      <tp t="s">
        <v>2067.50</v>
        <stp/>
        <stp>9590_NSE@Price</stp>
        <tr r="C190" s="2"/>
      </tp>
      <tp t="s">
        <v>786.50</v>
        <stp/>
        <stp>5900_NSE@Price</stp>
        <tr r="C44" s="2"/>
      </tp>
      <tp t="s">
        <v>421.05</v>
        <stp/>
        <stp>1270_NSE@Price</stp>
        <tr r="C76" s="2"/>
      </tp>
      <tp t="s">
        <v>134.00</v>
        <stp/>
        <stp>1250_NSE@Price</stp>
        <tr r="C80" s="2"/>
      </tp>
      <tp t="s">
        <v>2798.50</v>
        <stp/>
        <stp>1330_NSE@Price</stp>
        <tr r="C15" s="2"/>
      </tp>
      <tp t="s">
        <v>211.30</v>
        <stp/>
        <stp>1660_NSE@Price</stp>
        <tr r="C19" s="2"/>
      </tp>
      <tp t="s">
        <v>2272.40</v>
        <stp/>
        <stp>3150_NSE@Price</stp>
        <tr r="C94" s="2"/>
      </tp>
      <tp t="s">
        <v>2294.90</v>
        <stp/>
        <stp>335_NSE@Price</stp>
        <tr r="C63" s="2"/>
      </tp>
      <tp t="s">
        <v>4356.75</v>
        <stp/>
        <stp>305_NSE@Price</stp>
        <tr r="C62" s="2"/>
      </tp>
      <tp t="s">
        <v>727.30</v>
        <stp/>
        <stp>275_NSE@Price</stp>
        <tr r="C126" s="2"/>
      </tp>
      <tp t="s">
        <v>554.05</v>
        <stp/>
        <stp>685_NSE@Price</stp>
        <tr r="C103" s="2"/>
      </tp>
      <tp t="s">
        <v>151.75</v>
        <stp/>
        <stp>5701_NSE@Price</stp>
        <tr r="C138" s="2"/>
      </tp>
      <tp t="s">
        <v>999.15</v>
        <stp/>
        <stp>1901_NSE@Price</stp>
        <tr r="C83" s="2"/>
      </tp>
      <tp t="s">
        <v>793.30</v>
        <stp/>
        <stp>2031_NSE@Price</stp>
        <tr r="C21" s="2"/>
      </tp>
      <tp t="s">
        <v>13859.20</v>
        <stp/>
        <stp>2181_NSE@Price</stp>
        <tr r="C87" s="2"/>
      </tp>
      <tp t="s">
        <v>794.05</v>
        <stp/>
        <stp>3351_NSE@Price</stp>
        <tr r="C36" s="2"/>
      </tp>
      <tp t="s">
        <v>4770.95</v>
        <stp/>
        <stp>3411_NSE@Price</stp>
        <tr r="C111" s="2"/>
      </tp>
      <tp t="s">
        <v>1419.15</v>
        <stp/>
        <stp>3721_NSE@Price</stp>
        <tr r="C104" s="2"/>
      </tp>
      <tp t="s">
        <v>1346.35</v>
        <stp/>
        <stp>958_NSE@Price</stp>
        <tr r="C75" s="2"/>
      </tp>
      <tp t="s">
        <v>803.85</v>
        <stp/>
        <stp>628_NSE@Price</stp>
        <tr r="C69" s="2"/>
      </tp>
      <tp t="s">
        <v>52.55</v>
        <stp/>
        <stp>438_NSE@Price</stp>
        <tr r="C109" s="2"/>
      </tp>
      <tp t="s">
        <v>792.90</v>
        <stp/>
        <stp>739_NSE@Price</stp>
        <tr r="C73" s="2"/>
      </tp>
      <tp t="s">
        <v>77.35</v>
        <stp/>
        <stp>4668_NSE@Price</stp>
        <tr r="C129" s="2"/>
      </tp>
      <tp t="s">
        <v>992.40</v>
        <stp/>
        <stp>5258_NSE@Price</stp>
        <tr r="C43" s="2"/>
      </tp>
      <tp t="s">
        <v>2741.85</v>
        <stp/>
        <stp>1348_NSE@Price</stp>
        <tr r="C16" s="2"/>
      </tp>
      <tp t="s">
        <v>945.30</v>
        <stp/>
        <stp>3918_NSE@Price</stp>
        <tr r="C127" s="2"/>
      </tp>
      <tp t="s">
        <v>3105.90</v>
        <stp/>
        <stp>3518_NSE@Price</stp>
        <tr r="C121" s="2"/>
      </tp>
      <tp t="s">
        <v>995.85</v>
        <stp/>
        <stp>3718_NSE@Price</stp>
        <tr r="C97" s="2"/>
      </tp>
      <tp t="s">
        <v>525.15</v>
        <stp/>
        <stp>8479_NSE@Price</stp>
        <tr r="C140" s="2"/>
      </tp>
      <tp t="s">
        <v>1268.45</v>
        <stp/>
        <stp>9819_NSE@Price</stp>
        <tr r="C118" s="2"/>
      </tp>
      <tp t="s">
        <v>679.55</v>
        <stp/>
        <stp>4749_NSE@Price</stp>
        <tr r="C149" s="2"/>
      </tp>
      <tp t="s">
        <v>554.15</v>
        <stp/>
        <stp>7929_NSE@Price</stp>
        <tr r="C173" s="2"/>
      </tp>
      <tp t="s">
        <v>1182.30</v>
        <stp/>
        <stp>7229_NSE@Price</stp>
        <tr r="C45" s="2"/>
      </tp>
      <tp t="s">
        <v>721.60</v>
        <stp/>
        <stp>2489_NSE@Price</stp>
        <tr r="C146" s="2"/>
      </tp>
      <tp t="s">
        <v>1450.25</v>
        <stp/>
        <stp>3499_NSE@Price</stp>
        <tr r="C26" s="2"/>
      </tp>
      <tp t="s">
        <v>1068.35</v>
        <stp/>
        <stp>3569_NSE@Price</stp>
        <tr r="C215" s="2"/>
      </tp>
      <tp t="s">
        <v>31 Aug 2021, 03:51:47 PM</v>
        <stp/>
        <stp>11351_NSE@altt</stp>
        <tr r="G167" s="2"/>
      </tp>
      <tp t="s">
        <v>31 Aug 2021, 03:54:00 PM</v>
        <stp/>
        <stp>13751_NSE@altt</stp>
        <tr r="G164" s="2"/>
      </tp>
      <tp t="s">
        <v>31 Aug 2021, 03:53:04 PM</v>
        <stp/>
        <stp>18652_NSE@altt</stp>
        <tr r="G176" s="2"/>
      </tp>
      <tp t="s">
        <v>31 Aug 2021, 03:54:53 PM</v>
        <stp/>
        <stp>10753_NSE@altt</stp>
        <tr r="G131" s="2"/>
      </tp>
      <tp t="s">
        <v>31 Aug 2021, 03:57:39 PM</v>
        <stp/>
        <stp>23650_NSE@altt</stp>
        <tr r="G186" s="2"/>
      </tp>
      <tp t="s">
        <v>31 Aug 2021, 03:58:44 PM</v>
        <stp/>
        <stp>11654_NSE@altt</stp>
        <tr r="G206" s="2"/>
      </tp>
      <tp t="s">
        <v>31 Aug 2021, 03:58:55 PM</v>
        <stp/>
        <stp>15355_NSE@altt</stp>
        <tr r="G161" s="2"/>
      </tp>
      <tp t="s">
        <v>31 Aug 2021, 03:51:30 PM</v>
        <stp/>
        <stp>14356_NSE@altt</stp>
        <tr r="G170" s="2"/>
      </tp>
      <tp t="s">
        <v>1721286</v>
        <stp/>
        <stp>19943_NSE@Volume</stp>
        <tr r="D74" s="2"/>
      </tp>
      <tp t="s">
        <v>378858</v>
        <stp/>
        <stp>19913_NSE@Volume</stp>
        <tr r="D204" s="2"/>
      </tp>
      <tp t="s">
        <v>2836964</v>
        <stp/>
        <stp>19234_NSE@Volume</stp>
        <tr r="D209" s="2"/>
      </tp>
      <tp t="s">
        <v>6454620</v>
        <stp/>
        <stp>29135_NSE@Volume</stp>
        <tr r="D199" s="2"/>
      </tp>
      <tp t="s">
        <v>5465973</v>
        <stp/>
        <stp>19061_NSE@Volume</stp>
        <tr r="D135" s="2"/>
      </tp>
      <tp t="s">
        <v>31 Aug 2021, 03:44:03 PM</v>
        <stp/>
        <stp>3918_NSE@altt</stp>
        <tr r="G127" s="2"/>
      </tp>
      <tp t="s">
        <v>31 Aug 2021, 03:42:24 PM</v>
        <stp/>
        <stp>3518_NSE@altt</stp>
        <tr r="G121" s="2"/>
      </tp>
      <tp t="s">
        <v>31 Aug 2021, 03:59:07 PM</v>
        <stp/>
        <stp>3718_NSE@altt</stp>
        <tr r="G97" s="2"/>
      </tp>
      <tp t="s">
        <v>31 Aug 2021, 03:53:57 PM</v>
        <stp/>
        <stp>9819_NSE@altt</stp>
        <tr r="G118" s="2"/>
      </tp>
      <tp t="s">
        <v>31 Aug 2021, 03:58:51 PM</v>
        <stp/>
        <stp>3411_NSE@altt</stp>
        <tr r="G111" s="2"/>
      </tp>
      <tp t="s">
        <v>31 Aug 2021, 03:58:35 PM</v>
        <stp/>
        <stp>3812_NSE@altt</stp>
        <tr r="G116" s="2"/>
      </tp>
      <tp t="s">
        <v>31 Aug 2021, 03:58:29 PM</v>
        <stp/>
        <stp>2412_NSE@altt</stp>
        <tr r="G89" s="2"/>
      </tp>
      <tp t="s">
        <v>31 Aug 2021, 03:58:40 PM</v>
        <stp/>
        <stp>1512_NSE@altt</stp>
        <tr r="G79" s="2"/>
      </tp>
      <tp t="s">
        <v>31 Aug 2021, 03:47:15 PM</v>
        <stp/>
        <stp>1515_NSE@altt</stp>
        <tr r="G78" s="2"/>
      </tp>
      <tp t="s">
        <v>31 Aug 2021, 03:58:31 PM</v>
        <stp/>
        <stp>4717_NSE@altt</stp>
        <tr r="G145" s="2"/>
      </tp>
      <tp t="s">
        <v>31 Aug 2021, 03:57:28 PM</v>
        <stp/>
        <stp>10440_NSE@altt</stp>
        <tr r="G115" s="2"/>
      </tp>
      <tp t="s">
        <v>31 Aug 2021, 03:59:44 PM</v>
        <stp/>
        <stp>10940_NSE@altt</stp>
        <tr r="G52" s="2"/>
      </tp>
      <tp t="s">
        <v>31 Aug 2021, 03:55:33 PM</v>
        <stp/>
        <stp>20242_NSE@altt</stp>
        <tr r="G197" s="2"/>
      </tp>
      <tp t="s">
        <v>31 Aug 2021, 03:47:52 PM</v>
        <stp/>
        <stp>15141_NSE@altt</stp>
        <tr r="G71" s="2"/>
      </tp>
      <tp t="s">
        <v>31 Aug 2021, 03:59:20 PM</v>
        <stp/>
        <stp>19943_NSE@altt</stp>
        <tr r="G74" s="2"/>
      </tp>
      <tp t="s">
        <v>31 Aug 2021, 03:50:39 PM</v>
        <stp/>
        <stp>10243_NSE@altt</stp>
        <tr r="G189" s="2"/>
      </tp>
      <tp t="s">
        <v>31 Aug 2021, 03:56:14 PM</v>
        <stp/>
        <stp>11543_NSE@altt</stp>
        <tr r="G187" s="2"/>
      </tp>
      <tp t="s">
        <v>31 Aug 2021, 03:57:44 PM</v>
        <stp/>
        <stp>10447_NSE@altt</stp>
        <tr r="G141" s="2"/>
      </tp>
      <tp t="s">
        <v>31 Aug 2021, 03:59:58 PM</v>
        <stp/>
        <stp>24948_NSE@altt</stp>
        <tr r="G205" s="2"/>
      </tp>
      <tp t="s">
        <v>369194</v>
        <stp/>
        <stp>18921_NSE@Volume</stp>
        <tr r="D185" s="2"/>
      </tp>
      <tp t="s">
        <v>53829</v>
        <stp/>
        <stp>18822_NSE@Volume</stp>
        <tr r="D201" s="2"/>
      </tp>
      <tp t="s">
        <v>7227276</v>
        <stp/>
        <stp>18391_NSE@Volume</stp>
        <tr r="D134" s="2"/>
      </tp>
      <tp t="s">
        <v>722322</v>
        <stp/>
        <stp>18096_NSE@Volume</stp>
        <tr r="D155" s="2"/>
      </tp>
      <tp t="s">
        <v>248536</v>
        <stp/>
        <stp>18011_NSE@Volume</stp>
        <tr r="D82" s="2"/>
      </tp>
      <tp t="s">
        <v>7583164</v>
        <stp/>
        <stp>18652_NSE@Volume</stp>
        <tr r="D176" s="2"/>
      </tp>
      <tp t="s">
        <v>199497</v>
        <stp/>
        <stp>18564_NSE@Volume</stp>
        <tr r="D208" s="2"/>
      </tp>
      <tp t="s">
        <v>31 Aug 2021, 03:55:31 PM</v>
        <stp/>
        <stp>5900_NSE@altt</stp>
        <tr r="G44" s="2"/>
      </tp>
      <tp t="s">
        <v>31 Aug 2021, 03:50:33 PM</v>
        <stp/>
        <stp>1901_NSE@altt</stp>
        <tr r="G83" s="2"/>
      </tp>
      <tp t="s">
        <v>31 Aug 2021, 03:54:15 PM</v>
        <stp/>
        <stp>5701_NSE@altt</stp>
        <tr r="G138" s="2"/>
      </tp>
      <tp t="s">
        <v>31 Aug 2021, 03:50:55 PM</v>
        <stp/>
        <stp>3103_NSE@altt</stp>
        <tr r="G23" s="2"/>
      </tp>
      <tp t="s">
        <v>31 Aug 2021, 03:58:24 PM</v>
        <stp/>
        <stp>2303_NSE@altt</stp>
        <tr r="G142" s="2"/>
      </tp>
      <tp t="s">
        <v>31 Aug 2021, 03:58:41 PM</v>
        <stp/>
        <stp>4503_NSE@altt</stp>
        <tr r="G119" s="2"/>
      </tp>
      <tp t="s">
        <v>31 Aug 2021, 03:58:36 PM</v>
        <stp/>
        <stp>3405_NSE@altt</stp>
        <tr r="G95" s="2"/>
      </tp>
      <tp t="s">
        <v>31 Aug 2021, 03:59:04 PM</v>
        <stp/>
        <stp>3506_NSE@altt</stp>
        <tr r="G29" s="2"/>
      </tp>
      <tp t="s">
        <v>31 Aug 2021, 03:58:20 PM</v>
        <stp/>
        <stp>1406_NSE@altt</stp>
        <tr r="G108" s="2"/>
      </tp>
      <tp t="s">
        <v>31 Aug 2021, 03:57:24 PM</v>
        <stp/>
        <stp>7406_NSE@altt</stp>
        <tr r="G171" s="2"/>
      </tp>
      <tp t="s">
        <v>31 Aug 2021, 03:55:48 PM</v>
        <stp/>
        <stp>4306_NSE@altt</stp>
        <tr r="G100" s="2"/>
      </tp>
      <tp t="s">
        <v>31 Aug 2021, 03:59:40 PM</v>
        <stp/>
        <stp>17971_NSE@altt</stp>
        <tr r="G168" s="2"/>
      </tp>
      <tp t="s">
        <v>31 Aug 2021, 03:55:23 PM</v>
        <stp/>
        <stp>14672_NSE@altt</stp>
        <tr r="G184" s="2"/>
      </tp>
      <tp t="s">
        <v>31 Aug 2021, 03:59:21 PM</v>
        <stp/>
        <stp>11373_NSE@altt</stp>
        <tr r="G156" s="2"/>
      </tp>
      <tp t="s">
        <v>31 Aug 2021, 03:51:59 PM</v>
        <stp/>
        <stp>21770_NSE@altt</stp>
        <tr r="G177" s="2"/>
      </tp>
      <tp t="s">
        <v>31 Aug 2021, 03:59:54 PM</v>
        <stp/>
        <stp>16675_NSE@altt</stp>
        <tr r="G58" s="2"/>
      </tp>
      <tp t="s">
        <v>31 Aug 2021, 03:56:55 PM</v>
        <stp/>
        <stp>17875_NSE@altt</stp>
        <tr r="G158" s="2"/>
      </tp>
      <tp t="s">
        <v>31 Aug 2021, 03:58:33 PM</v>
        <stp/>
        <stp>20374_NSE@altt</stp>
        <tr r="G49" s="2"/>
      </tp>
      <tp t="s">
        <v>31 Aug 2021, 03:59:27 PM</v>
        <stp/>
        <stp>14977_NSE@altt</stp>
        <tr r="G41" s="2"/>
      </tp>
      <tp t="s">
        <v>4309112</v>
        <stp/>
        <stp>8479_NSE@Volume</stp>
        <tr r="D140" s="2"/>
      </tp>
      <tp t="s">
        <v>244376</v>
        <stp/>
        <stp>8075_NSE@Volume</stp>
        <tr r="D216" s="2"/>
      </tp>
      <tp t="s">
        <v>106173</v>
        <stp/>
        <stp>8124_NSE@Volume</stp>
        <tr r="D153" s="2"/>
      </tp>
      <tp t="s">
        <v>31 Aug 2021, 03:57:19 PM</v>
        <stp/>
        <stp>1330_NSE@altt</stp>
        <tr r="G15" s="2"/>
      </tp>
      <tp t="s">
        <v>31 Aug 2021, 03:59:52 PM</v>
        <stp/>
        <stp>2031_NSE@altt</stp>
        <tr r="G21" s="2"/>
      </tp>
      <tp t="s">
        <v>31 Aug 2021, 03:52:06 PM</v>
        <stp/>
        <stp>3432_NSE@altt</stp>
        <tr r="G24" s="2"/>
      </tp>
      <tp t="s">
        <v>31 Aug 2021, 03:56:52 PM</v>
        <stp/>
        <stp>1232_NSE@altt</stp>
        <tr r="G14" s="2"/>
      </tp>
      <tp t="s">
        <v>31 Aug 2021, 03:58:48 PM</v>
        <stp/>
        <stp>1633_NSE@altt</stp>
        <tr r="G122" s="2"/>
      </tp>
      <tp t="s">
        <v>31 Aug 2021, 03:59:56 PM</v>
        <stp/>
        <stp>1333_NSE@altt</stp>
        <tr r="G38" s="2"/>
      </tp>
      <tp t="s">
        <v>31 Aug 2021, 03:57:47 PM</v>
        <stp/>
        <stp>6733_NSE@altt</stp>
        <tr r="G169" s="2"/>
      </tp>
      <tp t="s">
        <v>31 Aug 2021, 03:29:57 PM</v>
        <stp/>
        <stp>2535_NSE@altt</stp>
        <tr r="G91" s="2"/>
      </tp>
      <tp t="s">
        <v>31 Aug 2021, 03:56:50 PM</v>
        <stp/>
        <stp>11860_NSE@altt</stp>
        <tr r="G133" s="2"/>
      </tp>
      <tp t="s">
        <v>31 Aug 2021, 03:58:42 PM</v>
        <stp/>
        <stp>19061_NSE@altt</stp>
        <tr r="G135" s="2"/>
      </tp>
      <tp t="s">
        <v>31 Aug 2021, 03:56:25 PM</v>
        <stp/>
        <stp>11262_NSE@altt</stp>
        <tr r="G172" s="2"/>
      </tp>
      <tp t="s">
        <v>31 Aug 2021, 03:58:36 PM</v>
        <stp/>
        <stp>15362_NSE@altt</stp>
        <tr r="G166" s="2"/>
      </tp>
      <tp t="s">
        <v>31 Aug 2021, 03:45:35 PM</v>
        <stp/>
        <stp>17963_NSE@altt</stp>
        <tr r="G13" s="2"/>
      </tp>
      <tp t="s">
        <v>31 Aug 2021, 03:59:46 PM</v>
        <stp/>
        <stp>18564_NSE@altt</stp>
        <tr r="G208" s="2"/>
      </tp>
      <tp t="s">
        <v>31 Aug 2021, 03:59:48 PM</v>
        <stp/>
        <stp>10666_NSE@altt</stp>
        <tr r="G139" s="2"/>
      </tp>
      <tp t="s">
        <v>31 Aug 2021, 03:59:56 PM</v>
        <stp/>
        <stp>14366_NSE@altt</stp>
        <tr r="G179" s="2"/>
      </tp>
      <tp t="s">
        <v>31 Aug 2021, 03:52:52 PM</v>
        <stp/>
        <stp>16669_NSE@altt</stp>
        <tr r="G57" s="2"/>
      </tp>
      <tp t="s">
        <v>0</v>
        <stp/>
        <stp>17869_NSE@altt</stp>
        <tr r="G192" s="2"/>
      </tp>
      <tp t="s">
        <v>18666411</v>
        <stp/>
        <stp>9685_NSE@Volume</stp>
        <tr r="D114" s="2"/>
      </tp>
      <tp t="s">
        <v>1444108</v>
        <stp/>
        <stp>9590_NSE@Volume</stp>
        <tr r="D190" s="2"/>
      </tp>
      <tp t="s">
        <v>4863922</v>
        <stp/>
        <stp>9819_NSE@Volume</stp>
        <tr r="D118" s="2"/>
      </tp>
      <tp t="s">
        <v>31 Aug 2021, 03:58:32 PM</v>
        <stp/>
        <stp>7929_NSE@altt</stp>
        <tr r="G173" s="2"/>
      </tp>
      <tp t="s">
        <v>31 Aug 2021, 03:59:49 PM</v>
        <stp/>
        <stp>7229_NSE@altt</stp>
        <tr r="G45" s="2"/>
      </tp>
      <tp t="s">
        <v>31 Aug 2021, 03:59:58 PM</v>
        <stp/>
        <stp>3721_NSE@altt</stp>
        <tr r="G104" s="2"/>
      </tp>
      <tp t="s">
        <v>31 Aug 2021, 03:52:21 PM</v>
        <stp/>
        <stp>1922_NSE@altt</stp>
        <tr r="G32" s="2"/>
      </tp>
      <tp t="s">
        <v>31 Aug 2021, 03:58:26 PM</v>
        <stp/>
        <stp>1023_NSE@altt</stp>
        <tr r="G123" s="2"/>
      </tp>
      <tp t="s">
        <v>31 Aug 2021, 03:43:27 PM</v>
        <stp/>
        <stp>8124_NSE@altt</stp>
        <tr r="G153" s="2"/>
      </tp>
      <tp t="s">
        <v>31 Aug 2021, 03:53:39 PM</v>
        <stp/>
        <stp>1424_NSE@altt</stp>
        <tr r="G110" s="2"/>
      </tp>
      <tp t="s">
        <v>31 Aug 2021, 03:59:07 PM</v>
        <stp/>
        <stp>1624_NSE@altt</stp>
        <tr r="G48" s="2"/>
      </tp>
      <tp t="s">
        <v>31 Aug 2021, 03:59:33 PM</v>
        <stp/>
        <stp>3426_NSE@altt</stp>
        <tr r="G96" s="2"/>
      </tp>
      <tp t="s">
        <v>31 Aug 2021, 03:59:29 PM</v>
        <stp/>
        <stp>20413_NSE@altt</stp>
        <tr r="G101" s="2"/>
      </tp>
      <tp t="s">
        <v>31 Aug 2021, 03:50:39 PM</v>
        <stp/>
        <stp>18011_NSE@altt</stp>
        <tr r="G82" s="2"/>
      </tp>
      <tp t="s">
        <v>31 Aug 2021, 03:58:34 PM</v>
        <stp/>
        <stp>13611_NSE@altt</stp>
        <tr r="G181" s="2"/>
      </tp>
      <tp t="s">
        <v>31 Aug 2021, 03:52:42 PM</v>
        <stp/>
        <stp>19913_NSE@altt</stp>
        <tr r="G204" s="2"/>
      </tp>
      <tp t="s">
        <v>31 Aug 2021, 03:29:52 PM</v>
        <stp/>
        <stp>14413_NSE@altt</stp>
        <tr r="G147" s="2"/>
      </tp>
      <tp t="s">
        <v>31 Aug 2021, 03:54:19 PM</v>
        <stp/>
        <stp>16713_NSE@altt</stp>
        <tr r="G180" s="2"/>
      </tp>
      <tp t="s">
        <v>31 Aug 2021, 03:59:59 PM</v>
        <stp/>
        <stp>11915_NSE@altt</stp>
        <tr r="G188" s="2"/>
      </tp>
      <tp t="s">
        <v>31 Aug 2021, 03:59:05 PM</v>
        <stp/>
        <stp>21614_NSE@altt</stp>
        <tr r="G202" s="2"/>
      </tp>
      <tp t="s">
        <v>31 Aug 2021, 03:55:15 PM</v>
        <stp/>
        <stp>13517_NSE@altt</stp>
        <tr r="G136" s="2"/>
      </tp>
      <tp t="s">
        <v>31 Aug 2021, 03:43:18 PM</v>
        <stp/>
        <stp>17818_NSE@altt</stp>
        <tr r="G162" s="2"/>
      </tp>
      <tp t="s">
        <v>31 Aug 2021, 03:59:56 PM</v>
        <stp/>
        <stp>5258_NSE@altt</stp>
        <tr r="G43" s="2"/>
      </tp>
      <tp t="s">
        <v>31 Aug 2021, 03:54:46 PM</v>
        <stp/>
        <stp>3150_NSE@altt</stp>
        <tr r="G94" s="2"/>
      </tp>
      <tp t="s">
        <v>31 Aug 2021, 03:48:08 PM</v>
        <stp/>
        <stp>1250_NSE@altt</stp>
        <tr r="G80" s="2"/>
      </tp>
      <tp t="s">
        <v>31 Aug 2021, 03:59:16 PM</v>
        <stp/>
        <stp>3351_NSE@altt</stp>
        <tr r="G36" s="2"/>
      </tp>
      <tp t="s">
        <v>31 Aug 2021, 03:59:53 PM</v>
        <stp/>
        <stp>3456_NSE@altt</stp>
        <tr r="G25" s="2"/>
      </tp>
      <tp t="s">
        <v>31 Aug 2021, 03:55:22 PM</v>
        <stp/>
        <stp>20302_NSE@altt</stp>
        <tr r="G151" s="2"/>
      </tp>
      <tp t="s">
        <v>31 Aug 2021, 03:53:02 PM</v>
        <stp/>
        <stp>11703_NSE@altt</stp>
        <tr r="G165" s="2"/>
      </tp>
      <tp t="s">
        <v>31 Aug 2021, 03:47:30 PM</v>
        <stp/>
        <stp>17903_NSE@altt</stp>
        <tr r="G68" s="2"/>
      </tp>
      <tp t="s">
        <v>31 Aug 2021, 03:58:46 PM</v>
        <stp/>
        <stp>10604_NSE@altt</stp>
        <tr r="G50" s="2"/>
      </tp>
      <tp t="s">
        <v>31 Aug 2021, 03:58:00 PM</v>
        <stp/>
        <stp>13404_NSE@altt</stp>
        <tr r="G157" s="2"/>
      </tp>
      <tp t="s">
        <v>31 Aug 2021, 03:57:05 PM</v>
        <stp/>
        <stp>30108_NSE@altt</stp>
        <tr r="G203" s="2"/>
      </tp>
      <tp t="s">
        <v>31 Aug 2021, 03:52:36 PM</v>
        <stp/>
        <stp>21808_NSE@altt</stp>
        <tr r="G55" s="2"/>
      </tp>
      <tp t="s">
        <v>31 Aug 2021, 03:58:27 PM</v>
        <stp/>
        <stp>1348_NSE@altt</stp>
        <tr r="G16" s="2"/>
      </tp>
      <tp t="s">
        <v>31 Aug 2021, 03:50:59 PM</v>
        <stp/>
        <stp>4749_NSE@altt</stp>
        <tr r="G149" s="2"/>
      </tp>
      <tp t="s">
        <v>31 Aug 2021, 03:40:02 PM</v>
        <stp/>
        <stp>2142_NSE@altt</stp>
        <tr r="G86" s="2"/>
      </tp>
      <tp t="s">
        <v>31 Aug 2021, 03:46:12 PM</v>
        <stp/>
        <stp>1442_NSE@altt</stp>
        <tr r="G77" s="2"/>
      </tp>
      <tp t="s">
        <v>31 Aug 2021, 03:57:10 PM</v>
        <stp/>
        <stp>2643_NSE@altt</stp>
        <tr r="G90" s="2"/>
      </tp>
      <tp t="s">
        <v>31 Aug 2021, 03:46:36 PM</v>
        <stp/>
        <stp>2043_NSE@altt</stp>
        <tr r="G85" s="2"/>
      </tp>
      <tp t="s">
        <v>31 Aug 2021, 03:55:05 PM</v>
        <stp/>
        <stp>4244_NSE@altt</stp>
        <tr r="G174" s="2"/>
      </tp>
      <tp t="s">
        <v>31 Aug 2021, 03:59:13 PM</v>
        <stp/>
        <stp>3045_NSE@altt</stp>
        <tr r="G30" s="2"/>
      </tp>
      <tp t="s">
        <v>31 Aug 2021, 03:59:39 PM</v>
        <stp/>
        <stp>4745_NSE@altt</stp>
        <tr r="G132" s="2"/>
      </tp>
      <tp t="s">
        <v>31 Aug 2021, 03:59:19 PM</v>
        <stp/>
        <stp>11630_NSE@altt</stp>
        <tr r="G47" s="2"/>
      </tp>
      <tp t="s">
        <v>31 Aug 2021, 03:58:09 PM</v>
        <stp/>
        <stp>11532_NSE@altt</stp>
        <tr r="G56" s="2"/>
      </tp>
      <tp t="s">
        <v>31 Aug 2021, 03:57:39 PM</v>
        <stp/>
        <stp>14732_NSE@altt</stp>
        <tr r="G137" s="2"/>
      </tp>
      <tp t="s">
        <v>31 Aug 2021, 03:57:43 PM</v>
        <stp/>
        <stp>15332_NSE@altt</stp>
        <tr r="G143" s="2"/>
      </tp>
      <tp t="s">
        <v>31 Aug 2021, 03:57:35 PM</v>
        <stp/>
        <stp>19234_NSE@altt</stp>
        <tr r="G209" s="2"/>
      </tp>
      <tp t="s">
        <v>31 Aug 2021, 03:50:28 PM</v>
        <stp/>
        <stp>17534_NSE@altt</stp>
        <tr r="G152" s="2"/>
      </tp>
      <tp t="s">
        <v>31 Aug 2021, 03:59:56 PM</v>
        <stp/>
        <stp>14435_NSE@altt</stp>
        <tr r="G81" s="2"/>
      </tp>
      <tp t="s">
        <v>31 Aug 2021, 03:59:56 PM</v>
        <stp/>
        <stp>29135_NSE@altt</stp>
        <tr r="G199" s="2"/>
      </tp>
      <tp t="s">
        <v>31 Aug 2021, 03:59:46 PM</v>
        <stp/>
        <stp>11536_NSE@altt</stp>
        <tr r="G39" s="2"/>
      </tp>
      <tp t="s">
        <v>31 Aug 2021, 03:58:27 PM</v>
        <stp/>
        <stp>13538_NSE@altt</stp>
        <tr r="G51" s="2"/>
      </tp>
      <tp t="s">
        <v>31 Aug 2021, 03:59:43 PM</v>
        <stp/>
        <stp>17438_NSE@altt</stp>
        <tr r="G128" s="2"/>
      </tp>
      <tp t="s">
        <v>31 Aug 2021, 03:59:45 PM</v>
        <stp/>
        <stp>21238_NSE@altt</stp>
        <tr r="G194" s="2"/>
      </tp>
      <tp t="s">
        <v>31 Aug 2021, 03:53:00 PM</v>
        <stp/>
        <stp>8479_NSE@altt</stp>
        <tr r="G140" s="2"/>
      </tp>
      <tp t="s">
        <v>31 Aug 2021, 03:49:58 PM</v>
        <stp/>
        <stp>1270_NSE@altt</stp>
        <tr r="G76" s="2"/>
      </tp>
      <tp t="s">
        <v>31 Aug 2021, 03:58:51 PM</v>
        <stp/>
        <stp>3273_NSE@altt</stp>
        <tr r="G93" s="2"/>
      </tp>
      <tp t="s">
        <v>31 Aug 2021, 03:57:42 PM</v>
        <stp/>
        <stp>6074_NSE@altt</stp>
        <tr r="G198" s="2"/>
      </tp>
      <tp t="s">
        <v>31 Aug 2021, 03:58:31 PM</v>
        <stp/>
        <stp>8075_NSE@altt</stp>
        <tr r="G216" s="2"/>
      </tp>
      <tp t="s">
        <v>31 Aug 2021, 03:59:59 PM</v>
        <stp/>
        <stp>2475_NSE@altt</stp>
        <tr r="G46" s="2"/>
      </tp>
      <tp t="s">
        <v>31 Aug 2021, 03:54:07 PM</v>
        <stp/>
        <stp>2277_NSE@altt</stp>
        <tr r="G88" s="2"/>
      </tp>
      <tp t="s">
        <v>31 Aug 2021, 03:55:24 PM</v>
        <stp/>
        <stp>18921_NSE@altt</stp>
        <tr r="G185" s="2"/>
      </tp>
      <tp t="s">
        <v>31 Aug 2021, 03:52:41 PM</v>
        <stp/>
        <stp>10221_NSE@altt</stp>
        <tr r="G212" s="2"/>
      </tp>
      <tp t="s">
        <v>31 Aug 2021, 03:44:33 PM</v>
        <stp/>
        <stp>18822_NSE@altt</stp>
        <tr r="G201" s="2"/>
      </tp>
      <tp t="s">
        <v>31 Aug 2021, 03:58:29 PM</v>
        <stp/>
        <stp>11723_NSE@altt</stp>
        <tr r="G37" s="2"/>
      </tp>
      <tp t="s">
        <v>31 Aug 2021, 03:50:36 PM</v>
        <stp/>
        <stp>10925_NSE@altt</stp>
        <tr r="G99" s="2"/>
      </tp>
      <tp t="s">
        <v>31 Aug 2021, 03:40:09 PM</v>
        <stp/>
        <stp>10726_NSE@altt</stp>
        <tr r="G214" s="2"/>
      </tp>
      <tp t="s">
        <v>31 Aug 2021, 03:59:17 PM</v>
        <stp/>
        <stp>30125_NSE@altt</stp>
        <tr r="G196" s="2"/>
      </tp>
      <tp t="s">
        <v>31 Aug 2021, 03:50:21 PM</v>
        <stp/>
        <stp>13528_NSE@altt</stp>
        <tr r="G178" s="2"/>
      </tp>
      <tp t="s">
        <v>31 Aug 2021, 03:57:29 PM</v>
        <stp/>
        <stp>25328_NSE@altt</stp>
        <tr r="G200" s="2"/>
      </tp>
      <tp t="s">
        <v>31 Aug 2021, 03:59:53 PM</v>
        <stp/>
        <stp>4668_NSE@altt</stp>
        <tr r="G129" s="2"/>
      </tp>
      <tp t="s">
        <v>31 Aug 2021, 03:52:27 PM</v>
        <stp/>
        <stp>3569_NSE@altt</stp>
        <tr r="G215" s="2"/>
      </tp>
      <tp t="s">
        <v>31 Aug 2021, 03:59:54 PM</v>
        <stp/>
        <stp>1660_NSE@altt</stp>
        <tr r="G19" s="2"/>
      </tp>
      <tp t="s">
        <v>31 Aug 2021, 03:58:22 PM</v>
        <stp/>
        <stp>3063_NSE@altt</stp>
        <tr r="G92" s="2"/>
      </tp>
      <tp t="s">
        <v>31 Aug 2021, 03:58:44 PM</v>
        <stp/>
        <stp>2963_NSE@altt</stp>
        <tr r="G106" s="2"/>
      </tp>
      <tp t="s">
        <v>31 Aug 2021, 03:54:52 PM</v>
        <stp/>
        <stp>2263_NSE@altt</stp>
        <tr r="G213" s="2"/>
      </tp>
      <tp t="s">
        <v>31 Aug 2021, 03:58:50 PM</v>
        <stp/>
        <stp>1363_NSE@altt</stp>
        <tr r="G17" s="2"/>
      </tp>
      <tp t="s">
        <v>31 Aug 2021, 03:57:46 PM</v>
        <stp/>
        <stp>4963_NSE@altt</stp>
        <tr r="G40" s="2"/>
      </tp>
      <tp t="s">
        <v>31 Aug 2021, 03:58:15 PM</v>
        <stp/>
        <stp>2664_NSE@altt</stp>
        <tr r="G117" s="2"/>
      </tp>
      <tp t="s">
        <v>31 Aug 2021, 03:52:59 PM</v>
        <stp/>
        <stp>1964_NSE@altt</stp>
        <tr r="G84" s="2"/>
      </tp>
      <tp t="s">
        <v>31 Aug 2021, 03:58:44 PM</v>
        <stp/>
        <stp>6364_NSE@altt</stp>
        <tr r="G107" s="2"/>
      </tp>
      <tp t="s">
        <v>31 Aug 2021, 03:52:16 PM</v>
        <stp/>
        <stp>4067_NSE@altt</stp>
        <tr r="G148" s="2"/>
      </tp>
      <tp t="s">
        <v>89884569</v>
        <stp/>
        <stp>11915_NSE@Volume</stp>
        <tr r="D188" s="2"/>
      </tp>
      <tp t="s">
        <v>994527</v>
        <stp/>
        <stp>11860_NSE@Volume</stp>
        <tr r="D133" s="2"/>
      </tp>
      <tp t="s">
        <v>1719768</v>
        <stp/>
        <stp>21808_NSE@Volume</stp>
        <tr r="D55" s="2"/>
      </tp>
      <tp t="s">
        <v>7168834</v>
        <stp/>
        <stp>11351_NSE@Volume</stp>
        <tr r="D167" s="2"/>
      </tp>
      <tp t="s">
        <v>2105520</v>
        <stp/>
        <stp>11373_NSE@Volume</stp>
        <tr r="D156" s="2"/>
      </tp>
      <tp t="s">
        <v>3074791</v>
        <stp/>
        <stp>11287_NSE@Volume</stp>
        <tr r="D33" s="2"/>
      </tp>
      <tp t="s">
        <v>4255913</v>
        <stp/>
        <stp>11262_NSE@Volume</stp>
        <tr r="D172" s="2"/>
      </tp>
      <tp t="s">
        <v>13040293</v>
        <stp/>
        <stp>21238_NSE@Volume</stp>
        <tr r="D194" s="2"/>
      </tp>
      <tp t="s">
        <v>1684036</v>
        <stp/>
        <stp>11195_NSE@Volume</stp>
        <tr r="D193" s="2"/>
      </tp>
      <tp t="s">
        <v>41496912</v>
        <stp/>
        <stp>11184_NSE@Volume</stp>
        <tr r="D210" s="2"/>
      </tp>
      <tp t="s">
        <v>714442</v>
        <stp/>
        <stp>21770_NSE@Volume</stp>
        <tr r="D177" s="2"/>
      </tp>
      <tp t="s">
        <v>90295</v>
        <stp/>
        <stp>11703_NSE@Volume</stp>
        <tr r="D165" s="2"/>
      </tp>
      <tp t="s">
        <v>5399215</v>
        <stp/>
        <stp>11723_NSE@Volume</stp>
        <tr r="D37" s="2"/>
      </tp>
      <tp t="s">
        <v>241465</v>
        <stp/>
        <stp>21690_NSE@Volume</stp>
        <tr r="D195" s="2"/>
      </tp>
      <tp t="s">
        <v>335279</v>
        <stp/>
        <stp>11654_NSE@Volume</stp>
        <tr r="D206" s="2"/>
      </tp>
      <tp t="s">
        <v>1655331</v>
        <stp/>
        <stp>21614_NSE@Volume</stp>
        <tr r="D202" s="2"/>
      </tp>
      <tp t="s">
        <v>11386659</v>
        <stp/>
        <stp>11630_NSE@Volume</stp>
        <tr r="D47" s="2"/>
      </tp>
      <tp t="s">
        <v>650782</v>
        <stp/>
        <stp>11543_NSE@Volume</stp>
        <tr r="D187" s="2"/>
      </tp>
      <tp t="s">
        <v>475968</v>
        <stp/>
        <stp>11532_NSE@Volume</stp>
        <tr r="D56" s="2"/>
      </tp>
      <tp t="s">
        <v>3207480</v>
        <stp/>
        <stp>11536_NSE@Volume</stp>
        <tr r="D39" s="2"/>
      </tp>
      <tp t="s">
        <v>3264644</v>
        <stp/>
        <stp>11483_NSE@Volume</stp>
        <tr r="D20" s="2"/>
      </tp>
      <tp t="s">
        <v>644194</v>
        <stp/>
        <stp>2664_NSE@Volume</stp>
        <tr r="D117" s="2"/>
      </tp>
      <tp t="s">
        <v>32942</v>
        <stp/>
        <stp>2643_NSE@Volume</stp>
        <tr r="D90" s="2"/>
      </tp>
      <tp t="s">
        <v>13376290</v>
        <stp/>
        <stp>2475_NSE@Volume</stp>
        <tr r="D46" s="2"/>
      </tp>
      <tp t="s">
        <v>1019155</v>
        <stp/>
        <stp>2412_NSE@Volume</stp>
        <tr r="D89" s="2"/>
      </tp>
      <tp t="s">
        <v>259360</v>
        <stp/>
        <stp>2489_NSE@Volume</stp>
        <tr r="D146" s="2"/>
      </tp>
      <tp t="s">
        <v>5588</v>
        <stp/>
        <stp>2535_NSE@Volume</stp>
        <tr r="D91" s="2"/>
      </tp>
      <tp t="s">
        <v>14859</v>
        <stp/>
        <stp>2277_NSE@Volume</stp>
        <tr r="D88" s="2"/>
      </tp>
      <tp t="s">
        <v>6756768</v>
        <stp/>
        <stp>2263_NSE@Volume</stp>
        <tr r="D213" s="2"/>
      </tp>
      <tp t="s">
        <v>1253854</v>
        <stp/>
        <stp>2303_NSE@Volume</stp>
        <tr r="D142" s="2"/>
      </tp>
      <tp t="s">
        <v>325284</v>
        <stp/>
        <stp>2043_NSE@Volume</stp>
        <tr r="D85" s="2"/>
      </tp>
      <tp t="s">
        <v>3324467</v>
        <stp/>
        <stp>2031_NSE@Volume</stp>
        <tr r="D21" s="2"/>
      </tp>
      <tp t="s">
        <v>913776</v>
        <stp/>
        <stp>2142_NSE@Volume</stp>
        <tr r="D86" s="2"/>
      </tp>
      <tp t="s">
        <v>21977</v>
        <stp/>
        <stp>2181_NSE@Volume</stp>
        <tr r="D87" s="2"/>
      </tp>
      <tp t="s">
        <v>12223037</v>
        <stp/>
        <stp>2885_NSE@Volume</stp>
        <tr r="D22" s="2"/>
      </tp>
      <tp t="s">
        <v>31984469</v>
        <stp/>
        <stp>2963_NSE@Volume</stp>
        <tr r="D106" s="2"/>
      </tp>
      <tp t="s">
        <v>31 Aug 2021, 03:58:07 PM</v>
        <stp/>
        <stp>3499_NSE@altt</stp>
        <tr r="G26" s="2"/>
      </tp>
      <tp t="s">
        <v>31 Aug 2021, 03:59:16 PM</v>
        <stp/>
        <stp>9590_NSE@altt</stp>
        <tr r="G190" s="2"/>
      </tp>
      <tp t="s">
        <v>31 Aug 2021, 03:59:49 PM</v>
        <stp/>
        <stp>1594_NSE@altt</stp>
        <tr r="G34" s="2"/>
      </tp>
      <tp t="s">
        <v>31 Aug 2021, 03:59:41 PM</v>
        <stp/>
        <stp>1394_NSE@altt</stp>
        <tr r="G18" s="2"/>
      </tp>
      <tp t="s">
        <v>31 Aug 2021, 03:57:46 PM</v>
        <stp/>
        <stp>1997_NSE@altt</stp>
        <tr r="G125" s="2"/>
      </tp>
      <tp t="s">
        <v>938326</v>
        <stp/>
        <stp>10999_NSE@Volume</stp>
        <tr r="D42" s="2"/>
      </tp>
      <tp t="s">
        <v>896587</v>
        <stp/>
        <stp>10940_NSE@Volume</stp>
        <tr r="D52" s="2"/>
      </tp>
      <tp t="s">
        <v>352459</v>
        <stp/>
        <stp>10925_NSE@Volume</stp>
        <tr r="D99" s="2"/>
      </tp>
      <tp t="s">
        <v>14301855</v>
        <stp/>
        <stp>20374_NSE@Volume</stp>
        <tr r="D49" s="2"/>
      </tp>
      <tp t="s">
        <v>861054</v>
        <stp/>
        <stp>20302_NSE@Volume</stp>
        <tr r="D151" s="2"/>
      </tp>
      <tp t="s">
        <v>251207</v>
        <stp/>
        <stp>20242_NSE@Volume</stp>
        <tr r="D197" s="2"/>
      </tp>
      <tp t="s">
        <v>1865150</v>
        <stp/>
        <stp>10243_NSE@Volume</stp>
        <tr r="D189" s="2"/>
      </tp>
      <tp t="s">
        <v>545234</v>
        <stp/>
        <stp>10221_NSE@Volume</stp>
        <tr r="D212" s="2"/>
      </tp>
      <tp t="s">
        <v>1472771</v>
        <stp/>
        <stp>30108_NSE@Volume</stp>
        <tr r="D203" s="2"/>
      </tp>
      <tp t="s">
        <v>11480181</v>
        <stp/>
        <stp>30125_NSE@Volume</stp>
        <tr r="D196" s="2"/>
      </tp>
      <tp t="s">
        <v>1993712</v>
        <stp/>
        <stp>10099_NSE@Volume</stp>
        <tr r="D175" s="2"/>
      </tp>
      <tp t="s">
        <v>32668471</v>
        <stp/>
        <stp>10794_NSE@Volume</stp>
        <tr r="D130" s="2"/>
      </tp>
      <tp t="s">
        <v>8484467</v>
        <stp/>
        <stp>10753_NSE@Volume</stp>
        <tr r="D131" s="2"/>
      </tp>
      <tp t="s">
        <v>318931</v>
        <stp/>
        <stp>10726_NSE@Volume</stp>
        <tr r="D214" s="2"/>
      </tp>
      <tp t="s">
        <v>56641931</v>
        <stp/>
        <stp>10666_NSE@Volume</stp>
        <tr r="D139" s="2"/>
      </tp>
      <tp t="s">
        <v>59661820</v>
        <stp/>
        <stp>10604_NSE@Volume</stp>
        <tr r="D50" s="2"/>
      </tp>
      <tp t="s">
        <v>1727498</v>
        <stp/>
        <stp>10599_NSE@Volume</stp>
        <tr r="D207" s="2"/>
      </tp>
      <tp t="s">
        <v>1286167</v>
        <stp/>
        <stp>10440_NSE@Volume</stp>
        <tr r="D115" s="2"/>
      </tp>
      <tp t="s">
        <v>2952559</v>
        <stp/>
        <stp>10447_NSE@Volume</stp>
        <tr r="D141" s="2"/>
      </tp>
      <tp t="s">
        <v>472597</v>
        <stp/>
        <stp>20413_NSE@Volume</stp>
        <tr r="D101" s="2"/>
      </tp>
      <tp t="s">
        <v>206609</v>
        <stp/>
        <stp>3721_NSE@Volume</stp>
        <tr r="D104" s="2"/>
      </tp>
      <tp t="s">
        <v>1194523</v>
        <stp/>
        <stp>3718_NSE@Volume</stp>
        <tr r="D97" s="2"/>
      </tp>
      <tp t="s">
        <v>7795908</v>
        <stp/>
        <stp>3787_NSE@Volume</stp>
        <tr r="D27" s="2"/>
      </tp>
      <tp t="s">
        <v>36951003</v>
        <stp/>
        <stp>3456_NSE@Volume</stp>
        <tr r="D25" s="2"/>
      </tp>
      <tp t="s">
        <v>2132008</v>
        <stp/>
        <stp>3432_NSE@Volume</stp>
        <tr r="D24" s="2"/>
      </tp>
      <tp t="s">
        <v>24301446</v>
        <stp/>
        <stp>3426_NSE@Volume</stp>
        <tr r="D96" s="2"/>
      </tp>
      <tp t="s">
        <v>137157</v>
        <stp/>
        <stp>3411_NSE@Volume</stp>
        <tr r="D111" s="2"/>
      </tp>
      <tp t="s">
        <v>4538227</v>
        <stp/>
        <stp>3405_NSE@Volume</stp>
        <tr r="D95" s="2"/>
      </tp>
      <tp t="s">
        <v>24752108</v>
        <stp/>
        <stp>3499_NSE@Volume</stp>
        <tr r="D26" s="2"/>
      </tp>
      <tp t="s">
        <v>2737522</v>
        <stp/>
        <stp>3569_NSE@Volume</stp>
        <tr r="D215" s="2"/>
      </tp>
      <tp t="s">
        <v>303454</v>
        <stp/>
        <stp>3518_NSE@Volume</stp>
        <tr r="D121" s="2"/>
      </tp>
      <tp t="s">
        <v>1816071</v>
        <stp/>
        <stp>3506_NSE@Volume</stp>
        <tr r="D29" s="2"/>
      </tp>
      <tp t="s">
        <v>972455</v>
        <stp/>
        <stp>3273_NSE@Volume</stp>
        <tr r="D93" s="2"/>
      </tp>
      <tp t="s">
        <v>7435465</v>
        <stp/>
        <stp>3351_NSE@Volume</stp>
        <tr r="D36" s="2"/>
      </tp>
      <tp t="s">
        <v>27040537</v>
        <stp/>
        <stp>3063_NSE@Volume</stp>
        <tr r="D92" s="2"/>
      </tp>
      <tp t="s">
        <v>26262421</v>
        <stp/>
        <stp>3045_NSE@Volume</stp>
        <tr r="D30" s="2"/>
      </tp>
      <tp t="s">
        <v>339959</v>
        <stp/>
        <stp>3150_NSE@Volume</stp>
        <tr r="D94" s="2"/>
      </tp>
      <tp t="s">
        <v>102061</v>
        <stp/>
        <stp>3103_NSE@Volume</stp>
        <tr r="D23" s="2"/>
      </tp>
      <tp t="s">
        <v>4048562</v>
        <stp/>
        <stp>3812_NSE@Volume</stp>
        <tr r="D116" s="2"/>
      </tp>
      <tp t="s">
        <v>189887</v>
        <stp/>
        <stp>3918_NSE@Volume</stp>
        <tr r="D127" s="2"/>
      </tp>
      <tp t="s">
        <v>31 Aug 2021, 03:59:15 PM</v>
        <stp/>
        <stp>2489_NSE@altt</stp>
        <tr r="G146" s="2"/>
      </tp>
      <tp t="s">
        <v>31 Aug 2021, 03:51:06 PM</v>
        <stp/>
        <stp>2181_NSE@altt</stp>
        <tr r="G87" s="2"/>
      </tp>
      <tp t="s">
        <v>31 Aug 2021, 03:59:58 PM</v>
        <stp/>
        <stp>9685_NSE@altt</stp>
        <tr r="G114" s="2"/>
      </tp>
      <tp t="s">
        <v>31 Aug 2021, 03:59:57 PM</v>
        <stp/>
        <stp>2885_NSE@altt</stp>
        <tr r="G22" s="2"/>
      </tp>
      <tp t="s">
        <v>31 Aug 2021, 03:56:08 PM</v>
        <stp/>
        <stp>1186_NSE@altt</stp>
        <tr r="G154" s="2"/>
      </tp>
      <tp t="s">
        <v>31 Aug 2021, 03:59:35 PM</v>
        <stp/>
        <stp>3787_NSE@altt</stp>
        <tr r="G27" s="2"/>
      </tp>
      <tp t="s">
        <v>8068293</v>
        <stp/>
        <stp>13285_NSE@Volume</stp>
        <tr r="D160" s="2"/>
      </tp>
      <tp t="s">
        <v>664818</v>
        <stp/>
        <stp>13197_NSE@Volume</stp>
        <tr r="D183" s="2"/>
      </tp>
      <tp t="s">
        <v>934369</v>
        <stp/>
        <stp>13786_NSE@Volume</stp>
        <tr r="D163" s="2"/>
      </tp>
      <tp t="s">
        <v>606196</v>
        <stp/>
        <stp>13751_NSE@Volume</stp>
        <tr r="D164" s="2"/>
      </tp>
      <tp t="s">
        <v>772060</v>
        <stp/>
        <stp>23650_NSE@Volume</stp>
        <tr r="D186" s="2"/>
      </tp>
      <tp t="s">
        <v>2050223</v>
        <stp/>
        <stp>13611_NSE@Volume</stp>
        <tr r="D181" s="2"/>
      </tp>
      <tp t="s">
        <v>763439</v>
        <stp/>
        <stp>13517_NSE@Volume</stp>
        <tr r="D136" s="2"/>
      </tp>
      <tp t="s">
        <v>6392991</v>
        <stp/>
        <stp>13538_NSE@Volume</stp>
        <tr r="D51" s="2"/>
      </tp>
      <tp t="s">
        <v>4917548</v>
        <stp/>
        <stp>13528_NSE@Volume</stp>
        <tr r="D178" s="2"/>
      </tp>
      <tp t="s">
        <v>1134382</v>
        <stp/>
        <stp>13404_NSE@Volume</stp>
        <tr r="D157" s="2"/>
      </tp>
      <tp t="s">
        <v>31 Aug 2021, 03:29:52 PM</v>
        <stp/>
        <stp>-48@altt</stp>
        <tr r="G227" s="2"/>
      </tp>
      <tp t="s">
        <v>31 Aug 2021, 03:29:47 PM</v>
        <stp/>
        <stp>-40@altt</stp>
        <tr r="G223" s="2"/>
      </tp>
      <tp t="s">
        <v>31 Aug 2021, 03:29:41 PM</v>
        <stp/>
        <stp>-46@altt</stp>
        <tr r="G221" s="2"/>
      </tp>
      <tp t="s">
        <v>31 Aug 2021, 03:29:41 PM</v>
        <stp/>
        <stp>-47@altt</stp>
        <tr r="G226" s="2"/>
      </tp>
      <tp t="s">
        <v>31 Aug 2021, 03:29:19 PM</v>
        <stp/>
        <stp>-45@altt</stp>
        <tr r="G219" s="2"/>
      </tp>
      <tp t="s">
        <v>25808430</v>
        <stp/>
        <stp>1660_NSE@Volume</stp>
        <tr r="D19" s="2"/>
      </tp>
      <tp t="s">
        <v>897311</v>
        <stp/>
        <stp>1633_NSE@Volume</stp>
        <tr r="D122" s="2"/>
      </tp>
      <tp t="s">
        <v>22323605</v>
        <stp/>
        <stp>1624_NSE@Volume</stp>
        <tr r="D48" s="2"/>
      </tp>
      <tp t="s">
        <v>27381</v>
        <stp/>
        <stp>1442_NSE@Volume</stp>
        <tr r="D77" s="2"/>
      </tp>
      <tp t="s">
        <v>845627</v>
        <stp/>
        <stp>1424_NSE@Volume</stp>
        <tr r="D110" s="2"/>
      </tp>
      <tp t="s">
        <v>5862402</v>
        <stp/>
        <stp>1406_NSE@Volume</stp>
        <tr r="D108" s="2"/>
      </tp>
      <tp t="s">
        <v>829920</v>
        <stp/>
        <stp>1512_NSE@Volume</stp>
        <tr r="D79" s="2"/>
      </tp>
      <tp t="s">
        <v>1552586</v>
        <stp/>
        <stp>1515_NSE@Volume</stp>
        <tr r="D78" s="2"/>
      </tp>
      <tp t="s">
        <v>12255438</v>
        <stp/>
        <stp>1594_NSE@Volume</stp>
        <tr r="D34" s="2"/>
      </tp>
      <tp t="s">
        <v>6342929</v>
        <stp/>
        <stp>1270_NSE@Volume</stp>
        <tr r="D76" s="2"/>
      </tp>
      <tp t="s">
        <v>447418</v>
        <stp/>
        <stp>1250_NSE@Volume</stp>
        <tr r="D80" s="2"/>
      </tp>
      <tp t="s">
        <v>1656264</v>
        <stp/>
        <stp>1232_NSE@Volume</stp>
        <tr r="D14" s="2"/>
      </tp>
      <tp t="s">
        <v>20847646</v>
        <stp/>
        <stp>1363_NSE@Volume</stp>
        <tr r="D17" s="2"/>
      </tp>
      <tp t="s">
        <v>708031</v>
        <stp/>
        <stp>1348_NSE@Volume</stp>
        <tr r="D16" s="2"/>
      </tp>
      <tp t="s">
        <v>6031288</v>
        <stp/>
        <stp>1333_NSE@Volume</stp>
        <tr r="D38" s="2"/>
      </tp>
      <tp t="s">
        <v>4933523</v>
        <stp/>
        <stp>1330_NSE@Volume</stp>
        <tr r="D15" s="2"/>
      </tp>
      <tp t="s">
        <v>2535891</v>
        <stp/>
        <stp>1394_NSE@Volume</stp>
        <tr r="D18" s="2"/>
      </tp>
      <tp t="s">
        <v>13356776</v>
        <stp/>
        <stp>1023_NSE@Volume</stp>
        <tr r="D123" s="2"/>
      </tp>
      <tp t="s">
        <v>88600</v>
        <stp/>
        <stp>1186_NSE@Volume</stp>
        <tr r="D154" s="2"/>
      </tp>
      <tp t="s">
        <v>968660</v>
        <stp/>
        <stp>1964_NSE@Volume</stp>
        <tr r="D84" s="2"/>
      </tp>
      <tp t="s">
        <v>4492609</v>
        <stp/>
        <stp>1922_NSE@Volume</stp>
        <tr r="D32" s="2"/>
      </tp>
      <tp t="s">
        <v>413161</v>
        <stp/>
        <stp>1901_NSE@Volume</stp>
        <tr r="D83" s="2"/>
      </tp>
      <tp t="s">
        <v>5154473</v>
        <stp/>
        <stp>1997_NSE@Volume</stp>
        <tr r="D125" s="2"/>
      </tp>
      <tp t="s">
        <v>31 Aug 2021, 03:59:42 PM</v>
        <stp/>
        <stp>18391_NSE@altt</stp>
        <tr r="G134" s="2"/>
      </tp>
      <tp t="s">
        <v>31 Aug 2021, 03:59:44 PM</v>
        <stp/>
        <stp>14592_NSE@altt</stp>
        <tr r="G182" s="2"/>
      </tp>
      <tp t="s">
        <v>31 Aug 2021, 03:56:51 PM</v>
        <stp/>
        <stp>21690_NSE@altt</stp>
        <tr r="G195" s="2"/>
      </tp>
      <tp t="s">
        <v>31 Aug 2021, 03:59:58 PM</v>
        <stp/>
        <stp>10794_NSE@altt</stp>
        <tr r="G130" s="2"/>
      </tp>
      <tp t="s">
        <v>31 Aug 2021, 03:55:54 PM</v>
        <stp/>
        <stp>17094_NSE@altt</stp>
        <tr r="G211" s="2"/>
      </tp>
      <tp t="s">
        <v>31 Aug 2021, 03:59:55 PM</v>
        <stp/>
        <stp>11195_NSE@altt</stp>
        <tr r="G193" s="2"/>
      </tp>
      <tp t="s">
        <v>31 Aug 2021, 03:52:34 PM</v>
        <stp/>
        <stp>18096_NSE@altt</stp>
        <tr r="G155" s="2"/>
      </tp>
      <tp t="s">
        <v>31 Aug 2021, 03:56:04 PM</v>
        <stp/>
        <stp>13197_NSE@altt</stp>
        <tr r="G183" s="2"/>
      </tp>
      <tp t="s">
        <v>31 Aug 2021, 03:58:28 PM</v>
        <stp/>
        <stp>10099_NSE@altt</stp>
        <tr r="G175" s="2"/>
      </tp>
      <tp t="s">
        <v>31 Aug 2021, 03:56:37 PM</v>
        <stp/>
        <stp>10599_NSE@altt</stp>
        <tr r="G207" s="2"/>
      </tp>
      <tp t="s">
        <v>31 Aug 2021, 03:54:21 PM</v>
        <stp/>
        <stp>10999_NSE@altt</stp>
        <tr r="G42" s="2"/>
      </tp>
      <tp t="s">
        <v>31 Aug 2021, 03:55:54 PM</v>
        <stp/>
        <stp>14299_NSE@altt</stp>
        <tr r="G144" s="2"/>
      </tp>
      <tp t="s">
        <v>996707</v>
        <stp/>
        <stp>15384_NSE@Volume</stp>
        <tr r="D191" s="2"/>
      </tp>
      <tp t="s">
        <v>4378579</v>
        <stp/>
        <stp>15355_NSE@Volume</stp>
        <tr r="D161" s="2"/>
      </tp>
      <tp t="s">
        <v>844062</v>
        <stp/>
        <stp>15362_NSE@Volume</stp>
        <tr r="D166" s="2"/>
      </tp>
      <tp t="s">
        <v>12714721</v>
        <stp/>
        <stp>15332_NSE@Volume</stp>
        <tr r="D143" s="2"/>
      </tp>
      <tp t="s">
        <v>168262</v>
        <stp/>
        <stp>25328_NSE@Volume</stp>
        <tr r="D200" s="2"/>
      </tp>
      <tp t="s">
        <v>31 Aug 2021, 03:29:57 PM</v>
        <stp/>
        <stp>-33@altt</stp>
        <tr r="G228" s="2"/>
      </tp>
      <tp t="s">
        <v>1586467</v>
        <stp/>
        <stp>15141_NSE@Volume</stp>
        <tr r="D71" s="2"/>
      </tp>
      <tp t="s">
        <v>31 Aug 2021, 03:29:57 PM</v>
        <stp/>
        <stp>-30@altt</stp>
        <tr r="G230" s="2"/>
      </tp>
      <tp t="s">
        <v>15419587</v>
        <stp/>
        <stp>15083_NSE@Volume</stp>
        <tr r="D53" s="2"/>
      </tp>
      <tp t="s">
        <v>31 Aug 2021, 03:29:57 PM</v>
        <stp/>
        <stp>-31@altt</stp>
        <tr r="G229" s="2"/>
      </tp>
      <tp t="s">
        <v>31 Aug 2021, 03:30:00 PM</v>
        <stp/>
        <stp>-36@altt</stp>
        <tr r="G222" s="2"/>
      </tp>
      <tp t="s">
        <v>31 Aug 2021, 03:29:59 PM</v>
        <stp/>
        <stp>-35@altt</stp>
        <tr r="G224" s="2"/>
      </tp>
      <tp t="s">
        <v>10414277</v>
        <stp/>
        <stp>6733_NSE@Volume</stp>
        <tr r="D169" s="2"/>
      </tp>
      <tp t="s">
        <v>59439489</v>
        <stp/>
        <stp>6364_NSE@Volume</stp>
        <tr r="D107" s="2"/>
      </tp>
      <tp t="s">
        <v>1160761</v>
        <stp/>
        <stp>6074_NSE@Volume</stp>
        <tr r="D198" s="2"/>
      </tp>
      <tp t="s">
        <v>31 Aug 2021, 03:59:24 PM</v>
        <stp/>
        <stp>11483_NSE@altt</stp>
        <tr r="G20" s="2"/>
      </tp>
      <tp t="s">
        <v>31 Aug 2021, 03:58:33 PM</v>
        <stp/>
        <stp>15083_NSE@altt</stp>
        <tr r="G53" s="2"/>
      </tp>
      <tp t="s">
        <v>31 Aug 2021, 03:58:29 PM</v>
        <stp/>
        <stp>11184_NSE@altt</stp>
        <tr r="G210" s="2"/>
      </tp>
      <tp t="s">
        <v>31 Aug 2021, 03:41:56 PM</v>
        <stp/>
        <stp>15384_NSE@altt</stp>
        <tr r="G191" s="2"/>
      </tp>
      <tp t="s">
        <v>31 Aug 2021, 03:53:30 PM</v>
        <stp/>
        <stp>13285_NSE@altt</stp>
        <tr r="G160" s="2"/>
      </tp>
      <tp t="s">
        <v>31 Aug 2021, 03:42:09 PM</v>
        <stp/>
        <stp>13786_NSE@altt</stp>
        <tr r="G163" s="2"/>
      </tp>
      <tp t="s">
        <v>31 Aug 2021, 03:48:29 PM</v>
        <stp/>
        <stp>11287_NSE@altt</stp>
        <tr r="G33" s="2"/>
      </tp>
      <tp t="s">
        <v>31 Aug 2021, 03:59:34 PM</v>
        <stp/>
        <stp>24184_NSE@altt</stp>
        <tr r="G113" s="2"/>
      </tp>
      <tp t="s">
        <v>6705841</v>
        <stp/>
        <stp>24948_NSE@Volume</stp>
        <tr r="D205" s="2"/>
      </tp>
      <tp t="s">
        <v>32436250</v>
        <stp/>
        <stp>14977_NSE@Volume</stp>
        <tr r="D41" s="2"/>
      </tp>
      <tp t="s">
        <v>31 Aug 2021, 03:40:01 PM</v>
        <stp/>
        <stp>-28@altt</stp>
        <tr r="G225" s="2"/>
      </tp>
      <tp t="s">
        <v>31 Aug 2021, 03:29:52 PM</v>
        <stp/>
        <stp>-29@altt</stp>
        <tr r="G231" s="2"/>
      </tp>
      <tp t="s">
        <v>1026256</v>
        <stp/>
        <stp>14356_NSE@Volume</stp>
        <tr r="D170" s="2"/>
      </tp>
      <tp t="s">
        <v>298905204</v>
        <stp/>
        <stp>14366_NSE@Volume</stp>
        <tr r="D179" s="2"/>
      </tp>
      <tp t="s">
        <v>31 Aug 2021, 03:31:28 PM</v>
        <stp/>
        <stp>-22@altt</stp>
        <tr r="G218" s="2"/>
      </tp>
      <tp t="s">
        <v>4697193</v>
        <stp/>
        <stp>14299_NSE@Volume</stp>
        <tr r="D144" s="2"/>
      </tp>
      <tp t="s">
        <v>31 Aug 2021, 03:29:59 PM</v>
        <stp/>
        <stp>-23@altt</stp>
        <tr r="G217" s="2"/>
      </tp>
      <tp t="s">
        <v>549536</v>
        <stp/>
        <stp>24184_NSE@Volume</stp>
        <tr r="D113" s="2"/>
      </tp>
      <tp t="s">
        <v>31 Aug 2021, 03:29:59 PM</v>
        <stp/>
        <stp>-21@altt</stp>
        <tr r="G220" s="2"/>
      </tp>
      <tp t="s">
        <v>9726975</v>
        <stp/>
        <stp>14732_NSE@Volume</stp>
        <tr r="D137" s="2"/>
      </tp>
      <tp t="s">
        <v>566577</v>
        <stp/>
        <stp>14672_NSE@Volume</stp>
        <tr r="D184" s="2"/>
      </tp>
      <tp t="s">
        <v>5712361</v>
        <stp/>
        <stp>14592_NSE@Volume</stp>
        <tr r="D182" s="2"/>
      </tp>
      <tp t="s">
        <v>23477</v>
        <stp/>
        <stp>14413_NSE@Volume</stp>
        <tr r="D147" s="2"/>
      </tp>
      <tp t="s">
        <v>618374</v>
        <stp/>
        <stp>14435_NSE@Volume</stp>
        <tr r="D81" s="2"/>
      </tp>
      <tp t="s">
        <v>1721956</v>
        <stp/>
        <stp>7406_NSE@Volume</stp>
        <tr r="D171" s="2"/>
      </tp>
      <tp t="s">
        <v>7199002</v>
        <stp/>
        <stp>7229_NSE@Volume</stp>
        <tr r="D45" s="2"/>
      </tp>
      <tp t="s">
        <v>2015528</v>
        <stp/>
        <stp>7929_NSE@Volume</stp>
        <tr r="D173" s="2"/>
      </tp>
      <tp t="s">
        <v>3348741</v>
        <stp/>
        <stp>17971_NSE@Volume</stp>
        <tr r="D168" s="2"/>
      </tp>
      <tp t="s">
        <v>227370</v>
        <stp/>
        <stp>17963_NSE@Volume</stp>
        <tr r="D13" s="2"/>
      </tp>
      <tp t="s">
        <v>7133</v>
        <stp/>
        <stp>17903_NSE@Volume</stp>
        <tr r="D68" s="2"/>
      </tp>
      <tp t="s">
        <v>554834</v>
        <stp/>
        <stp>17875_NSE@Volume</stp>
        <tr r="D158" s="2"/>
      </tp>
      <tp t="s">
        <v>1177859</v>
        <stp/>
        <stp>17869_NSE@Volume</stp>
        <tr r="D192" s="2"/>
      </tp>
      <tp t="s">
        <v>282387</v>
        <stp/>
        <stp>17818_NSE@Volume</stp>
        <tr r="D162" s="2"/>
      </tp>
      <tp t="s">
        <v>587128</v>
        <stp/>
        <stp>17094_NSE@Volume</stp>
        <tr r="D211" s="2"/>
      </tp>
      <tp t="s">
        <v>244169</v>
        <stp/>
        <stp>17534_NSE@Volume</stp>
        <tr r="D152" s="2"/>
      </tp>
      <tp t="s">
        <v>2025284</v>
        <stp/>
        <stp>17438_NSE@Volume</stp>
        <tr r="D128" s="2"/>
      </tp>
      <tp t="s">
        <v>26501208</v>
        <stp/>
        <stp>4668_NSE@Volume</stp>
        <tr r="D129" s="2"/>
      </tp>
      <tp t="s">
        <v>3740761</v>
        <stp/>
        <stp>4745_NSE@Volume</stp>
        <tr r="D132" s="2"/>
      </tp>
      <tp t="s">
        <v>2201566</v>
        <stp/>
        <stp>4749_NSE@Volume</stp>
        <tr r="D149" s="2"/>
      </tp>
      <tp t="s">
        <v>14009836</v>
        <stp/>
        <stp>4717_NSE@Volume</stp>
        <tr r="D145" s="2"/>
      </tp>
      <tp t="s">
        <v>991789</v>
        <stp/>
        <stp>4503_NSE@Volume</stp>
        <tr r="D119" s="2"/>
      </tp>
      <tp t="s">
        <v>398418</v>
        <stp/>
        <stp>4244_NSE@Volume</stp>
        <tr r="D174" s="2"/>
      </tp>
      <tp t="s">
        <v>1576383</v>
        <stp/>
        <stp>4306_NSE@Volume</stp>
        <tr r="D100" s="2"/>
      </tp>
      <tp t="s">
        <v>5014916</v>
        <stp/>
        <stp>4067_NSE@Volume</stp>
        <tr r="D148" s="2"/>
      </tp>
      <tp t="s">
        <v>19760246</v>
        <stp/>
        <stp>4963_NSE@Volume</stp>
        <tr r="D40" s="2"/>
      </tp>
      <tp t="s">
        <v>347346</v>
        <stp/>
        <stp>16713_NSE@Volume</stp>
        <tr r="D180" s="2"/>
      </tp>
      <tp t="s">
        <v>652127</v>
        <stp/>
        <stp>16675_NSE@Volume</stp>
        <tr r="D58" s="2"/>
      </tp>
      <tp t="s">
        <v>693952</v>
        <stp/>
        <stp>16669_NSE@Volume</stp>
        <tr r="D57" s="2"/>
      </tp>
      <tp t="s">
        <v>1832677</v>
        <stp/>
        <stp>5701_NSE@Volume</stp>
        <tr r="D138" s="2"/>
      </tp>
      <tp t="s">
        <v>3138652</v>
        <stp/>
        <stp>5258_NSE@Volume</stp>
        <tr r="D43" s="2"/>
      </tp>
      <tp t="s">
        <v>12114870</v>
        <stp/>
        <stp>5900_NSE@Volume</stp>
        <tr r="D4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29"/>
  <sheetViews>
    <sheetView tabSelected="1" workbookViewId="0">
      <pane ySplit="8" topLeftCell="A9" activePane="bottomLeft" state="frozen"/>
      <selection activeCell="G15" sqref="G15"/>
      <selection pane="bottomLeft" activeCell="E60" sqref="E60"/>
    </sheetView>
  </sheetViews>
  <sheetFormatPr defaultRowHeight="15" x14ac:dyDescent="0.25"/>
  <cols>
    <col min="1" max="1" width="22.85546875" style="1" customWidth="1"/>
    <col min="2" max="2" width="19.42578125" style="11" customWidth="1"/>
    <col min="3" max="3" width="8.5703125" style="1" bestFit="1" customWidth="1"/>
    <col min="4" max="4" width="14.7109375" style="1" bestFit="1" customWidth="1"/>
    <col min="5" max="5" width="13.42578125" style="1" bestFit="1" customWidth="1"/>
    <col min="6" max="6" width="9.140625" style="1"/>
    <col min="7" max="7" width="23.140625" style="12" customWidth="1"/>
    <col min="8" max="8" width="23.140625" style="1" bestFit="1" customWidth="1"/>
    <col min="9" max="16384" width="9.140625" style="1"/>
  </cols>
  <sheetData>
    <row r="1" spans="1:8" x14ac:dyDescent="0.25">
      <c r="A1" s="6" t="s">
        <v>0</v>
      </c>
      <c r="B1" s="9"/>
      <c r="C1" s="2"/>
      <c r="D1" s="2"/>
      <c r="E1" s="2"/>
      <c r="F1" s="2"/>
    </row>
    <row r="2" spans="1:8" ht="18.75" x14ac:dyDescent="0.3">
      <c r="A2" s="8" t="s">
        <v>49</v>
      </c>
      <c r="B2" s="9"/>
      <c r="C2" s="2"/>
      <c r="D2" s="2"/>
      <c r="E2" s="2"/>
      <c r="F2" s="2"/>
    </row>
    <row r="3" spans="1:8" x14ac:dyDescent="0.25">
      <c r="A3" s="7" t="s">
        <v>50</v>
      </c>
      <c r="B3" s="9"/>
      <c r="C3" s="2"/>
      <c r="D3" s="2"/>
      <c r="E3" s="2"/>
      <c r="F3" s="2"/>
    </row>
    <row r="4" spans="1:8" x14ac:dyDescent="0.25">
      <c r="A4" s="7" t="s">
        <v>51</v>
      </c>
      <c r="B4" s="9"/>
      <c r="C4" s="2"/>
      <c r="D4" s="2"/>
      <c r="E4" s="2"/>
      <c r="F4" s="2"/>
    </row>
    <row r="5" spans="1:8" x14ac:dyDescent="0.25">
      <c r="A5" s="7" t="s">
        <v>52</v>
      </c>
      <c r="B5" s="9"/>
      <c r="C5" s="2"/>
      <c r="D5" s="2"/>
      <c r="E5" s="2"/>
      <c r="F5" s="2"/>
    </row>
    <row r="6" spans="1:8" x14ac:dyDescent="0.25">
      <c r="A6" s="7" t="s">
        <v>53</v>
      </c>
      <c r="B6" s="9"/>
      <c r="C6" s="2"/>
      <c r="D6" s="2"/>
      <c r="E6" s="2"/>
      <c r="F6" s="2"/>
    </row>
    <row r="7" spans="1:8" x14ac:dyDescent="0.25">
      <c r="A7" s="2"/>
      <c r="B7" s="9"/>
      <c r="C7" s="2"/>
      <c r="D7" s="2"/>
      <c r="E7" s="2"/>
      <c r="F7" s="2"/>
    </row>
    <row r="8" spans="1:8" x14ac:dyDescent="0.25">
      <c r="A8" s="3" t="s">
        <v>43</v>
      </c>
      <c r="B8" s="10" t="s">
        <v>44</v>
      </c>
      <c r="C8" s="3" t="s">
        <v>45</v>
      </c>
      <c r="D8" s="3" t="s">
        <v>46</v>
      </c>
      <c r="E8" s="3" t="s">
        <v>47</v>
      </c>
      <c r="F8" s="3" t="s">
        <v>48</v>
      </c>
      <c r="G8" s="3" t="s">
        <v>225</v>
      </c>
    </row>
    <row r="9" spans="1:8" x14ac:dyDescent="0.25">
      <c r="A9" t="s">
        <v>54</v>
      </c>
      <c r="B9" s="11" t="str">
        <f>RIGHT(G9,11)</f>
        <v>03:57:37 PM</v>
      </c>
      <c r="C9" t="str">
        <f>RTD("tx3.livefeed",,"236_NSE@Price")</f>
        <v>3201.35</v>
      </c>
      <c r="D9" t="str">
        <f>RTD("tx3.livefeed",,"236_NSE@Volume")</f>
        <v>2283290</v>
      </c>
      <c r="E9">
        <v>0</v>
      </c>
      <c r="F9" s="2" t="s">
        <v>2</v>
      </c>
      <c r="G9" s="13" t="str">
        <f>RTD("tx3.livefeed",,"236_NSE@altt")</f>
        <v>31 Aug 2021, 03:57:37 PM</v>
      </c>
      <c r="H9" s="11"/>
    </row>
    <row r="10" spans="1:8" x14ac:dyDescent="0.25">
      <c r="A10" t="s">
        <v>55</v>
      </c>
      <c r="B10" s="11" t="str">
        <f t="shared" ref="B10:B73" si="0">RIGHT(G10,11)</f>
        <v>03:48:09 PM</v>
      </c>
      <c r="C10" t="str">
        <f>RTD("tx3.livefeed",,"547_NSE@Price")</f>
        <v>3997.50</v>
      </c>
      <c r="D10" t="str">
        <f>RTD("tx3.livefeed",,"547_NSE@Volume")</f>
        <v>688613</v>
      </c>
      <c r="E10">
        <v>0</v>
      </c>
      <c r="F10" s="2" t="s">
        <v>2</v>
      </c>
      <c r="G10" s="13" t="str">
        <f>RTD("tx3.livefeed",,"547_NSE@altt")</f>
        <v>31 Aug 2021, 03:48:09 PM</v>
      </c>
    </row>
    <row r="11" spans="1:8" x14ac:dyDescent="0.25">
      <c r="A11" t="s">
        <v>9</v>
      </c>
      <c r="B11" s="11" t="str">
        <f t="shared" si="0"/>
        <v>03:54:25 PM</v>
      </c>
      <c r="C11" t="str">
        <f>RTD("tx3.livefeed",,"694_NSE@Price")</f>
        <v>947.80</v>
      </c>
      <c r="D11" t="str">
        <f>RTD("tx3.livefeed",,"694_NSE@Volume")</f>
        <v>2463088</v>
      </c>
      <c r="E11">
        <v>0</v>
      </c>
      <c r="F11" s="2" t="s">
        <v>2</v>
      </c>
      <c r="G11" s="13" t="str">
        <f>RTD("tx3.livefeed",,"694_NSE@altt")</f>
        <v>31 Aug 2021, 03:54:25 PM</v>
      </c>
    </row>
    <row r="12" spans="1:8" x14ac:dyDescent="0.25">
      <c r="A12" t="s">
        <v>56</v>
      </c>
      <c r="B12" s="11" t="str">
        <f t="shared" si="0"/>
        <v>03:58:45 PM</v>
      </c>
      <c r="C12" t="str">
        <f>RTD("tx3.livefeed",,"910_NSE@Price")</f>
        <v>2679.25</v>
      </c>
      <c r="D12" t="str">
        <f>RTD("tx3.livefeed",,"910_NSE@Volume")</f>
        <v>2381821</v>
      </c>
      <c r="E12">
        <v>0</v>
      </c>
      <c r="F12" s="2" t="s">
        <v>2</v>
      </c>
      <c r="G12" s="13" t="str">
        <f>RTD("tx3.livefeed",,"910_NSE@altt")</f>
        <v>31 Aug 2021, 03:58:45 PM</v>
      </c>
    </row>
    <row r="13" spans="1:8" x14ac:dyDescent="0.25">
      <c r="A13" t="s">
        <v>57</v>
      </c>
      <c r="B13" s="11" t="str">
        <f t="shared" si="0"/>
        <v>03:45:35 PM</v>
      </c>
      <c r="C13" t="str">
        <f>RTD("tx3.livefeed",,"17963_NSE@Price")</f>
        <v>19467.75</v>
      </c>
      <c r="D13" t="str">
        <f>RTD("tx3.livefeed",,"17963_NSE@Volume")</f>
        <v>227370</v>
      </c>
      <c r="E13">
        <v>0</v>
      </c>
      <c r="F13" s="2" t="s">
        <v>2</v>
      </c>
      <c r="G13" s="13" t="str">
        <f>RTD("tx3.livefeed",,"17963_NSE@altt")</f>
        <v>31 Aug 2021, 03:45:35 PM</v>
      </c>
    </row>
    <row r="14" spans="1:8" x14ac:dyDescent="0.25">
      <c r="A14" t="s">
        <v>58</v>
      </c>
      <c r="B14" s="11" t="str">
        <f t="shared" si="0"/>
        <v>03:56:52 PM</v>
      </c>
      <c r="C14" t="str">
        <f>RTD("tx3.livefeed",,"1232_NSE@Price")</f>
        <v>1500.40</v>
      </c>
      <c r="D14" t="str">
        <f>RTD("tx3.livefeed",,"1232_NSE@Volume")</f>
        <v>1656264</v>
      </c>
      <c r="E14">
        <v>0</v>
      </c>
      <c r="F14" s="2" t="s">
        <v>2</v>
      </c>
      <c r="G14" s="13" t="str">
        <f>RTD("tx3.livefeed",,"1232_NSE@altt")</f>
        <v>31 Aug 2021, 03:56:52 PM</v>
      </c>
    </row>
    <row r="15" spans="1:8" x14ac:dyDescent="0.25">
      <c r="A15" t="s">
        <v>13</v>
      </c>
      <c r="B15" s="11" t="str">
        <f t="shared" si="0"/>
        <v>03:57:19 PM</v>
      </c>
      <c r="C15" t="str">
        <f>RTD("tx3.livefeed",,"1330_NSE@Price")</f>
        <v>2798.50</v>
      </c>
      <c r="D15" t="str">
        <f>RTD("tx3.livefeed",,"1330_NSE@Volume")</f>
        <v>4933523</v>
      </c>
      <c r="E15">
        <v>0</v>
      </c>
      <c r="F15" s="2" t="s">
        <v>2</v>
      </c>
      <c r="G15" s="13" t="str">
        <f>RTD("tx3.livefeed",,"1330_NSE@altt")</f>
        <v>31 Aug 2021, 03:57:19 PM</v>
      </c>
    </row>
    <row r="16" spans="1:8" x14ac:dyDescent="0.25">
      <c r="A16" t="s">
        <v>15</v>
      </c>
      <c r="B16" s="11" t="str">
        <f t="shared" si="0"/>
        <v>03:58:27 PM</v>
      </c>
      <c r="C16" t="str">
        <f>RTD("tx3.livefeed",,"1348_NSE@Price")</f>
        <v>2741.85</v>
      </c>
      <c r="D16" t="str">
        <f>RTD("tx3.livefeed",,"1348_NSE@Volume")</f>
        <v>708031</v>
      </c>
      <c r="E16">
        <v>0</v>
      </c>
      <c r="F16" s="2" t="s">
        <v>2</v>
      </c>
      <c r="G16" s="13" t="str">
        <f>RTD("tx3.livefeed",,"1348_NSE@altt")</f>
        <v>31 Aug 2021, 03:58:27 PM</v>
      </c>
    </row>
    <row r="17" spans="1:7" x14ac:dyDescent="0.25">
      <c r="A17" t="s">
        <v>16</v>
      </c>
      <c r="B17" s="11" t="str">
        <f t="shared" si="0"/>
        <v>03:58:50 PM</v>
      </c>
      <c r="C17" t="str">
        <f>RTD("tx3.livefeed",,"1363_NSE@Price")</f>
        <v>468.30</v>
      </c>
      <c r="D17" t="str">
        <f>RTD("tx3.livefeed",,"1363_NSE@Volume")</f>
        <v>20847646</v>
      </c>
      <c r="E17">
        <v>0</v>
      </c>
      <c r="F17" s="2" t="s">
        <v>2</v>
      </c>
      <c r="G17" s="13" t="str">
        <f>RTD("tx3.livefeed",,"1363_NSE@altt")</f>
        <v>31 Aug 2021, 03:58:50 PM</v>
      </c>
    </row>
    <row r="18" spans="1:7" x14ac:dyDescent="0.25">
      <c r="A18" t="s">
        <v>17</v>
      </c>
      <c r="B18" s="11" t="str">
        <f t="shared" si="0"/>
        <v>03:59:41 PM</v>
      </c>
      <c r="C18" t="str">
        <f>RTD("tx3.livefeed",,"1394_NSE@Price")</f>
        <v>2724.10</v>
      </c>
      <c r="D18" t="str">
        <f>RTD("tx3.livefeed",,"1394_NSE@Volume")</f>
        <v>2535891</v>
      </c>
      <c r="E18">
        <v>0</v>
      </c>
      <c r="F18" s="2" t="s">
        <v>2</v>
      </c>
      <c r="G18" s="13" t="str">
        <f>RTD("tx3.livefeed",,"1394_NSE@altt")</f>
        <v>31 Aug 2021, 03:59:41 PM</v>
      </c>
    </row>
    <row r="19" spans="1:7" x14ac:dyDescent="0.25">
      <c r="A19" t="s">
        <v>20</v>
      </c>
      <c r="B19" s="11" t="str">
        <f t="shared" si="0"/>
        <v>03:59:54 PM</v>
      </c>
      <c r="C19" t="str">
        <f>RTD("tx3.livefeed",,"1660_NSE@Price")</f>
        <v>211.30</v>
      </c>
      <c r="D19" t="str">
        <f>RTD("tx3.livefeed",,"1660_NSE@Volume")</f>
        <v>25808430</v>
      </c>
      <c r="E19">
        <v>0</v>
      </c>
      <c r="F19" s="2" t="s">
        <v>2</v>
      </c>
      <c r="G19" s="13" t="str">
        <f>RTD("tx3.livefeed",,"1660_NSE@altt")</f>
        <v>31 Aug 2021, 03:59:54 PM</v>
      </c>
    </row>
    <row r="20" spans="1:7" x14ac:dyDescent="0.25">
      <c r="A20" t="s">
        <v>23</v>
      </c>
      <c r="B20" s="11" t="str">
        <f t="shared" si="0"/>
        <v>03:59:24 PM</v>
      </c>
      <c r="C20" t="str">
        <f>RTD("tx3.livefeed",,"11483_NSE@Price")</f>
        <v>1672.20</v>
      </c>
      <c r="D20" t="str">
        <f>RTD("tx3.livefeed",,"11483_NSE@Volume")</f>
        <v>3264644</v>
      </c>
      <c r="E20">
        <v>0</v>
      </c>
      <c r="F20" s="2" t="s">
        <v>2</v>
      </c>
      <c r="G20" s="13" t="str">
        <f>RTD("tx3.livefeed",,"11483_NSE@altt")</f>
        <v>31 Aug 2021, 03:59:24 PM</v>
      </c>
    </row>
    <row r="21" spans="1:7" x14ac:dyDescent="0.25">
      <c r="A21" t="s">
        <v>224</v>
      </c>
      <c r="B21" s="11" t="str">
        <f t="shared" si="0"/>
        <v>03:59:52 PM</v>
      </c>
      <c r="C21" t="str">
        <f>RTD("tx3.livefeed",,"2031_NSE@Price")</f>
        <v>793.30</v>
      </c>
      <c r="D21" t="str">
        <f>RTD("tx3.livefeed",,"2031_NSE@Volume")</f>
        <v>3324467</v>
      </c>
      <c r="E21">
        <v>0</v>
      </c>
      <c r="F21" s="2" t="s">
        <v>2</v>
      </c>
      <c r="G21" s="13" t="str">
        <f>RTD("tx3.livefeed",,"2031_NSE@altt")</f>
        <v>31 Aug 2021, 03:59:52 PM</v>
      </c>
    </row>
    <row r="22" spans="1:7" x14ac:dyDescent="0.25">
      <c r="A22" t="s">
        <v>29</v>
      </c>
      <c r="B22" s="11" t="str">
        <f t="shared" si="0"/>
        <v>03:59:57 PM</v>
      </c>
      <c r="C22" t="str">
        <f>RTD("tx3.livefeed",,"2885_NSE@Price")</f>
        <v>2258.15</v>
      </c>
      <c r="D22" t="str">
        <f>RTD("tx3.livefeed",,"2885_NSE@Volume")</f>
        <v>12223037</v>
      </c>
      <c r="E22">
        <v>0</v>
      </c>
      <c r="F22" s="2" t="s">
        <v>2</v>
      </c>
      <c r="G22" s="13" t="str">
        <f>RTD("tx3.livefeed",,"2885_NSE@altt")</f>
        <v>31 Aug 2021, 03:59:57 PM</v>
      </c>
    </row>
    <row r="23" spans="1:7" x14ac:dyDescent="0.25">
      <c r="A23" t="s">
        <v>59</v>
      </c>
      <c r="B23" s="11" t="str">
        <f t="shared" si="0"/>
        <v>03:50:55 PM</v>
      </c>
      <c r="C23" t="str">
        <f>RTD("tx3.livefeed",,"3103_NSE@Price")</f>
        <v>28287.90</v>
      </c>
      <c r="D23" t="str">
        <f>RTD("tx3.livefeed",,"3103_NSE@Volume")</f>
        <v>102061</v>
      </c>
      <c r="E23">
        <v>0</v>
      </c>
      <c r="F23" s="2" t="s">
        <v>2</v>
      </c>
      <c r="G23" s="13" t="str">
        <f>RTD("tx3.livefeed",,"3103_NSE@altt")</f>
        <v>31 Aug 2021, 03:50:55 PM</v>
      </c>
    </row>
    <row r="24" spans="1:7" x14ac:dyDescent="0.25">
      <c r="A24" t="s">
        <v>60</v>
      </c>
      <c r="B24" s="11" t="str">
        <f t="shared" si="0"/>
        <v>03:52:06 PM</v>
      </c>
      <c r="C24" t="str">
        <f>RTD("tx3.livefeed",,"3432_NSE@Price")</f>
        <v>864.95</v>
      </c>
      <c r="D24" t="str">
        <f>RTD("tx3.livefeed",,"3432_NSE@Volume")</f>
        <v>2132008</v>
      </c>
      <c r="E24">
        <v>0</v>
      </c>
      <c r="F24" s="2" t="s">
        <v>2</v>
      </c>
      <c r="G24" s="13" t="str">
        <f>RTD("tx3.livefeed",,"3432_NSE@altt")</f>
        <v>31 Aug 2021, 03:52:06 PM</v>
      </c>
    </row>
    <row r="25" spans="1:7" x14ac:dyDescent="0.25">
      <c r="A25" t="s">
        <v>34</v>
      </c>
      <c r="B25" s="11" t="str">
        <f t="shared" si="0"/>
        <v>03:59:53 PM</v>
      </c>
      <c r="C25" t="str">
        <f>RTD("tx3.livefeed",,"3456_NSE@Price")</f>
        <v>287.30</v>
      </c>
      <c r="D25" t="str">
        <f>RTD("tx3.livefeed",,"3456_NSE@Volume")</f>
        <v>36951003</v>
      </c>
      <c r="E25">
        <v>0</v>
      </c>
      <c r="F25" s="2" t="s">
        <v>2</v>
      </c>
      <c r="G25" s="13" t="str">
        <f>RTD("tx3.livefeed",,"3456_NSE@altt")</f>
        <v>31 Aug 2021, 03:59:53 PM</v>
      </c>
    </row>
    <row r="26" spans="1:7" x14ac:dyDescent="0.25">
      <c r="A26" t="s">
        <v>36</v>
      </c>
      <c r="B26" s="11" t="str">
        <f t="shared" si="0"/>
        <v>03:58:07 PM</v>
      </c>
      <c r="C26" t="str">
        <f>RTD("tx3.livefeed",,"3499_NSE@Price")</f>
        <v>1450.25</v>
      </c>
      <c r="D26" t="str">
        <f>RTD("tx3.livefeed",,"3499_NSE@Volume")</f>
        <v>24752108</v>
      </c>
      <c r="E26">
        <v>0</v>
      </c>
      <c r="F26" s="2" t="s">
        <v>2</v>
      </c>
      <c r="G26" s="13" t="str">
        <f>RTD("tx3.livefeed",,"3499_NSE@altt")</f>
        <v>31 Aug 2021, 03:58:07 PM</v>
      </c>
    </row>
    <row r="27" spans="1:7" x14ac:dyDescent="0.25">
      <c r="A27" t="s">
        <v>38</v>
      </c>
      <c r="B27" s="11" t="str">
        <f t="shared" si="0"/>
        <v>03:59:35 PM</v>
      </c>
      <c r="C27" t="str">
        <f>RTD("tx3.livefeed",,"3787_NSE@Price")</f>
        <v>640.95</v>
      </c>
      <c r="D27" t="str">
        <f>RTD("tx3.livefeed",,"3787_NSE@Volume")</f>
        <v>7795908</v>
      </c>
      <c r="E27">
        <v>0</v>
      </c>
      <c r="F27" s="2" t="s">
        <v>2</v>
      </c>
      <c r="G27" s="13" t="str">
        <f>RTD("tx3.livefeed",,"3787_NSE@altt")</f>
        <v>31 Aug 2021, 03:59:35 PM</v>
      </c>
    </row>
    <row r="28" spans="1:7" x14ac:dyDescent="0.25">
      <c r="A28" t="s">
        <v>10</v>
      </c>
      <c r="B28" s="11" t="str">
        <f t="shared" si="0"/>
        <v>03:51:20 PM</v>
      </c>
      <c r="C28" t="str">
        <f>RTD("tx3.livefeed",,"881_NSE@Price")</f>
        <v>4704.05</v>
      </c>
      <c r="D28" t="str">
        <f>RTD("tx3.livefeed",,"881_NSE@Volume")</f>
        <v>645527</v>
      </c>
      <c r="E28">
        <v>0</v>
      </c>
      <c r="F28" s="2" t="s">
        <v>2</v>
      </c>
      <c r="G28" s="13" t="str">
        <f>RTD("tx3.livefeed",,"881_NSE@altt")</f>
        <v>31 Aug 2021, 03:51:20 PM</v>
      </c>
    </row>
    <row r="29" spans="1:7" x14ac:dyDescent="0.25">
      <c r="A29" t="s">
        <v>61</v>
      </c>
      <c r="B29" s="11" t="str">
        <f t="shared" si="0"/>
        <v>03:59:04 PM</v>
      </c>
      <c r="C29" t="str">
        <f>RTD("tx3.livefeed",,"3506_NSE@Price")</f>
        <v>1921.60</v>
      </c>
      <c r="D29" t="str">
        <f>RTD("tx3.livefeed",,"3506_NSE@Volume")</f>
        <v>1816071</v>
      </c>
      <c r="E29">
        <v>0</v>
      </c>
      <c r="F29" s="2" t="s">
        <v>2</v>
      </c>
      <c r="G29" s="13" t="str">
        <f>RTD("tx3.livefeed",,"3506_NSE@altt")</f>
        <v>31 Aug 2021, 03:59:04 PM</v>
      </c>
    </row>
    <row r="30" spans="1:7" x14ac:dyDescent="0.25">
      <c r="A30" t="s">
        <v>31</v>
      </c>
      <c r="B30" s="11" t="str">
        <f t="shared" si="0"/>
        <v>03:59:13 PM</v>
      </c>
      <c r="C30" t="str">
        <f>RTD("tx3.livefeed",,"3045_NSE@Price")</f>
        <v>426.05</v>
      </c>
      <c r="D30" t="str">
        <f>RTD("tx3.livefeed",,"3045_NSE@Volume")</f>
        <v>26262421</v>
      </c>
      <c r="E30">
        <v>0</v>
      </c>
      <c r="F30" s="2" t="s">
        <v>2</v>
      </c>
      <c r="G30" s="13" t="str">
        <f>RTD("tx3.livefeed",,"3045_NSE@altt")</f>
        <v>31 Aug 2021, 03:59:13 PM</v>
      </c>
    </row>
    <row r="31" spans="1:7" x14ac:dyDescent="0.25">
      <c r="A31" t="s">
        <v>8</v>
      </c>
      <c r="B31" s="11" t="str">
        <f t="shared" si="0"/>
        <v>03:59:14 PM</v>
      </c>
      <c r="C31" t="str">
        <f>RTD("tx3.livefeed",,"526_NSE@Price")</f>
        <v>471.65</v>
      </c>
      <c r="D31" t="str">
        <f>RTD("tx3.livefeed",,"526_NSE@Volume")</f>
        <v>9001236</v>
      </c>
      <c r="E31">
        <v>0</v>
      </c>
      <c r="F31" s="2" t="s">
        <v>2</v>
      </c>
      <c r="G31" s="13" t="str">
        <f>RTD("tx3.livefeed",,"526_NSE@altt")</f>
        <v>31 Aug 2021, 03:59:14 PM</v>
      </c>
    </row>
    <row r="32" spans="1:7" x14ac:dyDescent="0.25">
      <c r="A32" t="s">
        <v>22</v>
      </c>
      <c r="B32" s="11" t="str">
        <f t="shared" si="0"/>
        <v>03:52:21 PM</v>
      </c>
      <c r="C32" t="str">
        <f>RTD("tx3.livefeed",,"1922_NSE@Price")</f>
        <v>1753.70</v>
      </c>
      <c r="D32" t="str">
        <f>RTD("tx3.livefeed",,"1922_NSE@Volume")</f>
        <v>4492609</v>
      </c>
      <c r="E32">
        <v>0</v>
      </c>
      <c r="F32" s="2" t="s">
        <v>2</v>
      </c>
      <c r="G32" s="13" t="str">
        <f>RTD("tx3.livefeed",,"1922_NSE@altt")</f>
        <v>31 Aug 2021, 03:52:21 PM</v>
      </c>
    </row>
    <row r="33" spans="1:7" x14ac:dyDescent="0.25">
      <c r="A33" t="s">
        <v>62</v>
      </c>
      <c r="B33" s="11" t="str">
        <f t="shared" si="0"/>
        <v>03:48:29 PM</v>
      </c>
      <c r="C33" t="str">
        <f>RTD("tx3.livefeed",,"11287_NSE@Price")</f>
        <v>741.25</v>
      </c>
      <c r="D33" t="str">
        <f>RTD("tx3.livefeed",,"11287_NSE@Volume")</f>
        <v>3074791</v>
      </c>
      <c r="E33">
        <v>0</v>
      </c>
      <c r="F33" s="2" t="s">
        <v>2</v>
      </c>
      <c r="G33" s="13" t="str">
        <f>RTD("tx3.livefeed",,"11287_NSE@altt")</f>
        <v>31 Aug 2021, 03:48:29 PM</v>
      </c>
    </row>
    <row r="34" spans="1:7" x14ac:dyDescent="0.25">
      <c r="A34" t="s">
        <v>19</v>
      </c>
      <c r="B34" s="11" t="str">
        <f t="shared" si="0"/>
        <v>03:59:49 PM</v>
      </c>
      <c r="C34" t="str">
        <f>RTD("tx3.livefeed",,"1594_NSE@Price")</f>
        <v>1706.45</v>
      </c>
      <c r="D34" t="str">
        <f>RTD("tx3.livefeed",,"1594_NSE@Volume")</f>
        <v>12255438</v>
      </c>
      <c r="E34">
        <v>0</v>
      </c>
      <c r="F34" s="2" t="s">
        <v>2</v>
      </c>
      <c r="G34" s="13" t="str">
        <f>RTD("tx3.livefeed",,"1594_NSE@altt")</f>
        <v>31 Aug 2021, 03:59:49 PM</v>
      </c>
    </row>
    <row r="35" spans="1:7" x14ac:dyDescent="0.25">
      <c r="A35" t="s">
        <v>63</v>
      </c>
      <c r="B35" s="11" t="str">
        <f t="shared" si="0"/>
        <v>03:57:40 PM</v>
      </c>
      <c r="C35" t="str">
        <f>RTD("tx3.livefeed",,"317_NSE@Price")</f>
        <v>7524.50</v>
      </c>
      <c r="D35" t="str">
        <f>RTD("tx3.livefeed",,"317_NSE@Volume")</f>
        <v>2946438</v>
      </c>
      <c r="E35">
        <v>0</v>
      </c>
      <c r="F35" s="2" t="s">
        <v>2</v>
      </c>
      <c r="G35" s="13" t="str">
        <f>RTD("tx3.livefeed",,"317_NSE@altt")</f>
        <v>31 Aug 2021, 03:57:40 PM</v>
      </c>
    </row>
    <row r="36" spans="1:7" x14ac:dyDescent="0.25">
      <c r="A36" t="s">
        <v>33</v>
      </c>
      <c r="B36" s="11" t="str">
        <f t="shared" si="0"/>
        <v>03:59:16 PM</v>
      </c>
      <c r="C36" t="str">
        <f>RTD("tx3.livefeed",,"3351_NSE@Price")</f>
        <v>794.05</v>
      </c>
      <c r="D36" t="str">
        <f>RTD("tx3.livefeed",,"3351_NSE@Volume")</f>
        <v>7435465</v>
      </c>
      <c r="E36">
        <v>0</v>
      </c>
      <c r="F36" s="2" t="s">
        <v>2</v>
      </c>
      <c r="G36" s="13" t="str">
        <f>RTD("tx3.livefeed",,"3351_NSE@altt")</f>
        <v>31 Aug 2021, 03:59:16 PM</v>
      </c>
    </row>
    <row r="37" spans="1:7" x14ac:dyDescent="0.25">
      <c r="A37" t="s">
        <v>64</v>
      </c>
      <c r="B37" s="11" t="str">
        <f t="shared" si="0"/>
        <v>03:58:29 PM</v>
      </c>
      <c r="C37" t="str">
        <f>RTD("tx3.livefeed",,"11723_NSE@Price")</f>
        <v>687.60</v>
      </c>
      <c r="D37" t="str">
        <f>RTD("tx3.livefeed",,"11723_NSE@Volume")</f>
        <v>5399215</v>
      </c>
      <c r="E37">
        <v>0</v>
      </c>
      <c r="F37" s="2" t="s">
        <v>2</v>
      </c>
      <c r="G37" s="13" t="str">
        <f>RTD("tx3.livefeed",,"11723_NSE@altt")</f>
        <v>31 Aug 2021, 03:58:29 PM</v>
      </c>
    </row>
    <row r="38" spans="1:7" x14ac:dyDescent="0.25">
      <c r="A38" t="s">
        <v>14</v>
      </c>
      <c r="B38" s="11" t="str">
        <f t="shared" si="0"/>
        <v>03:59:56 PM</v>
      </c>
      <c r="C38" t="str">
        <f>RTD("tx3.livefeed",,"1333_NSE@Price")</f>
        <v>1581.40</v>
      </c>
      <c r="D38" t="str">
        <f>RTD("tx3.livefeed",,"1333_NSE@Volume")</f>
        <v>6031288</v>
      </c>
      <c r="E38">
        <v>0</v>
      </c>
      <c r="F38" s="2" t="s">
        <v>2</v>
      </c>
      <c r="G38" s="13" t="str">
        <f>RTD("tx3.livefeed",,"1333_NSE@altt")</f>
        <v>31 Aug 2021, 03:59:56 PM</v>
      </c>
    </row>
    <row r="39" spans="1:7" x14ac:dyDescent="0.25">
      <c r="A39" t="s">
        <v>37</v>
      </c>
      <c r="B39" s="11" t="str">
        <f t="shared" si="0"/>
        <v>03:59:46 PM</v>
      </c>
      <c r="C39" t="str">
        <f>RTD("tx3.livefeed",,"11536_NSE@Price")</f>
        <v>3786.45</v>
      </c>
      <c r="D39" t="str">
        <f>RTD("tx3.livefeed",,"11536_NSE@Volume")</f>
        <v>3207480</v>
      </c>
      <c r="E39">
        <v>0</v>
      </c>
      <c r="F39" s="2" t="s">
        <v>2</v>
      </c>
      <c r="G39" s="13" t="str">
        <f>RTD("tx3.livefeed",,"11536_NSE@altt")</f>
        <v>31 Aug 2021, 03:59:46 PM</v>
      </c>
    </row>
    <row r="40" spans="1:7" x14ac:dyDescent="0.25">
      <c r="A40" t="s">
        <v>18</v>
      </c>
      <c r="B40" s="11" t="str">
        <f t="shared" si="0"/>
        <v>03:57:46 PM</v>
      </c>
      <c r="C40" t="str">
        <f>RTD("tx3.livefeed",,"4963_NSE@Price")</f>
        <v>719.05</v>
      </c>
      <c r="D40" t="str">
        <f>RTD("tx3.livefeed",,"4963_NSE@Volume")</f>
        <v>19760246</v>
      </c>
      <c r="E40">
        <v>0</v>
      </c>
      <c r="F40" s="2" t="s">
        <v>2</v>
      </c>
      <c r="G40" s="13" t="str">
        <f>RTD("tx3.livefeed",,"4963_NSE@altt")</f>
        <v>31 Aug 2021, 03:57:46 PM</v>
      </c>
    </row>
    <row r="41" spans="1:7" x14ac:dyDescent="0.25">
      <c r="A41" t="s">
        <v>28</v>
      </c>
      <c r="B41" s="11" t="str">
        <f t="shared" si="0"/>
        <v>03:59:27 PM</v>
      </c>
      <c r="C41" t="str">
        <f>RTD("tx3.livefeed",,"14977_NSE@Price")</f>
        <v>175.35</v>
      </c>
      <c r="D41" t="str">
        <f>RTD("tx3.livefeed",,"14977_NSE@Volume")</f>
        <v>32436250</v>
      </c>
      <c r="E41">
        <v>0</v>
      </c>
      <c r="F41" s="2" t="s">
        <v>2</v>
      </c>
      <c r="G41" s="13" t="str">
        <f>RTD("tx3.livefeed",,"14977_NSE@altt")</f>
        <v>31 Aug 2021, 03:59:27 PM</v>
      </c>
    </row>
    <row r="42" spans="1:7" x14ac:dyDescent="0.25">
      <c r="A42" t="s">
        <v>24</v>
      </c>
      <c r="B42" s="11" t="str">
        <f t="shared" si="0"/>
        <v>03:54:21 PM</v>
      </c>
      <c r="C42" t="str">
        <f>RTD("tx3.livefeed",,"10999_NSE@Price")</f>
        <v>6846.10</v>
      </c>
      <c r="D42" t="str">
        <f>RTD("tx3.livefeed",,"10999_NSE@Volume")</f>
        <v>938326</v>
      </c>
      <c r="E42">
        <v>0</v>
      </c>
      <c r="F42" s="2" t="s">
        <v>2</v>
      </c>
      <c r="G42" s="13" t="str">
        <f>RTD("tx3.livefeed",,"10999_NSE@altt")</f>
        <v>31 Aug 2021, 03:54:21 PM</v>
      </c>
    </row>
    <row r="43" spans="1:7" x14ac:dyDescent="0.25">
      <c r="A43" t="s">
        <v>65</v>
      </c>
      <c r="B43" s="11" t="str">
        <f t="shared" si="0"/>
        <v>03:59:56 PM</v>
      </c>
      <c r="C43" t="str">
        <f>RTD("tx3.livefeed",,"5258_NSE@Price")</f>
        <v>992.40</v>
      </c>
      <c r="D43" t="str">
        <f>RTD("tx3.livefeed",,"5258_NSE@Volume")</f>
        <v>3138652</v>
      </c>
      <c r="E43">
        <v>0</v>
      </c>
      <c r="F43" s="2" t="s">
        <v>2</v>
      </c>
      <c r="G43" s="13" t="str">
        <f>RTD("tx3.livefeed",,"5258_NSE@altt")</f>
        <v>31 Aug 2021, 03:59:56 PM</v>
      </c>
    </row>
    <row r="44" spans="1:7" x14ac:dyDescent="0.25">
      <c r="A44" t="s">
        <v>4</v>
      </c>
      <c r="B44" s="11" t="str">
        <f t="shared" si="0"/>
        <v>03:55:31 PM</v>
      </c>
      <c r="C44" t="str">
        <f>RTD("tx3.livefeed",,"5900_NSE@Price")</f>
        <v>786.50</v>
      </c>
      <c r="D44" t="str">
        <f>RTD("tx3.livefeed",,"5900_NSE@Volume")</f>
        <v>12114870</v>
      </c>
      <c r="E44">
        <v>0</v>
      </c>
      <c r="F44" s="2" t="s">
        <v>2</v>
      </c>
      <c r="G44" s="13" t="str">
        <f>RTD("tx3.livefeed",,"5900_NSE@altt")</f>
        <v>31 Aug 2021, 03:55:31 PM</v>
      </c>
    </row>
    <row r="45" spans="1:7" x14ac:dyDescent="0.25">
      <c r="A45" t="s">
        <v>12</v>
      </c>
      <c r="B45" s="11" t="str">
        <f t="shared" si="0"/>
        <v>03:59:49 PM</v>
      </c>
      <c r="C45" t="str">
        <f>RTD("tx3.livefeed",,"7229_NSE@Price")</f>
        <v>1182.30</v>
      </c>
      <c r="D45" t="str">
        <f>RTD("tx3.livefeed",,"7229_NSE@Volume")</f>
        <v>7199002</v>
      </c>
      <c r="E45">
        <v>0</v>
      </c>
      <c r="F45" s="2" t="s">
        <v>2</v>
      </c>
      <c r="G45" s="13" t="str">
        <f>RTD("tx3.livefeed",,"7229_NSE@altt")</f>
        <v>31 Aug 2021, 03:59:49 PM</v>
      </c>
    </row>
    <row r="46" spans="1:7" x14ac:dyDescent="0.25">
      <c r="A46" t="s">
        <v>26</v>
      </c>
      <c r="B46" s="11" t="str">
        <f t="shared" si="0"/>
        <v>03:59:59 PM</v>
      </c>
      <c r="C46" t="str">
        <f>RTD("tx3.livefeed",,"2475_NSE@Price")</f>
        <v>120.55</v>
      </c>
      <c r="D46" t="str">
        <f>RTD("tx3.livefeed",,"2475_NSE@Volume")</f>
        <v>13376290</v>
      </c>
      <c r="E46">
        <v>0</v>
      </c>
      <c r="F46" s="2" t="s">
        <v>2</v>
      </c>
      <c r="G46" s="13" t="str">
        <f>RTD("tx3.livefeed",,"2475_NSE@altt")</f>
        <v>31 Aug 2021, 03:59:59 PM</v>
      </c>
    </row>
    <row r="47" spans="1:7" x14ac:dyDescent="0.25">
      <c r="A47" t="s">
        <v>25</v>
      </c>
      <c r="B47" s="11" t="str">
        <f t="shared" si="0"/>
        <v>03:59:19 PM</v>
      </c>
      <c r="C47" t="str">
        <f>RTD("tx3.livefeed",,"11630_NSE@Price")</f>
        <v>115.95</v>
      </c>
      <c r="D47" t="str">
        <f>RTD("tx3.livefeed",,"11630_NSE@Volume")</f>
        <v>11386659</v>
      </c>
      <c r="E47">
        <v>0</v>
      </c>
      <c r="F47" s="2" t="s">
        <v>2</v>
      </c>
      <c r="G47" s="13" t="str">
        <f>RTD("tx3.livefeed",,"11630_NSE@altt")</f>
        <v>31 Aug 2021, 03:59:19 PM</v>
      </c>
    </row>
    <row r="48" spans="1:7" x14ac:dyDescent="0.25">
      <c r="A48" t="s">
        <v>66</v>
      </c>
      <c r="B48" s="11" t="str">
        <f t="shared" si="0"/>
        <v>03:59:07 PM</v>
      </c>
      <c r="C48" t="str">
        <f>RTD("tx3.livefeed",,"1624_NSE@Price")</f>
        <v>110.85</v>
      </c>
      <c r="D48" t="str">
        <f>RTD("tx3.livefeed",,"1624_NSE@Volume")</f>
        <v>22323605</v>
      </c>
      <c r="E48">
        <v>0</v>
      </c>
      <c r="F48" s="2" t="s">
        <v>2</v>
      </c>
      <c r="G48" s="13" t="str">
        <f>RTD("tx3.livefeed",,"1624_NSE@altt")</f>
        <v>31 Aug 2021, 03:59:07 PM</v>
      </c>
    </row>
    <row r="49" spans="1:7" x14ac:dyDescent="0.25">
      <c r="A49" t="s">
        <v>67</v>
      </c>
      <c r="B49" s="11" t="str">
        <f t="shared" si="0"/>
        <v>03:58:33 PM</v>
      </c>
      <c r="C49" t="str">
        <f>RTD("tx3.livefeed",,"20374_NSE@Price")</f>
        <v>145.85</v>
      </c>
      <c r="D49" t="str">
        <f>RTD("tx3.livefeed",,"20374_NSE@Volume")</f>
        <v>14301855</v>
      </c>
      <c r="E49">
        <v>0</v>
      </c>
      <c r="F49" s="2" t="s">
        <v>2</v>
      </c>
      <c r="G49" s="13" t="str">
        <f>RTD("tx3.livefeed",,"20374_NSE@altt")</f>
        <v>31 Aug 2021, 03:58:33 PM</v>
      </c>
    </row>
    <row r="50" spans="1:7" x14ac:dyDescent="0.25">
      <c r="A50" t="s">
        <v>6</v>
      </c>
      <c r="B50" s="11" t="str">
        <f t="shared" si="0"/>
        <v>03:58:46 PM</v>
      </c>
      <c r="C50" t="str">
        <f>RTD("tx3.livefeed",,"10604_NSE@Price")</f>
        <v>664.05</v>
      </c>
      <c r="D50" t="str">
        <f>RTD("tx3.livefeed",,"10604_NSE@Volume")</f>
        <v>59661820</v>
      </c>
      <c r="E50">
        <v>0</v>
      </c>
      <c r="F50" s="2" t="s">
        <v>2</v>
      </c>
      <c r="G50" s="13" t="str">
        <f>RTD("tx3.livefeed",,"10604_NSE@altt")</f>
        <v>31 Aug 2021, 03:58:46 PM</v>
      </c>
    </row>
    <row r="51" spans="1:7" x14ac:dyDescent="0.25">
      <c r="A51" t="s">
        <v>68</v>
      </c>
      <c r="B51" s="11" t="str">
        <f t="shared" si="0"/>
        <v>03:58:27 PM</v>
      </c>
      <c r="C51" t="str">
        <f>RTD("tx3.livefeed",,"13538_NSE@Price")</f>
        <v>1447.65</v>
      </c>
      <c r="D51" t="str">
        <f>RTD("tx3.livefeed",,"13538_NSE@Volume")</f>
        <v>6392991</v>
      </c>
      <c r="E51">
        <v>0</v>
      </c>
      <c r="F51" s="2" t="s">
        <v>2</v>
      </c>
      <c r="G51" s="13" t="str">
        <f>RTD("tx3.livefeed",,"13538_NSE@altt")</f>
        <v>31 Aug 2021, 03:58:27 PM</v>
      </c>
    </row>
    <row r="52" spans="1:7" x14ac:dyDescent="0.25">
      <c r="A52" t="s">
        <v>69</v>
      </c>
      <c r="B52" s="11" t="str">
        <f t="shared" si="0"/>
        <v>03:59:44 PM</v>
      </c>
      <c r="C52" t="str">
        <f>RTD("tx3.livefeed",,"10940_NSE@Price")</f>
        <v>5173.60</v>
      </c>
      <c r="D52" t="str">
        <f>RTD("tx3.livefeed",,"10940_NSE@Volume")</f>
        <v>896587</v>
      </c>
      <c r="E52">
        <v>0</v>
      </c>
      <c r="F52" s="2" t="s">
        <v>2</v>
      </c>
      <c r="G52" s="13" t="str">
        <f>RTD("tx3.livefeed",,"10940_NSE@altt")</f>
        <v>31 Aug 2021, 03:59:44 PM</v>
      </c>
    </row>
    <row r="53" spans="1:7" x14ac:dyDescent="0.25">
      <c r="A53" t="s">
        <v>70</v>
      </c>
      <c r="B53" s="11" t="str">
        <f t="shared" si="0"/>
        <v>03:58:33 PM</v>
      </c>
      <c r="C53" t="str">
        <f>RTD("tx3.livefeed",,"15083_NSE@Price")</f>
        <v>748.30</v>
      </c>
      <c r="D53" t="str">
        <f>RTD("tx3.livefeed",,"15083_NSE@Volume")</f>
        <v>15419587</v>
      </c>
      <c r="E53">
        <v>0</v>
      </c>
      <c r="F53" s="2" t="s">
        <v>2</v>
      </c>
      <c r="G53" s="13" t="str">
        <f>RTD("tx3.livefeed",,"15083_NSE@altt")</f>
        <v>31 Aug 2021, 03:58:33 PM</v>
      </c>
    </row>
    <row r="54" spans="1:7" x14ac:dyDescent="0.25">
      <c r="A54" t="s">
        <v>71</v>
      </c>
      <c r="B54" s="11" t="str">
        <f t="shared" si="0"/>
        <v>03:58:34 PM</v>
      </c>
      <c r="C54" t="str">
        <f>RTD("tx3.livefeed",,"467_NSE@Price")</f>
        <v>717.75</v>
      </c>
      <c r="D54" t="str">
        <f>RTD("tx3.livefeed",,"467_NSE@Volume")</f>
        <v>3854510</v>
      </c>
      <c r="E54">
        <v>0</v>
      </c>
      <c r="F54" s="2" t="s">
        <v>2</v>
      </c>
      <c r="G54" s="13" t="str">
        <f>RTD("tx3.livefeed",,"467_NSE@altt")</f>
        <v>31 Aug 2021, 03:58:34 PM</v>
      </c>
    </row>
    <row r="55" spans="1:7" x14ac:dyDescent="0.25">
      <c r="A55" t="s">
        <v>72</v>
      </c>
      <c r="B55" s="11" t="str">
        <f t="shared" si="0"/>
        <v>03:52:36 PM</v>
      </c>
      <c r="C55" t="str">
        <f>RTD("tx3.livefeed",,"21808_NSE@Price")</f>
        <v>1192.05</v>
      </c>
      <c r="D55" t="str">
        <f>RTD("tx3.livefeed",,"21808_NSE@Volume")</f>
        <v>1719768</v>
      </c>
      <c r="E55">
        <v>0</v>
      </c>
      <c r="F55" s="2" t="s">
        <v>2</v>
      </c>
      <c r="G55" s="13" t="str">
        <f>RTD("tx3.livefeed",,"21808_NSE@altt")</f>
        <v>31 Aug 2021, 03:52:36 PM</v>
      </c>
    </row>
    <row r="56" spans="1:7" x14ac:dyDescent="0.25">
      <c r="A56" t="s">
        <v>73</v>
      </c>
      <c r="B56" s="11" t="str">
        <f t="shared" si="0"/>
        <v>03:58:09 PM</v>
      </c>
      <c r="C56" t="str">
        <f>RTD("tx3.livefeed",,"11532_NSE@Price")</f>
        <v>7832.45</v>
      </c>
      <c r="D56" t="str">
        <f>RTD("tx3.livefeed",,"11532_NSE@Volume")</f>
        <v>475968</v>
      </c>
      <c r="E56">
        <v>0</v>
      </c>
      <c r="F56" s="2" t="s">
        <v>2</v>
      </c>
      <c r="G56" s="13" t="str">
        <f>RTD("tx3.livefeed",,"11532_NSE@altt")</f>
        <v>31 Aug 2021, 03:58:09 PM</v>
      </c>
    </row>
    <row r="57" spans="1:7" x14ac:dyDescent="0.25">
      <c r="A57" t="s">
        <v>5</v>
      </c>
      <c r="B57" s="11" t="str">
        <f t="shared" si="0"/>
        <v>03:52:52 PM</v>
      </c>
      <c r="C57" t="str">
        <f>RTD("tx3.livefeed",,"16669_NSE@Price")</f>
        <v>3727.85</v>
      </c>
      <c r="D57" t="str">
        <f>RTD("tx3.livefeed",,"16669_NSE@Volume")</f>
        <v>693952</v>
      </c>
      <c r="E57">
        <v>0</v>
      </c>
      <c r="F57" s="2" t="s">
        <v>2</v>
      </c>
      <c r="G57" s="13" t="str">
        <f>RTD("tx3.livefeed",,"16669_NSE@altt")</f>
        <v>31 Aug 2021, 03:52:52 PM</v>
      </c>
    </row>
    <row r="58" spans="1:7" x14ac:dyDescent="0.25">
      <c r="A58" t="s">
        <v>74</v>
      </c>
      <c r="B58" s="11" t="str">
        <f t="shared" si="0"/>
        <v>03:59:54 PM</v>
      </c>
      <c r="C58" t="str">
        <f>RTD("tx3.livefeed",,"16675_NSE@Price")</f>
        <v>17148.75</v>
      </c>
      <c r="D58" t="str">
        <f>RTD("tx3.livefeed",,"16675_NSE@Volume")</f>
        <v>652127</v>
      </c>
      <c r="E58">
        <v>0</v>
      </c>
      <c r="F58" s="2" t="s">
        <v>2</v>
      </c>
      <c r="G58" s="13" t="str">
        <f>RTD("tx3.livefeed",,"16675_NSE@altt")</f>
        <v>31 Aug 2021, 03:59:54 PM</v>
      </c>
    </row>
    <row r="59" spans="1:7" x14ac:dyDescent="0.25">
      <c r="A59" t="s">
        <v>1</v>
      </c>
      <c r="B59" s="11" t="str">
        <f t="shared" si="0"/>
        <v>03:43:11 PM</v>
      </c>
      <c r="C59" t="str">
        <f>RTD("tx3.livefeed",,"22_NSE@Price")</f>
        <v>2413.20</v>
      </c>
      <c r="D59" t="str">
        <f>RTD("tx3.livefeed",,"22_NSE@Volume")</f>
        <v>580467</v>
      </c>
      <c r="E59">
        <v>0</v>
      </c>
      <c r="F59" s="2" t="s">
        <v>2</v>
      </c>
      <c r="G59" s="13" t="str">
        <f>RTD("tx3.livefeed",,"22_NSE@altt")</f>
        <v>31 Aug 2021, 03:43:11 PM</v>
      </c>
    </row>
    <row r="60" spans="1:7" x14ac:dyDescent="0.25">
      <c r="A60" t="s">
        <v>75</v>
      </c>
      <c r="B60" s="11" t="str">
        <f t="shared" si="0"/>
        <v>03:58:44 PM</v>
      </c>
      <c r="C60" t="str">
        <f>RTD("tx3.livefeed",,"163_NSE@Price")</f>
        <v>212.95</v>
      </c>
      <c r="D60" t="str">
        <f>RTD("tx3.livefeed",,"163_NSE@Volume")</f>
        <v>3204602</v>
      </c>
      <c r="E60">
        <v>0</v>
      </c>
      <c r="F60" s="2" t="s">
        <v>2</v>
      </c>
      <c r="G60" s="13" t="str">
        <f>RTD("tx3.livefeed",,"163_NSE@altt")</f>
        <v>31 Aug 2021, 03:58:44 PM</v>
      </c>
    </row>
    <row r="61" spans="1:7" x14ac:dyDescent="0.25">
      <c r="A61" t="s">
        <v>76</v>
      </c>
      <c r="B61" s="11" t="str">
        <f t="shared" si="0"/>
        <v>03:59:58 PM</v>
      </c>
      <c r="C61" t="str">
        <f>RTD("tx3.livefeed",,"212_NSE@Price")</f>
        <v>122.75</v>
      </c>
      <c r="D61" t="str">
        <f>RTD("tx3.livefeed",,"212_NSE@Volume")</f>
        <v>20046747</v>
      </c>
      <c r="E61">
        <v>0</v>
      </c>
      <c r="F61" s="2" t="s">
        <v>2</v>
      </c>
      <c r="G61" s="13" t="str">
        <f>RTD("tx3.livefeed",,"212_NSE@altt")</f>
        <v>31 Aug 2021, 03:59:58 PM</v>
      </c>
    </row>
    <row r="62" spans="1:7" x14ac:dyDescent="0.25">
      <c r="A62" t="s">
        <v>77</v>
      </c>
      <c r="B62" s="11" t="str">
        <f t="shared" si="0"/>
        <v>03:51:01 PM</v>
      </c>
      <c r="C62" t="str">
        <f>RTD("tx3.livefeed",,"305_NSE@Price")</f>
        <v>4356.75</v>
      </c>
      <c r="D62" t="str">
        <f>RTD("tx3.livefeed",,"305_NSE@Volume")</f>
        <v>47450</v>
      </c>
      <c r="E62">
        <v>0</v>
      </c>
      <c r="F62" s="2" t="s">
        <v>2</v>
      </c>
      <c r="G62" s="13" t="str">
        <f>RTD("tx3.livefeed",,"305_NSE@altt")</f>
        <v>31 Aug 2021, 03:51:01 PM</v>
      </c>
    </row>
    <row r="63" spans="1:7" x14ac:dyDescent="0.25">
      <c r="A63" t="s">
        <v>78</v>
      </c>
      <c r="B63" s="11" t="str">
        <f t="shared" si="0"/>
        <v>03:40:00 PM</v>
      </c>
      <c r="C63" t="str">
        <f>RTD("tx3.livefeed",,"335_NSE@Price")</f>
        <v>2294.90</v>
      </c>
      <c r="D63" t="str">
        <f>RTD("tx3.livefeed",,"335_NSE@Volume")</f>
        <v>479245</v>
      </c>
      <c r="E63">
        <v>0</v>
      </c>
      <c r="F63" s="2" t="s">
        <v>2</v>
      </c>
      <c r="G63" s="13" t="str">
        <f>RTD("tx3.livefeed",,"335_NSE@altt")</f>
        <v>31 Aug 2021, 03:40:00 PM</v>
      </c>
    </row>
    <row r="64" spans="1:7" x14ac:dyDescent="0.25">
      <c r="A64" t="s">
        <v>79</v>
      </c>
      <c r="B64" s="11" t="str">
        <f t="shared" si="0"/>
        <v>03:59:39 PM</v>
      </c>
      <c r="C64" t="str">
        <f>RTD("tx3.livefeed",,"371_NSE@Price")</f>
        <v>1771.80</v>
      </c>
      <c r="D64" t="str">
        <f>RTD("tx3.livefeed",,"371_NSE@Volume")</f>
        <v>638971</v>
      </c>
      <c r="E64">
        <v>0</v>
      </c>
      <c r="F64" s="2" t="s">
        <v>2</v>
      </c>
      <c r="G64" s="13" t="str">
        <f>RTD("tx3.livefeed",,"371_NSE@altt")</f>
        <v>31 Aug 2021, 03:59:39 PM</v>
      </c>
    </row>
    <row r="65" spans="1:7" x14ac:dyDescent="0.25">
      <c r="A65" t="s">
        <v>80</v>
      </c>
      <c r="B65" s="11" t="str">
        <f t="shared" si="0"/>
        <v>03:57:00 PM</v>
      </c>
      <c r="C65" t="str">
        <f>RTD("tx3.livefeed",,"404_NSE@Price")</f>
        <v>820.80</v>
      </c>
      <c r="D65" t="str">
        <f>RTD("tx3.livefeed",,"404_NSE@Volume")</f>
        <v>1219916</v>
      </c>
      <c r="E65">
        <v>0</v>
      </c>
      <c r="F65" s="2" t="s">
        <v>2</v>
      </c>
      <c r="G65" s="13" t="str">
        <f>RTD("tx3.livefeed",,"404_NSE@altt")</f>
        <v>31 Aug 2021, 03:57:00 PM</v>
      </c>
    </row>
    <row r="66" spans="1:7" x14ac:dyDescent="0.25">
      <c r="A66" t="s">
        <v>81</v>
      </c>
      <c r="B66" s="11" t="str">
        <f t="shared" si="0"/>
        <v>03:52:20 PM</v>
      </c>
      <c r="C66" t="str">
        <f>RTD("tx3.livefeed",,"422_NSE@Price")</f>
        <v>767.20</v>
      </c>
      <c r="D66" t="str">
        <f>RTD("tx3.livefeed",,"422_NSE@Volume")</f>
        <v>3404792</v>
      </c>
      <c r="E66">
        <v>0</v>
      </c>
      <c r="F66" s="2" t="s">
        <v>2</v>
      </c>
      <c r="G66" s="13" t="str">
        <f>RTD("tx3.livefeed",,"422_NSE@altt")</f>
        <v>31 Aug 2021, 03:52:20 PM</v>
      </c>
    </row>
    <row r="67" spans="1:7" x14ac:dyDescent="0.25">
      <c r="A67" t="s">
        <v>82</v>
      </c>
      <c r="B67" s="11" t="str">
        <f t="shared" si="0"/>
        <v>03:51:22 PM</v>
      </c>
      <c r="C67" t="str">
        <f>RTD("tx3.livefeed",,"380_NSE@Price")</f>
        <v>1189.30</v>
      </c>
      <c r="D67" t="str">
        <f>RTD("tx3.livefeed",,"380_NSE@Volume")</f>
        <v>259919</v>
      </c>
      <c r="E67">
        <v>0</v>
      </c>
      <c r="F67" s="2" t="s">
        <v>2</v>
      </c>
      <c r="G67" s="13" t="str">
        <f>RTD("tx3.livefeed",,"380_NSE@altt")</f>
        <v>31 Aug 2021, 03:51:22 PM</v>
      </c>
    </row>
    <row r="68" spans="1:7" x14ac:dyDescent="0.25">
      <c r="A68" t="s">
        <v>83</v>
      </c>
      <c r="B68" s="11" t="str">
        <f t="shared" si="0"/>
        <v>03:47:30 PM</v>
      </c>
      <c r="C68" t="str">
        <f>RTD("tx3.livefeed",,"17903_NSE@Price")</f>
        <v>19272.10</v>
      </c>
      <c r="D68" t="str">
        <f>RTD("tx3.livefeed",,"17903_NSE@Volume")</f>
        <v>7133</v>
      </c>
      <c r="E68">
        <v>0</v>
      </c>
      <c r="F68" s="2" t="s">
        <v>2</v>
      </c>
      <c r="G68" s="13" t="str">
        <f>RTD("tx3.livefeed",,"17903_NSE@altt")</f>
        <v>31 Aug 2021, 03:47:30 PM</v>
      </c>
    </row>
    <row r="69" spans="1:7" x14ac:dyDescent="0.25">
      <c r="A69" t="s">
        <v>84</v>
      </c>
      <c r="B69" s="11" t="str">
        <f t="shared" si="0"/>
        <v>03:59:45 PM</v>
      </c>
      <c r="C69" t="str">
        <f>RTD("tx3.livefeed",,"628_NSE@Price")</f>
        <v>803.85</v>
      </c>
      <c r="D69" t="str">
        <f>RTD("tx3.livefeed",,"628_NSE@Volume")</f>
        <v>1007718</v>
      </c>
      <c r="E69">
        <v>0</v>
      </c>
      <c r="F69" s="2" t="s">
        <v>2</v>
      </c>
      <c r="G69" s="13" t="str">
        <f>RTD("tx3.livefeed",,"628_NSE@altt")</f>
        <v>31 Aug 2021, 03:59:45 PM</v>
      </c>
    </row>
    <row r="70" spans="1:7" x14ac:dyDescent="0.25">
      <c r="A70" t="s">
        <v>85</v>
      </c>
      <c r="B70" s="11" t="str">
        <f t="shared" si="0"/>
        <v>03:59:44 PM</v>
      </c>
      <c r="C70" t="str">
        <f>RTD("tx3.livefeed",,"676_NSE@Price")</f>
        <v>161.15</v>
      </c>
      <c r="D70" t="str">
        <f>RTD("tx3.livefeed",,"676_NSE@Volume")</f>
        <v>5277497</v>
      </c>
      <c r="E70">
        <v>0</v>
      </c>
      <c r="F70" s="2" t="s">
        <v>2</v>
      </c>
      <c r="G70" s="13" t="str">
        <f>RTD("tx3.livefeed",,"676_NSE@altt")</f>
        <v>31 Aug 2021, 03:59:44 PM</v>
      </c>
    </row>
    <row r="71" spans="1:7" x14ac:dyDescent="0.25">
      <c r="A71" t="s">
        <v>86</v>
      </c>
      <c r="B71" s="11" t="str">
        <f t="shared" si="0"/>
        <v>03:47:52 PM</v>
      </c>
      <c r="C71" t="str">
        <f>RTD("tx3.livefeed",,"15141_NSE@Price")</f>
        <v>1693.30</v>
      </c>
      <c r="D71" t="str">
        <f>RTD("tx3.livefeed",,"15141_NSE@Volume")</f>
        <v>1586467</v>
      </c>
      <c r="E71">
        <v>0</v>
      </c>
      <c r="F71" s="2" t="s">
        <v>2</v>
      </c>
      <c r="G71" s="13" t="str">
        <f>RTD("tx3.livefeed",,"15141_NSE@altt")</f>
        <v>31 Aug 2021, 03:47:52 PM</v>
      </c>
    </row>
    <row r="72" spans="1:7" x14ac:dyDescent="0.25">
      <c r="A72" t="s">
        <v>87</v>
      </c>
      <c r="B72" s="11" t="str">
        <f t="shared" si="0"/>
        <v>03:59:45 PM</v>
      </c>
      <c r="C72" t="str">
        <f>RTD("tx3.livefeed",,"724_NSE@Price")</f>
        <v>213.15</v>
      </c>
      <c r="D72" t="str">
        <f>RTD("tx3.livefeed",,"724_NSE@Volume")</f>
        <v>16750725</v>
      </c>
      <c r="E72">
        <v>0</v>
      </c>
      <c r="F72" s="2" t="s">
        <v>2</v>
      </c>
      <c r="G72" s="13" t="str">
        <f>RTD("tx3.livefeed",,"724_NSE@altt")</f>
        <v>31 Aug 2021, 03:59:45 PM</v>
      </c>
    </row>
    <row r="73" spans="1:7" x14ac:dyDescent="0.25">
      <c r="A73" t="s">
        <v>88</v>
      </c>
      <c r="B73" s="11" t="str">
        <f t="shared" si="0"/>
        <v>03:44:41 PM</v>
      </c>
      <c r="C73" t="str">
        <f>RTD("tx3.livefeed",,"739_NSE@Price")</f>
        <v>792.90</v>
      </c>
      <c r="D73" t="str">
        <f>RTD("tx3.livefeed",,"739_NSE@Volume")</f>
        <v>631601</v>
      </c>
      <c r="E73">
        <v>0</v>
      </c>
      <c r="F73" s="2" t="s">
        <v>2</v>
      </c>
      <c r="G73" s="13" t="str">
        <f>RTD("tx3.livefeed",,"739_NSE@altt")</f>
        <v>31 Aug 2021, 03:44:41 PM</v>
      </c>
    </row>
    <row r="74" spans="1:7" x14ac:dyDescent="0.25">
      <c r="A74" t="s">
        <v>89</v>
      </c>
      <c r="B74" s="11" t="str">
        <f t="shared" ref="B74:B137" si="1">RIGHT(G74,11)</f>
        <v>03:59:20 PM</v>
      </c>
      <c r="C74" t="str">
        <f>RTD("tx3.livefeed",,"19943_NSE@Price")</f>
        <v>2283.60</v>
      </c>
      <c r="D74" t="str">
        <f>RTD("tx3.livefeed",,"19943_NSE@Volume")</f>
        <v>1721286</v>
      </c>
      <c r="E74">
        <v>0</v>
      </c>
      <c r="F74" s="2" t="s">
        <v>2</v>
      </c>
      <c r="G74" s="13" t="str">
        <f>RTD("tx3.livefeed",,"19943_NSE@altt")</f>
        <v>31 Aug 2021, 03:59:20 PM</v>
      </c>
    </row>
    <row r="75" spans="1:7" x14ac:dyDescent="0.25">
      <c r="A75" t="s">
        <v>90</v>
      </c>
      <c r="B75" s="11" t="str">
        <f t="shared" si="1"/>
        <v>03:57:56 PM</v>
      </c>
      <c r="C75" t="str">
        <f>RTD("tx3.livefeed",,"958_NSE@Price")</f>
        <v>1346.35</v>
      </c>
      <c r="D75" t="str">
        <f>RTD("tx3.livefeed",,"958_NSE@Volume")</f>
        <v>827925</v>
      </c>
      <c r="E75">
        <v>0</v>
      </c>
      <c r="F75" s="2" t="s">
        <v>2</v>
      </c>
      <c r="G75" s="13" t="str">
        <f>RTD("tx3.livefeed",,"958_NSE@altt")</f>
        <v>31 Aug 2021, 03:57:56 PM</v>
      </c>
    </row>
    <row r="76" spans="1:7" x14ac:dyDescent="0.25">
      <c r="A76" t="s">
        <v>3</v>
      </c>
      <c r="B76" s="11" t="str">
        <f t="shared" si="1"/>
        <v>03:49:58 PM</v>
      </c>
      <c r="C76" t="str">
        <f>RTD("tx3.livefeed",,"1270_NSE@Price")</f>
        <v>421.05</v>
      </c>
      <c r="D76" t="str">
        <f>RTD("tx3.livefeed",,"1270_NSE@Volume")</f>
        <v>6342929</v>
      </c>
      <c r="E76">
        <v>0</v>
      </c>
      <c r="F76" s="2" t="s">
        <v>2</v>
      </c>
      <c r="G76" s="13" t="str">
        <f>RTD("tx3.livefeed",,"1270_NSE@altt")</f>
        <v>31 Aug 2021, 03:49:58 PM</v>
      </c>
    </row>
    <row r="77" spans="1:7" x14ac:dyDescent="0.25">
      <c r="A77" t="s">
        <v>91</v>
      </c>
      <c r="B77" s="11" t="str">
        <f t="shared" si="1"/>
        <v>03:46:12 PM</v>
      </c>
      <c r="C77" t="str">
        <f>RTD("tx3.livefeed",,"1442_NSE@Price")</f>
        <v>9013.80</v>
      </c>
      <c r="D77" t="str">
        <f>RTD("tx3.livefeed",,"1442_NSE@Volume")</f>
        <v>27381</v>
      </c>
      <c r="E77">
        <v>0</v>
      </c>
      <c r="F77" s="2" t="s">
        <v>2</v>
      </c>
      <c r="G77" s="13" t="str">
        <f>RTD("tx3.livefeed",,"1442_NSE@altt")</f>
        <v>31 Aug 2021, 03:46:12 PM</v>
      </c>
    </row>
    <row r="78" spans="1:7" x14ac:dyDescent="0.25">
      <c r="A78" t="s">
        <v>92</v>
      </c>
      <c r="B78" s="11" t="str">
        <f t="shared" si="1"/>
        <v>03:47:15 PM</v>
      </c>
      <c r="C78" t="str">
        <f>RTD("tx3.livefeed",,"1515_NSE@Price")</f>
        <v>163.60</v>
      </c>
      <c r="D78" t="str">
        <f>RTD("tx3.livefeed",,"1515_NSE@Volume")</f>
        <v>1552586</v>
      </c>
      <c r="E78">
        <v>0</v>
      </c>
      <c r="F78" s="2" t="s">
        <v>2</v>
      </c>
      <c r="G78" s="13" t="str">
        <f>RTD("tx3.livefeed",,"1515_NSE@altt")</f>
        <v>31 Aug 2021, 03:47:15 PM</v>
      </c>
    </row>
    <row r="79" spans="1:7" x14ac:dyDescent="0.25">
      <c r="A79" t="s">
        <v>93</v>
      </c>
      <c r="B79" s="11" t="str">
        <f t="shared" si="1"/>
        <v>03:58:40 PM</v>
      </c>
      <c r="C79" t="str">
        <f>RTD("tx3.livefeed",,"1512_NSE@Price")</f>
        <v>140.40</v>
      </c>
      <c r="D79" t="str">
        <f>RTD("tx3.livefeed",,"1512_NSE@Volume")</f>
        <v>829920</v>
      </c>
      <c r="E79">
        <v>0</v>
      </c>
      <c r="F79" s="2" t="s">
        <v>2</v>
      </c>
      <c r="G79" s="13" t="str">
        <f>RTD("tx3.livefeed",,"1512_NSE@altt")</f>
        <v>31 Aug 2021, 03:58:40 PM</v>
      </c>
    </row>
    <row r="80" spans="1:7" x14ac:dyDescent="0.25">
      <c r="A80" t="s">
        <v>94</v>
      </c>
      <c r="B80" s="11" t="str">
        <f t="shared" si="1"/>
        <v>03:48:08 PM</v>
      </c>
      <c r="C80" t="str">
        <f>RTD("tx3.livefeed",,"1250_NSE@Price")</f>
        <v>134.00</v>
      </c>
      <c r="D80" t="str">
        <f>RTD("tx3.livefeed",,"1250_NSE@Volume")</f>
        <v>447418</v>
      </c>
      <c r="E80">
        <v>0</v>
      </c>
      <c r="F80" s="2" t="s">
        <v>2</v>
      </c>
      <c r="G80" s="13" t="str">
        <f>RTD("tx3.livefeed",,"1250_NSE@altt")</f>
        <v>31 Aug 2021, 03:48:08 PM</v>
      </c>
    </row>
    <row r="81" spans="1:7" x14ac:dyDescent="0.25">
      <c r="A81" t="s">
        <v>95</v>
      </c>
      <c r="B81" s="11" t="str">
        <f t="shared" si="1"/>
        <v>03:59:56 PM</v>
      </c>
      <c r="C81" t="str">
        <f>RTD("tx3.livefeed",,"14435_NSE@Price")</f>
        <v>145.25</v>
      </c>
      <c r="D81" t="str">
        <f>RTD("tx3.livefeed",,"14435_NSE@Volume")</f>
        <v>618374</v>
      </c>
      <c r="E81">
        <v>0</v>
      </c>
      <c r="F81" s="2" t="s">
        <v>2</v>
      </c>
      <c r="G81" s="13" t="str">
        <f>RTD("tx3.livefeed",,"14435_NSE@altt")</f>
        <v>31 Aug 2021, 03:59:56 PM</v>
      </c>
    </row>
    <row r="82" spans="1:7" x14ac:dyDescent="0.25">
      <c r="A82" t="s">
        <v>96</v>
      </c>
      <c r="B82" s="11" t="str">
        <f t="shared" si="1"/>
        <v>03:50:39 PM</v>
      </c>
      <c r="C82" t="str">
        <f>RTD("tx3.livefeed",,"18011_NSE@Price")</f>
        <v>2130.20</v>
      </c>
      <c r="D82" t="str">
        <f>RTD("tx3.livefeed",,"18011_NSE@Volume")</f>
        <v>248536</v>
      </c>
      <c r="E82">
        <v>0</v>
      </c>
      <c r="F82" s="2" t="s">
        <v>2</v>
      </c>
      <c r="G82" s="13" t="str">
        <f>RTD("tx3.livefeed",,"18011_NSE@altt")</f>
        <v>31 Aug 2021, 03:50:39 PM</v>
      </c>
    </row>
    <row r="83" spans="1:7" x14ac:dyDescent="0.25">
      <c r="A83" t="s">
        <v>97</v>
      </c>
      <c r="B83" s="11" t="str">
        <f t="shared" si="1"/>
        <v>03:50:33 PM</v>
      </c>
      <c r="C83" t="str">
        <f>RTD("tx3.livefeed",,"1901_NSE@Price")</f>
        <v>999.15</v>
      </c>
      <c r="D83" t="str">
        <f>RTD("tx3.livefeed",,"1901_NSE@Volume")</f>
        <v>413161</v>
      </c>
      <c r="E83">
        <v>0</v>
      </c>
      <c r="F83" s="2" t="s">
        <v>2</v>
      </c>
      <c r="G83" s="13" t="str">
        <f>RTD("tx3.livefeed",,"1901_NSE@altt")</f>
        <v>31 Aug 2021, 03:50:33 PM</v>
      </c>
    </row>
    <row r="84" spans="1:7" x14ac:dyDescent="0.25">
      <c r="A84" t="s">
        <v>98</v>
      </c>
      <c r="B84" s="11" t="str">
        <f t="shared" si="1"/>
        <v>03:52:59 PM</v>
      </c>
      <c r="C84" t="str">
        <f>RTD("tx3.livefeed",,"1964_NSE@Price")</f>
        <v>1006.90</v>
      </c>
      <c r="D84" t="str">
        <f>RTD("tx3.livefeed",,"1964_NSE@Volume")</f>
        <v>968660</v>
      </c>
      <c r="E84">
        <v>0</v>
      </c>
      <c r="F84" s="2" t="s">
        <v>2</v>
      </c>
      <c r="G84" s="13" t="str">
        <f>RTD("tx3.livefeed",,"1964_NSE@altt")</f>
        <v>31 Aug 2021, 03:52:59 PM</v>
      </c>
    </row>
    <row r="85" spans="1:7" x14ac:dyDescent="0.25">
      <c r="A85" t="s">
        <v>99</v>
      </c>
      <c r="B85" s="11" t="str">
        <f t="shared" si="1"/>
        <v>03:46:36 PM</v>
      </c>
      <c r="C85" t="str">
        <f>RTD("tx3.livefeed",,"2043_NSE@Price")</f>
        <v>1008.80</v>
      </c>
      <c r="D85" t="str">
        <f>RTD("tx3.livefeed",,"2043_NSE@Volume")</f>
        <v>325284</v>
      </c>
      <c r="E85">
        <v>0</v>
      </c>
      <c r="F85" s="2" t="s">
        <v>2</v>
      </c>
      <c r="G85" s="13" t="str">
        <f>RTD("tx3.livefeed",,"2043_NSE@altt")</f>
        <v>31 Aug 2021, 03:46:36 PM</v>
      </c>
    </row>
    <row r="86" spans="1:7" x14ac:dyDescent="0.25">
      <c r="A86" t="s">
        <v>100</v>
      </c>
      <c r="B86" s="11" t="str">
        <f t="shared" si="1"/>
        <v>03:40:02 PM</v>
      </c>
      <c r="C86" t="str">
        <f>RTD("tx3.livefeed",,"2142_NSE@Price")</f>
        <v>1088.15</v>
      </c>
      <c r="D86" t="str">
        <f>RTD("tx3.livefeed",,"2142_NSE@Volume")</f>
        <v>913776</v>
      </c>
      <c r="E86">
        <v>0</v>
      </c>
      <c r="F86" s="2" t="s">
        <v>2</v>
      </c>
      <c r="G86" s="13" t="str">
        <f>RTD("tx3.livefeed",,"2142_NSE@altt")</f>
        <v>31 Aug 2021, 03:40:02 PM</v>
      </c>
    </row>
    <row r="87" spans="1:7" x14ac:dyDescent="0.25">
      <c r="A87" t="s">
        <v>101</v>
      </c>
      <c r="B87" s="11" t="str">
        <f t="shared" si="1"/>
        <v>03:51:06 PM</v>
      </c>
      <c r="C87" t="str">
        <f>RTD("tx3.livefeed",,"2181_NSE@Price")</f>
        <v>13859.20</v>
      </c>
      <c r="D87" t="str">
        <f>RTD("tx3.livefeed",,"2181_NSE@Volume")</f>
        <v>21977</v>
      </c>
      <c r="E87">
        <v>0</v>
      </c>
      <c r="F87" s="2" t="s">
        <v>2</v>
      </c>
      <c r="G87" s="13" t="str">
        <f>RTD("tx3.livefeed",,"2181_NSE@altt")</f>
        <v>31 Aug 2021, 03:51:06 PM</v>
      </c>
    </row>
    <row r="88" spans="1:7" x14ac:dyDescent="0.25">
      <c r="A88" t="s">
        <v>102</v>
      </c>
      <c r="B88" s="11" t="str">
        <f t="shared" si="1"/>
        <v>03:54:07 PM</v>
      </c>
      <c r="C88" t="str">
        <f>RTD("tx3.livefeed",,"2277_NSE@Price")</f>
        <v>79742.75</v>
      </c>
      <c r="D88" t="str">
        <f>RTD("tx3.livefeed",,"2277_NSE@Volume")</f>
        <v>14859</v>
      </c>
      <c r="E88">
        <v>0</v>
      </c>
      <c r="F88" s="2" t="s">
        <v>2</v>
      </c>
      <c r="G88" s="13" t="str">
        <f>RTD("tx3.livefeed",,"2277_NSE@altt")</f>
        <v>31 Aug 2021, 03:54:07 PM</v>
      </c>
    </row>
    <row r="89" spans="1:7" x14ac:dyDescent="0.25">
      <c r="A89" t="s">
        <v>103</v>
      </c>
      <c r="B89" s="11" t="str">
        <f t="shared" si="1"/>
        <v>03:58:29 PM</v>
      </c>
      <c r="C89" t="str">
        <f>RTD("tx3.livefeed",,"2412_NSE@Price")</f>
        <v>2606.65</v>
      </c>
      <c r="D89" t="str">
        <f>RTD("tx3.livefeed",,"2412_NSE@Volume")</f>
        <v>1019155</v>
      </c>
      <c r="E89">
        <v>0</v>
      </c>
      <c r="F89" s="2" t="s">
        <v>2</v>
      </c>
      <c r="G89" s="13" t="str">
        <f>RTD("tx3.livefeed",,"2412_NSE@altt")</f>
        <v>31 Aug 2021, 03:58:29 PM</v>
      </c>
    </row>
    <row r="90" spans="1:7" x14ac:dyDescent="0.25">
      <c r="A90" t="s">
        <v>104</v>
      </c>
      <c r="B90" s="11" t="str">
        <f t="shared" si="1"/>
        <v>03:57:10 PM</v>
      </c>
      <c r="C90" t="str">
        <f>RTD("tx3.livefeed",,"2643_NSE@Price")</f>
        <v>5725.05</v>
      </c>
      <c r="D90" t="str">
        <f>RTD("tx3.livefeed",,"2643_NSE@Volume")</f>
        <v>32942</v>
      </c>
      <c r="E90">
        <v>0</v>
      </c>
      <c r="F90" s="2" t="s">
        <v>2</v>
      </c>
      <c r="G90" s="13" t="str">
        <f>RTD("tx3.livefeed",,"2643_NSE@altt")</f>
        <v>31 Aug 2021, 03:57:10 PM</v>
      </c>
    </row>
    <row r="91" spans="1:7" x14ac:dyDescent="0.25">
      <c r="A91" t="s">
        <v>105</v>
      </c>
      <c r="B91" s="11" t="str">
        <f t="shared" si="1"/>
        <v>03:29:57 PM</v>
      </c>
      <c r="C91" t="str">
        <f>RTD("tx3.livefeed",,"2535_NSE@Price")</f>
        <v>13873.60</v>
      </c>
      <c r="D91" t="str">
        <f>RTD("tx3.livefeed",,"2535_NSE@Volume")</f>
        <v>5588</v>
      </c>
      <c r="E91">
        <v>0</v>
      </c>
      <c r="F91" s="2" t="s">
        <v>2</v>
      </c>
      <c r="G91" s="13" t="str">
        <f>RTD("tx3.livefeed",,"2535_NSE@altt")</f>
        <v>31 Aug 2021, 03:29:57 PM</v>
      </c>
    </row>
    <row r="92" spans="1:7" x14ac:dyDescent="0.25">
      <c r="A92" t="s">
        <v>106</v>
      </c>
      <c r="B92" s="11" t="str">
        <f t="shared" si="1"/>
        <v>03:58:22 PM</v>
      </c>
      <c r="C92" t="str">
        <f>RTD("tx3.livefeed",,"3063_NSE@Price")</f>
        <v>302.80</v>
      </c>
      <c r="D92" t="str">
        <f>RTD("tx3.livefeed",,"3063_NSE@Volume")</f>
        <v>27040537</v>
      </c>
      <c r="E92">
        <v>0</v>
      </c>
      <c r="F92" s="2" t="s">
        <v>2</v>
      </c>
      <c r="G92" s="13" t="str">
        <f>RTD("tx3.livefeed",,"3063_NSE@altt")</f>
        <v>31 Aug 2021, 03:58:22 PM</v>
      </c>
    </row>
    <row r="93" spans="1:7" x14ac:dyDescent="0.25">
      <c r="A93" t="s">
        <v>107</v>
      </c>
      <c r="B93" s="11" t="str">
        <f t="shared" si="1"/>
        <v>03:58:51 PM</v>
      </c>
      <c r="C93" t="str">
        <f>RTD("tx3.livefeed",,"3273_NSE@Price")</f>
        <v>10139.75</v>
      </c>
      <c r="D93" t="str">
        <f>RTD("tx3.livefeed",,"3273_NSE@Volume")</f>
        <v>972455</v>
      </c>
      <c r="E93">
        <v>0</v>
      </c>
      <c r="F93" s="2" t="s">
        <v>2</v>
      </c>
      <c r="G93" s="13" t="str">
        <f>RTD("tx3.livefeed",,"3273_NSE@altt")</f>
        <v>31 Aug 2021, 03:58:51 PM</v>
      </c>
    </row>
    <row r="94" spans="1:7" x14ac:dyDescent="0.25">
      <c r="A94" t="s">
        <v>32</v>
      </c>
      <c r="B94" s="11" t="str">
        <f t="shared" si="1"/>
        <v>03:54:46 PM</v>
      </c>
      <c r="C94" t="str">
        <f>RTD("tx3.livefeed",,"3150_NSE@Price")</f>
        <v>2272.40</v>
      </c>
      <c r="D94" t="str">
        <f>RTD("tx3.livefeed",,"3150_NSE@Volume")</f>
        <v>339959</v>
      </c>
      <c r="E94">
        <v>0</v>
      </c>
      <c r="F94" s="2" t="s">
        <v>2</v>
      </c>
      <c r="G94" s="13" t="str">
        <f>RTD("tx3.livefeed",,"3150_NSE@altt")</f>
        <v>31 Aug 2021, 03:54:46 PM</v>
      </c>
    </row>
    <row r="95" spans="1:7" x14ac:dyDescent="0.25">
      <c r="A95" t="s">
        <v>108</v>
      </c>
      <c r="B95" s="11" t="str">
        <f t="shared" si="1"/>
        <v>03:58:36 PM</v>
      </c>
      <c r="C95" t="str">
        <f>RTD("tx3.livefeed",,"3405_NSE@Price")</f>
        <v>844.65</v>
      </c>
      <c r="D95" t="str">
        <f>RTD("tx3.livefeed",,"3405_NSE@Volume")</f>
        <v>4538227</v>
      </c>
      <c r="E95">
        <v>0</v>
      </c>
      <c r="F95" s="2" t="s">
        <v>2</v>
      </c>
      <c r="G95" s="13" t="str">
        <f>RTD("tx3.livefeed",,"3405_NSE@altt")</f>
        <v>31 Aug 2021, 03:58:36 PM</v>
      </c>
    </row>
    <row r="96" spans="1:7" x14ac:dyDescent="0.25">
      <c r="A96" t="s">
        <v>35</v>
      </c>
      <c r="B96" s="11" t="str">
        <f t="shared" si="1"/>
        <v>03:59:33 PM</v>
      </c>
      <c r="C96" t="str">
        <f>RTD("tx3.livefeed",,"3426_NSE@Price")</f>
        <v>129.05</v>
      </c>
      <c r="D96" t="str">
        <f>RTD("tx3.livefeed",,"3426_NSE@Volume")</f>
        <v>24301446</v>
      </c>
      <c r="E96">
        <v>0</v>
      </c>
      <c r="F96" s="2" t="s">
        <v>2</v>
      </c>
      <c r="G96" s="13" t="str">
        <f>RTD("tx3.livefeed",,"3426_NSE@altt")</f>
        <v>31 Aug 2021, 03:59:33 PM</v>
      </c>
    </row>
    <row r="97" spans="1:7" x14ac:dyDescent="0.25">
      <c r="A97" t="s">
        <v>109</v>
      </c>
      <c r="B97" s="11" t="str">
        <f t="shared" si="1"/>
        <v>03:59:07 PM</v>
      </c>
      <c r="C97" t="str">
        <f>RTD("tx3.livefeed",,"3718_NSE@Price")</f>
        <v>995.85</v>
      </c>
      <c r="D97" t="str">
        <f>RTD("tx3.livefeed",,"3718_NSE@Volume")</f>
        <v>1194523</v>
      </c>
      <c r="E97">
        <v>0</v>
      </c>
      <c r="F97" s="2" t="s">
        <v>2</v>
      </c>
      <c r="G97" s="13" t="str">
        <f>RTD("tx3.livefeed",,"3718_NSE@altt")</f>
        <v>31 Aug 2021, 03:59:07 PM</v>
      </c>
    </row>
    <row r="98" spans="1:7" x14ac:dyDescent="0.25">
      <c r="A98" t="s">
        <v>110</v>
      </c>
      <c r="B98" s="11" t="str">
        <f t="shared" si="1"/>
        <v>03:58:37 PM</v>
      </c>
      <c r="C98" t="str">
        <f>RTD("tx3.livefeed",,"157_NSE@Price")</f>
        <v>4969.55</v>
      </c>
      <c r="D98" t="str">
        <f>RTD("tx3.livefeed",,"157_NSE@Volume")</f>
        <v>2883159</v>
      </c>
      <c r="E98">
        <v>0</v>
      </c>
      <c r="F98" s="2" t="s">
        <v>2</v>
      </c>
      <c r="G98" s="13" t="str">
        <f>RTD("tx3.livefeed",,"157_NSE@altt")</f>
        <v>31 Aug 2021, 03:58:37 PM</v>
      </c>
    </row>
    <row r="99" spans="1:7" x14ac:dyDescent="0.25">
      <c r="A99" t="s">
        <v>111</v>
      </c>
      <c r="B99" s="11" t="str">
        <f t="shared" si="1"/>
        <v>03:50:36 PM</v>
      </c>
      <c r="C99" t="str">
        <f>RTD("tx3.livefeed",,"10925_NSE@Price")</f>
        <v>558.80</v>
      </c>
      <c r="D99" t="str">
        <f>RTD("tx3.livefeed",,"10925_NSE@Volume")</f>
        <v>352459</v>
      </c>
      <c r="E99">
        <v>0</v>
      </c>
      <c r="F99" s="2" t="s">
        <v>2</v>
      </c>
      <c r="G99" s="13" t="str">
        <f>RTD("tx3.livefeed",,"10925_NSE@altt")</f>
        <v>31 Aug 2021, 03:50:36 PM</v>
      </c>
    </row>
    <row r="100" spans="1:7" x14ac:dyDescent="0.25">
      <c r="A100" t="s">
        <v>112</v>
      </c>
      <c r="B100" s="11" t="str">
        <f t="shared" si="1"/>
        <v>03:55:48 PM</v>
      </c>
      <c r="C100" t="str">
        <f>RTD("tx3.livefeed",,"4306_NSE@Price")</f>
        <v>1352.70</v>
      </c>
      <c r="D100" t="str">
        <f>RTD("tx3.livefeed",,"4306_NSE@Volume")</f>
        <v>1576383</v>
      </c>
      <c r="E100">
        <v>0</v>
      </c>
      <c r="F100" s="2" t="s">
        <v>2</v>
      </c>
      <c r="G100" s="13" t="str">
        <f>RTD("tx3.livefeed",,"4306_NSE@altt")</f>
        <v>31 Aug 2021, 03:55:48 PM</v>
      </c>
    </row>
    <row r="101" spans="1:7" x14ac:dyDescent="0.25">
      <c r="A101" t="s">
        <v>113</v>
      </c>
      <c r="B101" s="11" t="str">
        <f t="shared" si="1"/>
        <v>03:59:29 PM</v>
      </c>
      <c r="C101" t="str">
        <f>RTD("tx3.livefeed",,"20413_NSE@Price")</f>
        <v>559.10</v>
      </c>
      <c r="D101" t="str">
        <f>RTD("tx3.livefeed",,"20413_NSE@Volume")</f>
        <v>472597</v>
      </c>
      <c r="E101">
        <v>0</v>
      </c>
      <c r="F101" s="2" t="s">
        <v>2</v>
      </c>
      <c r="G101" s="13" t="str">
        <f>RTD("tx3.livefeed",,"20413_NSE@altt")</f>
        <v>31 Aug 2021, 03:59:29 PM</v>
      </c>
    </row>
    <row r="102" spans="1:7" x14ac:dyDescent="0.25">
      <c r="A102" t="s">
        <v>114</v>
      </c>
      <c r="B102" s="11" t="str">
        <f t="shared" si="1"/>
        <v>03:57:25 PM</v>
      </c>
      <c r="C102" t="str">
        <f>RTD("tx3.livefeed",,"100_NSE@Price")</f>
        <v>699.25</v>
      </c>
      <c r="D102" t="str">
        <f>RTD("tx3.livefeed",,"100_NSE@Volume")</f>
        <v>1122577</v>
      </c>
      <c r="E102">
        <v>0</v>
      </c>
      <c r="F102" s="2" t="s">
        <v>2</v>
      </c>
      <c r="G102" s="13" t="str">
        <f>RTD("tx3.livefeed",,"100_NSE@altt")</f>
        <v>31 Aug 2021, 03:57:25 PM</v>
      </c>
    </row>
    <row r="103" spans="1:7" x14ac:dyDescent="0.25">
      <c r="A103" t="s">
        <v>115</v>
      </c>
      <c r="B103" s="11" t="str">
        <f t="shared" si="1"/>
        <v>03:54:16 PM</v>
      </c>
      <c r="C103" t="str">
        <f>RTD("tx3.livefeed",,"685_NSE@Price")</f>
        <v>554.05</v>
      </c>
      <c r="D103" t="str">
        <f>RTD("tx3.livefeed",,"685_NSE@Volume")</f>
        <v>5252586</v>
      </c>
      <c r="E103">
        <v>0</v>
      </c>
      <c r="F103" s="2" t="s">
        <v>2</v>
      </c>
      <c r="G103" s="13" t="str">
        <f>RTD("tx3.livefeed",,"685_NSE@altt")</f>
        <v>31 Aug 2021, 03:54:16 PM</v>
      </c>
    </row>
    <row r="104" spans="1:7" x14ac:dyDescent="0.25">
      <c r="A104" t="s">
        <v>116</v>
      </c>
      <c r="B104" s="11" t="str">
        <f t="shared" si="1"/>
        <v>03:59:58 PM</v>
      </c>
      <c r="C104" t="str">
        <f>RTD("tx3.livefeed",,"3721_NSE@Price")</f>
        <v>1419.15</v>
      </c>
      <c r="D104" t="str">
        <f>RTD("tx3.livefeed",,"3721_NSE@Volume")</f>
        <v>206609</v>
      </c>
      <c r="E104">
        <v>0</v>
      </c>
      <c r="F104" s="2" t="s">
        <v>2</v>
      </c>
      <c r="G104" s="13" t="str">
        <f>RTD("tx3.livefeed",,"3721_NSE@altt")</f>
        <v>31 Aug 2021, 03:59:58 PM</v>
      </c>
    </row>
    <row r="105" spans="1:7" x14ac:dyDescent="0.25">
      <c r="A105" t="s">
        <v>117</v>
      </c>
      <c r="B105" s="11" t="str">
        <f t="shared" si="1"/>
        <v>03:46:42 PM</v>
      </c>
      <c r="C105" t="str">
        <f>RTD("tx3.livefeed",,"383_NSE@Price")</f>
        <v>186.65</v>
      </c>
      <c r="D105" t="str">
        <f>RTD("tx3.livefeed",,"383_NSE@Volume")</f>
        <v>7201234</v>
      </c>
      <c r="E105">
        <v>0</v>
      </c>
      <c r="F105" s="2" t="s">
        <v>2</v>
      </c>
      <c r="G105" s="13" t="str">
        <f>RTD("tx3.livefeed",,"383_NSE@altt")</f>
        <v>31 Aug 2021, 03:46:42 PM</v>
      </c>
    </row>
    <row r="106" spans="1:7" x14ac:dyDescent="0.25">
      <c r="A106" t="s">
        <v>30</v>
      </c>
      <c r="B106" s="11" t="str">
        <f t="shared" si="1"/>
        <v>03:58:44 PM</v>
      </c>
      <c r="C106" t="str">
        <f>RTD("tx3.livefeed",,"2963_NSE@Price")</f>
        <v>121.60</v>
      </c>
      <c r="D106" t="str">
        <f>RTD("tx3.livefeed",,"2963_NSE@Volume")</f>
        <v>31984469</v>
      </c>
      <c r="E106">
        <v>0</v>
      </c>
      <c r="F106" s="2" t="s">
        <v>2</v>
      </c>
      <c r="G106" s="13" t="str">
        <f>RTD("tx3.livefeed",,"2963_NSE@altt")</f>
        <v>31 Aug 2021, 03:58:44 PM</v>
      </c>
    </row>
    <row r="107" spans="1:7" x14ac:dyDescent="0.25">
      <c r="A107" t="s">
        <v>118</v>
      </c>
      <c r="B107" s="11" t="str">
        <f t="shared" si="1"/>
        <v>03:58:44 PM</v>
      </c>
      <c r="C107" t="str">
        <f>RTD("tx3.livefeed",,"6364_NSE@Price")</f>
        <v>90.75</v>
      </c>
      <c r="D107" t="str">
        <f>RTD("tx3.livefeed",,"6364_NSE@Volume")</f>
        <v>59439489</v>
      </c>
      <c r="E107">
        <v>0</v>
      </c>
      <c r="F107" s="2" t="s">
        <v>2</v>
      </c>
      <c r="G107" s="13" t="str">
        <f>RTD("tx3.livefeed",,"6364_NSE@altt")</f>
        <v>31 Aug 2021, 03:58:44 PM</v>
      </c>
    </row>
    <row r="108" spans="1:7" x14ac:dyDescent="0.25">
      <c r="A108" t="s">
        <v>119</v>
      </c>
      <c r="B108" s="11" t="str">
        <f t="shared" si="1"/>
        <v>03:58:20 PM</v>
      </c>
      <c r="C108" t="str">
        <f>RTD("tx3.livefeed",,"1406_NSE@Price")</f>
        <v>266.60</v>
      </c>
      <c r="D108" t="str">
        <f>RTD("tx3.livefeed",,"1406_NSE@Volume")</f>
        <v>5862402</v>
      </c>
      <c r="E108">
        <v>0</v>
      </c>
      <c r="F108" s="2" t="s">
        <v>2</v>
      </c>
      <c r="G108" s="13" t="str">
        <f>RTD("tx3.livefeed",,"1406_NSE@altt")</f>
        <v>31 Aug 2021, 03:58:20 PM</v>
      </c>
    </row>
    <row r="109" spans="1:7" x14ac:dyDescent="0.25">
      <c r="A109" t="s">
        <v>7</v>
      </c>
      <c r="B109" s="11" t="str">
        <f t="shared" si="1"/>
        <v>03:59:58 PM</v>
      </c>
      <c r="C109" t="str">
        <f>RTD("tx3.livefeed",,"438_NSE@Price")</f>
        <v>52.55</v>
      </c>
      <c r="D109" t="str">
        <f>RTD("tx3.livefeed",,"438_NSE@Volume")</f>
        <v>30251959</v>
      </c>
      <c r="E109">
        <v>0</v>
      </c>
      <c r="F109" s="2" t="s">
        <v>2</v>
      </c>
      <c r="G109" s="13" t="str">
        <f>RTD("tx3.livefeed",,"438_NSE@altt")</f>
        <v>31 Aug 2021, 03:59:58 PM</v>
      </c>
    </row>
    <row r="110" spans="1:7" x14ac:dyDescent="0.25">
      <c r="A110" t="s">
        <v>120</v>
      </c>
      <c r="B110" s="11" t="str">
        <f t="shared" si="1"/>
        <v>03:53:39 PM</v>
      </c>
      <c r="C110" t="str">
        <f>RTD("tx3.livefeed",,"1424_NSE@Price")</f>
        <v>321.75</v>
      </c>
      <c r="D110" t="str">
        <f>RTD("tx3.livefeed",,"1424_NSE@Volume")</f>
        <v>845627</v>
      </c>
      <c r="E110">
        <v>0</v>
      </c>
      <c r="F110" s="2" t="s">
        <v>2</v>
      </c>
      <c r="G110" s="13" t="str">
        <f>RTD("tx3.livefeed",,"1424_NSE@altt")</f>
        <v>31 Aug 2021, 03:53:39 PM</v>
      </c>
    </row>
    <row r="111" spans="1:7" x14ac:dyDescent="0.25">
      <c r="A111" t="s">
        <v>121</v>
      </c>
      <c r="B111" s="11" t="str">
        <f t="shared" si="1"/>
        <v>03:58:51 PM</v>
      </c>
      <c r="C111" t="str">
        <f>RTD("tx3.livefeed",,"3411_NSE@Price")</f>
        <v>4770.95</v>
      </c>
      <c r="D111" t="str">
        <f>RTD("tx3.livefeed",,"3411_NSE@Volume")</f>
        <v>137157</v>
      </c>
      <c r="E111">
        <v>0</v>
      </c>
      <c r="F111" s="2" t="s">
        <v>2</v>
      </c>
      <c r="G111" s="13" t="str">
        <f>RTD("tx3.livefeed",,"3411_NSE@altt")</f>
        <v>31 Aug 2021, 03:58:51 PM</v>
      </c>
    </row>
    <row r="112" spans="1:7" x14ac:dyDescent="0.25">
      <c r="A112" t="s">
        <v>122</v>
      </c>
      <c r="B112" s="11" t="str">
        <f t="shared" si="1"/>
        <v>03:59:05 PM</v>
      </c>
      <c r="C112" t="str">
        <f>RTD("tx3.livefeed",,"7_NSE@Price")</f>
        <v>938.10</v>
      </c>
      <c r="D112" t="str">
        <f>RTD("tx3.livefeed",,"7_NSE@Volume")</f>
        <v>524749</v>
      </c>
      <c r="E112">
        <v>0</v>
      </c>
      <c r="F112" s="2" t="s">
        <v>2</v>
      </c>
      <c r="G112" s="13" t="str">
        <f>RTD("tx3.livefeed",,"7_NSE@altt")</f>
        <v>31 Aug 2021, 03:59:05 PM</v>
      </c>
    </row>
    <row r="113" spans="1:7" x14ac:dyDescent="0.25">
      <c r="A113" t="s">
        <v>123</v>
      </c>
      <c r="B113" s="11" t="str">
        <f t="shared" si="1"/>
        <v>03:59:34 PM</v>
      </c>
      <c r="C113" t="str">
        <f>RTD("tx3.livefeed",,"24184_NSE@Price")</f>
        <v>3394.00</v>
      </c>
      <c r="D113" t="str">
        <f>RTD("tx3.livefeed",,"24184_NSE@Volume")</f>
        <v>549536</v>
      </c>
      <c r="E113">
        <v>0</v>
      </c>
      <c r="F113" s="2" t="s">
        <v>2</v>
      </c>
      <c r="G113" s="13" t="str">
        <f>RTD("tx3.livefeed",,"24184_NSE@altt")</f>
        <v>31 Aug 2021, 03:59:34 PM</v>
      </c>
    </row>
    <row r="114" spans="1:7" x14ac:dyDescent="0.25">
      <c r="A114" t="s">
        <v>124</v>
      </c>
      <c r="B114" s="11" t="str">
        <f t="shared" si="1"/>
        <v>03:59:58 PM</v>
      </c>
      <c r="C114" t="str">
        <f>RTD("tx3.livefeed",,"9685_NSE@Price")</f>
        <v>20.65</v>
      </c>
      <c r="D114" t="str">
        <f>RTD("tx3.livefeed",,"9685_NSE@Volume")</f>
        <v>18666411</v>
      </c>
      <c r="E114">
        <v>0</v>
      </c>
      <c r="F114" s="2" t="s">
        <v>2</v>
      </c>
      <c r="G114" s="13" t="str">
        <f>RTD("tx3.livefeed",,"9685_NSE@altt")</f>
        <v>31 Aug 2021, 03:59:58 PM</v>
      </c>
    </row>
    <row r="115" spans="1:7" x14ac:dyDescent="0.25">
      <c r="A115" t="s">
        <v>125</v>
      </c>
      <c r="B115" s="11" t="str">
        <f t="shared" si="1"/>
        <v>03:57:28 PM</v>
      </c>
      <c r="C115" t="str">
        <f>RTD("tx3.livefeed",,"10440_NSE@Price")</f>
        <v>957.85</v>
      </c>
      <c r="D115" t="str">
        <f>RTD("tx3.livefeed",,"10440_NSE@Volume")</f>
        <v>1286167</v>
      </c>
      <c r="E115">
        <v>0</v>
      </c>
      <c r="F115" s="2" t="s">
        <v>2</v>
      </c>
      <c r="G115" s="13" t="str">
        <f>RTD("tx3.livefeed",,"10440_NSE@altt")</f>
        <v>31 Aug 2021, 03:57:28 PM</v>
      </c>
    </row>
    <row r="116" spans="1:7" x14ac:dyDescent="0.25">
      <c r="A116" t="s">
        <v>126</v>
      </c>
      <c r="B116" s="11" t="str">
        <f t="shared" si="1"/>
        <v>03:58:35 PM</v>
      </c>
      <c r="C116" t="str">
        <f>RTD("tx3.livefeed",,"3812_NSE@Price")</f>
        <v>171.65</v>
      </c>
      <c r="D116" t="str">
        <f>RTD("tx3.livefeed",,"3812_NSE@Volume")</f>
        <v>4048562</v>
      </c>
      <c r="E116">
        <v>0</v>
      </c>
      <c r="F116" s="2" t="s">
        <v>2</v>
      </c>
      <c r="G116" s="13" t="str">
        <f>RTD("tx3.livefeed",,"3812_NSE@altt")</f>
        <v>31 Aug 2021, 03:58:35 PM</v>
      </c>
    </row>
    <row r="117" spans="1:7" x14ac:dyDescent="0.25">
      <c r="A117" t="s">
        <v>127</v>
      </c>
      <c r="B117" s="11" t="str">
        <f t="shared" si="1"/>
        <v>03:58:15 PM</v>
      </c>
      <c r="C117" t="str">
        <f>RTD("tx3.livefeed",,"2664_NSE@Price")</f>
        <v>2280.35</v>
      </c>
      <c r="D117" t="str">
        <f>RTD("tx3.livefeed",,"2664_NSE@Volume")</f>
        <v>644194</v>
      </c>
      <c r="E117">
        <v>0</v>
      </c>
      <c r="F117" s="2" t="s">
        <v>2</v>
      </c>
      <c r="G117" s="13" t="str">
        <f>RTD("tx3.livefeed",,"2664_NSE@altt")</f>
        <v>31 Aug 2021, 03:58:15 PM</v>
      </c>
    </row>
    <row r="118" spans="1:7" x14ac:dyDescent="0.25">
      <c r="A118" t="s">
        <v>128</v>
      </c>
      <c r="B118" s="11" t="str">
        <f t="shared" si="1"/>
        <v>03:53:57 PM</v>
      </c>
      <c r="C118" t="str">
        <f>RTD("tx3.livefeed",,"9819_NSE@Price")</f>
        <v>1268.45</v>
      </c>
      <c r="D118" t="str">
        <f>RTD("tx3.livefeed",,"9819_NSE@Volume")</f>
        <v>4863922</v>
      </c>
      <c r="E118">
        <v>0</v>
      </c>
      <c r="F118" s="2" t="s">
        <v>2</v>
      </c>
      <c r="G118" s="13" t="str">
        <f>RTD("tx3.livefeed",,"9819_NSE@altt")</f>
        <v>31 Aug 2021, 03:53:57 PM</v>
      </c>
    </row>
    <row r="119" spans="1:7" x14ac:dyDescent="0.25">
      <c r="A119" t="s">
        <v>129</v>
      </c>
      <c r="B119" s="11" t="str">
        <f t="shared" si="1"/>
        <v>03:58:41 PM</v>
      </c>
      <c r="C119" t="str">
        <f>RTD("tx3.livefeed",,"4503_NSE@Price")</f>
        <v>2898.10</v>
      </c>
      <c r="D119" t="str">
        <f>RTD("tx3.livefeed",,"4503_NSE@Volume")</f>
        <v>991789</v>
      </c>
      <c r="E119">
        <v>0</v>
      </c>
      <c r="F119" s="2" t="s">
        <v>2</v>
      </c>
      <c r="G119" s="13" t="str">
        <f>RTD("tx3.livefeed",,"4503_NSE@altt")</f>
        <v>31 Aug 2021, 03:58:41 PM</v>
      </c>
    </row>
    <row r="120" spans="1:7" x14ac:dyDescent="0.25">
      <c r="A120" t="s">
        <v>130</v>
      </c>
      <c r="B120" s="11" t="str">
        <f t="shared" si="1"/>
        <v>03:52:21 PM</v>
      </c>
      <c r="C120" t="str">
        <f>RTD("tx3.livefeed",,"772_NSE@Price")</f>
        <v>621.50</v>
      </c>
      <c r="D120" t="str">
        <f>RTD("tx3.livefeed",,"772_NSE@Volume")</f>
        <v>3026655</v>
      </c>
      <c r="E120">
        <v>0</v>
      </c>
      <c r="F120" s="2" t="s">
        <v>2</v>
      </c>
      <c r="G120" s="13" t="str">
        <f>RTD("tx3.livefeed",,"772_NSE@altt")</f>
        <v>31 Aug 2021, 03:52:21 PM</v>
      </c>
    </row>
    <row r="121" spans="1:7" x14ac:dyDescent="0.25">
      <c r="A121" t="s">
        <v>131</v>
      </c>
      <c r="B121" s="11" t="str">
        <f t="shared" si="1"/>
        <v>03:42:24 PM</v>
      </c>
      <c r="C121" t="str">
        <f>RTD("tx3.livefeed",,"3518_NSE@Price")</f>
        <v>3105.90</v>
      </c>
      <c r="D121" t="str">
        <f>RTD("tx3.livefeed",,"3518_NSE@Volume")</f>
        <v>303454</v>
      </c>
      <c r="E121">
        <v>0</v>
      </c>
      <c r="F121" s="2" t="s">
        <v>2</v>
      </c>
      <c r="G121" s="13" t="str">
        <f>RTD("tx3.livefeed",,"3518_NSE@altt")</f>
        <v>31 Aug 2021, 03:42:24 PM</v>
      </c>
    </row>
    <row r="122" spans="1:7" x14ac:dyDescent="0.25">
      <c r="A122" t="s">
        <v>132</v>
      </c>
      <c r="B122" s="11" t="str">
        <f t="shared" si="1"/>
        <v>03:58:48 PM</v>
      </c>
      <c r="C122" t="str">
        <f>RTD("tx3.livefeed",,"1633_NSE@Price")</f>
        <v>2575.30</v>
      </c>
      <c r="D122" t="str">
        <f>RTD("tx3.livefeed",,"1633_NSE@Volume")</f>
        <v>897311</v>
      </c>
      <c r="E122">
        <v>0</v>
      </c>
      <c r="F122" s="2" t="s">
        <v>2</v>
      </c>
      <c r="G122" s="13" t="str">
        <f>RTD("tx3.livefeed",,"1633_NSE@altt")</f>
        <v>31 Aug 2021, 03:58:48 PM</v>
      </c>
    </row>
    <row r="123" spans="1:7" x14ac:dyDescent="0.25">
      <c r="A123" t="s">
        <v>133</v>
      </c>
      <c r="B123" s="11" t="str">
        <f t="shared" si="1"/>
        <v>03:58:26 PM</v>
      </c>
      <c r="C123" t="str">
        <f>RTD("tx3.livefeed",,"1023_NSE@Price")</f>
        <v>81.25</v>
      </c>
      <c r="D123" t="str">
        <f>RTD("tx3.livefeed",,"1023_NSE@Volume")</f>
        <v>13356776</v>
      </c>
      <c r="E123">
        <v>0</v>
      </c>
      <c r="F123" s="2" t="s">
        <v>2</v>
      </c>
      <c r="G123" s="13" t="str">
        <f>RTD("tx3.livefeed",,"1023_NSE@altt")</f>
        <v>31 Aug 2021, 03:58:26 PM</v>
      </c>
    </row>
    <row r="124" spans="1:7" x14ac:dyDescent="0.25">
      <c r="A124" t="s">
        <v>134</v>
      </c>
      <c r="B124" s="11" t="str">
        <f t="shared" si="1"/>
        <v>03:59:28 PM</v>
      </c>
      <c r="C124" t="str">
        <f>RTD("tx3.livefeed",,"25_NSE@Price")</f>
        <v>1587.60</v>
      </c>
      <c r="D124" t="str">
        <f>RTD("tx3.livefeed",,"25_NSE@Volume")</f>
        <v>7234384</v>
      </c>
      <c r="E124">
        <v>0</v>
      </c>
      <c r="F124" s="2" t="s">
        <v>2</v>
      </c>
      <c r="G124" s="13" t="str">
        <f>RTD("tx3.livefeed",,"25_NSE@altt")</f>
        <v>31 Aug 2021, 03:59:28 PM</v>
      </c>
    </row>
    <row r="125" spans="1:7" x14ac:dyDescent="0.25">
      <c r="A125" t="s">
        <v>135</v>
      </c>
      <c r="B125" s="11" t="str">
        <f t="shared" si="1"/>
        <v>03:57:46 PM</v>
      </c>
      <c r="C125" t="str">
        <f>RTD("tx3.livefeed",,"1997_NSE@Price")</f>
        <v>402.25</v>
      </c>
      <c r="D125" t="str">
        <f>RTD("tx3.livefeed",,"1997_NSE@Volume")</f>
        <v>5154473</v>
      </c>
      <c r="E125">
        <v>0</v>
      </c>
      <c r="F125" s="2" t="s">
        <v>2</v>
      </c>
      <c r="G125" s="13" t="str">
        <f>RTD("tx3.livefeed",,"1997_NSE@altt")</f>
        <v>31 Aug 2021, 03:57:46 PM</v>
      </c>
    </row>
    <row r="126" spans="1:7" x14ac:dyDescent="0.25">
      <c r="A126" t="s">
        <v>136</v>
      </c>
      <c r="B126" s="11" t="str">
        <f t="shared" si="1"/>
        <v>03:58:44 PM</v>
      </c>
      <c r="C126" t="str">
        <f>RTD("tx3.livefeed",,"275_NSE@Price")</f>
        <v>727.30</v>
      </c>
      <c r="D126" t="str">
        <f>RTD("tx3.livefeed",,"275_NSE@Volume")</f>
        <v>3877654</v>
      </c>
      <c r="E126">
        <v>0</v>
      </c>
      <c r="F126" s="2" t="s">
        <v>2</v>
      </c>
      <c r="G126" s="13" t="str">
        <f>RTD("tx3.livefeed",,"275_NSE@altt")</f>
        <v>31 Aug 2021, 03:58:44 PM</v>
      </c>
    </row>
    <row r="127" spans="1:7" x14ac:dyDescent="0.25">
      <c r="A127" t="s">
        <v>137</v>
      </c>
      <c r="B127" s="11" t="str">
        <f t="shared" si="1"/>
        <v>03:44:03 PM</v>
      </c>
      <c r="C127" t="str">
        <f>RTD("tx3.livefeed",,"3918_NSE@Price")</f>
        <v>945.30</v>
      </c>
      <c r="D127" t="str">
        <f>RTD("tx3.livefeed",,"3918_NSE@Volume")</f>
        <v>189887</v>
      </c>
      <c r="E127">
        <v>0</v>
      </c>
      <c r="F127" s="2" t="s">
        <v>2</v>
      </c>
      <c r="G127" s="13" t="str">
        <f>RTD("tx3.livefeed",,"3918_NSE@altt")</f>
        <v>31 Aug 2021, 03:44:03 PM</v>
      </c>
    </row>
    <row r="128" spans="1:7" x14ac:dyDescent="0.25">
      <c r="A128" t="s">
        <v>138</v>
      </c>
      <c r="B128" s="11" t="str">
        <f t="shared" si="1"/>
        <v>03:59:43 PM</v>
      </c>
      <c r="C128" t="str">
        <f>RTD("tx3.livefeed",,"17438_NSE@Price")</f>
        <v>182.00</v>
      </c>
      <c r="D128" t="str">
        <f>RTD("tx3.livefeed",,"17438_NSE@Volume")</f>
        <v>2025284</v>
      </c>
      <c r="E128">
        <v>0</v>
      </c>
      <c r="F128" s="2" t="s">
        <v>2</v>
      </c>
      <c r="G128" s="13" t="str">
        <f>RTD("tx3.livefeed",,"17438_NSE@altt")</f>
        <v>31 Aug 2021, 03:59:43 PM</v>
      </c>
    </row>
    <row r="129" spans="1:7" x14ac:dyDescent="0.25">
      <c r="A129" t="s">
        <v>139</v>
      </c>
      <c r="B129" s="11" t="str">
        <f t="shared" si="1"/>
        <v>03:59:53 PM</v>
      </c>
      <c r="C129" t="str">
        <f>RTD("tx3.livefeed",,"4668_NSE@Price")</f>
        <v>77.35</v>
      </c>
      <c r="D129" t="str">
        <f>RTD("tx3.livefeed",,"4668_NSE@Volume")</f>
        <v>26501208</v>
      </c>
      <c r="E129">
        <v>0</v>
      </c>
      <c r="F129" s="2" t="s">
        <v>2</v>
      </c>
      <c r="G129" s="13" t="str">
        <f>RTD("tx3.livefeed",,"4668_NSE@altt")</f>
        <v>31 Aug 2021, 03:59:53 PM</v>
      </c>
    </row>
    <row r="130" spans="1:7" x14ac:dyDescent="0.25">
      <c r="A130" t="s">
        <v>140</v>
      </c>
      <c r="B130" s="11" t="str">
        <f t="shared" si="1"/>
        <v>03:59:58 PM</v>
      </c>
      <c r="C130" t="str">
        <f>RTD("tx3.livefeed",,"10794_NSE@Price")</f>
        <v>159.10</v>
      </c>
      <c r="D130" t="str">
        <f>RTD("tx3.livefeed",,"10794_NSE@Volume")</f>
        <v>32668471</v>
      </c>
      <c r="E130">
        <v>0</v>
      </c>
      <c r="F130" s="2" t="s">
        <v>2</v>
      </c>
      <c r="G130" s="13" t="str">
        <f>RTD("tx3.livefeed",,"10794_NSE@altt")</f>
        <v>31 Aug 2021, 03:59:58 PM</v>
      </c>
    </row>
    <row r="131" spans="1:7" x14ac:dyDescent="0.25">
      <c r="A131" t="s">
        <v>141</v>
      </c>
      <c r="B131" s="11" t="str">
        <f t="shared" si="1"/>
        <v>03:54:53 PM</v>
      </c>
      <c r="C131" t="str">
        <f>RTD("tx3.livefeed",,"10753_NSE@Price")</f>
        <v>35.40</v>
      </c>
      <c r="D131" t="str">
        <f>RTD("tx3.livefeed",,"10753_NSE@Volume")</f>
        <v>8484467</v>
      </c>
      <c r="E131">
        <v>0</v>
      </c>
      <c r="F131" s="2" t="s">
        <v>2</v>
      </c>
      <c r="G131" s="13" t="str">
        <f>RTD("tx3.livefeed",,"10753_NSE@altt")</f>
        <v>31 Aug 2021, 03:54:53 PM</v>
      </c>
    </row>
    <row r="132" spans="1:7" x14ac:dyDescent="0.25">
      <c r="A132" t="s">
        <v>142</v>
      </c>
      <c r="B132" s="11" t="str">
        <f t="shared" si="1"/>
        <v>03:59:39 PM</v>
      </c>
      <c r="C132" t="str">
        <f>RTD("tx3.livefeed",,"4745_NSE@Price")</f>
        <v>66.35</v>
      </c>
      <c r="D132" t="str">
        <f>RTD("tx3.livefeed",,"4745_NSE@Volume")</f>
        <v>3740761</v>
      </c>
      <c r="E132">
        <v>0</v>
      </c>
      <c r="F132" s="2" t="s">
        <v>2</v>
      </c>
      <c r="G132" s="13" t="str">
        <f>RTD("tx3.livefeed",,"4745_NSE@altt")</f>
        <v>31 Aug 2021, 03:59:39 PM</v>
      </c>
    </row>
    <row r="133" spans="1:7" x14ac:dyDescent="0.25">
      <c r="A133" t="s">
        <v>143</v>
      </c>
      <c r="B133" s="11" t="str">
        <f t="shared" si="1"/>
        <v>03:56:50 PM</v>
      </c>
      <c r="C133" t="str">
        <f>RTD("tx3.livefeed",,"11860_NSE@Price")</f>
        <v>244.45</v>
      </c>
      <c r="D133" t="str">
        <f>RTD("tx3.livefeed",,"11860_NSE@Volume")</f>
        <v>994527</v>
      </c>
      <c r="E133">
        <v>0</v>
      </c>
      <c r="F133" s="2" t="s">
        <v>2</v>
      </c>
      <c r="G133" s="13" t="str">
        <f>RTD("tx3.livefeed",,"11860_NSE@altt")</f>
        <v>31 Aug 2021, 03:56:50 PM</v>
      </c>
    </row>
    <row r="134" spans="1:7" x14ac:dyDescent="0.25">
      <c r="A134" t="s">
        <v>144</v>
      </c>
      <c r="B134" s="11" t="str">
        <f t="shared" si="1"/>
        <v>03:59:42 PM</v>
      </c>
      <c r="C134" t="str">
        <f>RTD("tx3.livefeed",,"18391_NSE@Price")</f>
        <v>165.50</v>
      </c>
      <c r="D134" t="str">
        <f>RTD("tx3.livefeed",,"18391_NSE@Volume")</f>
        <v>7227276</v>
      </c>
      <c r="E134">
        <v>0</v>
      </c>
      <c r="F134" s="2" t="s">
        <v>2</v>
      </c>
      <c r="G134" s="13" t="str">
        <f>RTD("tx3.livefeed",,"18391_NSE@altt")</f>
        <v>31 Aug 2021, 03:59:42 PM</v>
      </c>
    </row>
    <row r="135" spans="1:7" x14ac:dyDescent="0.25">
      <c r="A135" t="s">
        <v>145</v>
      </c>
      <c r="B135" s="11" t="str">
        <f t="shared" si="1"/>
        <v>03:58:42 PM</v>
      </c>
      <c r="C135" t="str">
        <f>RTD("tx3.livefeed",,"19061_NSE@Price")</f>
        <v>160.40</v>
      </c>
      <c r="D135" t="str">
        <f>RTD("tx3.livefeed",,"19061_NSE@Volume")</f>
        <v>5465973</v>
      </c>
      <c r="E135">
        <v>0</v>
      </c>
      <c r="F135" s="2" t="s">
        <v>2</v>
      </c>
      <c r="G135" s="13" t="str">
        <f>RTD("tx3.livefeed",,"19061_NSE@altt")</f>
        <v>31 Aug 2021, 03:58:42 PM</v>
      </c>
    </row>
    <row r="136" spans="1:7" x14ac:dyDescent="0.25">
      <c r="A136" t="s">
        <v>146</v>
      </c>
      <c r="B136" s="11" t="str">
        <f t="shared" si="1"/>
        <v>03:55:15 PM</v>
      </c>
      <c r="C136" t="str">
        <f>RTD("tx3.livefeed",,"13517_NSE@Price")</f>
        <v>597.20</v>
      </c>
      <c r="D136" t="str">
        <f>RTD("tx3.livefeed",,"13517_NSE@Volume")</f>
        <v>763439</v>
      </c>
      <c r="E136">
        <v>0</v>
      </c>
      <c r="F136" s="2" t="s">
        <v>2</v>
      </c>
      <c r="G136" s="13" t="str">
        <f>RTD("tx3.livefeed",,"13517_NSE@altt")</f>
        <v>31 Aug 2021, 03:55:15 PM</v>
      </c>
    </row>
    <row r="137" spans="1:7" x14ac:dyDescent="0.25">
      <c r="A137" t="s">
        <v>147</v>
      </c>
      <c r="B137" s="11" t="str">
        <f t="shared" si="1"/>
        <v>03:57:39 PM</v>
      </c>
      <c r="C137" t="str">
        <f>RTD("tx3.livefeed",,"14732_NSE@Price")</f>
        <v>320.55</v>
      </c>
      <c r="D137" t="str">
        <f>RTD("tx3.livefeed",,"14732_NSE@Volume")</f>
        <v>9726975</v>
      </c>
      <c r="E137">
        <v>0</v>
      </c>
      <c r="F137" s="2" t="s">
        <v>2</v>
      </c>
      <c r="G137" s="13" t="str">
        <f>RTD("tx3.livefeed",,"14732_NSE@altt")</f>
        <v>31 Aug 2021, 03:57:39 PM</v>
      </c>
    </row>
    <row r="138" spans="1:7" x14ac:dyDescent="0.25">
      <c r="A138" t="s">
        <v>148</v>
      </c>
      <c r="B138" s="11" t="str">
        <f t="shared" ref="B138:B201" si="2">RIGHT(G138,11)</f>
        <v>03:54:15 PM</v>
      </c>
      <c r="C138" t="str">
        <f>RTD("tx3.livefeed",,"5701_NSE@Price")</f>
        <v>151.75</v>
      </c>
      <c r="D138" t="str">
        <f>RTD("tx3.livefeed",,"5701_NSE@Volume")</f>
        <v>1832677</v>
      </c>
      <c r="E138">
        <v>0</v>
      </c>
      <c r="F138" s="2" t="s">
        <v>2</v>
      </c>
      <c r="G138" s="13" t="str">
        <f>RTD("tx3.livefeed",,"5701_NSE@altt")</f>
        <v>31 Aug 2021, 03:54:15 PM</v>
      </c>
    </row>
    <row r="139" spans="1:7" x14ac:dyDescent="0.25">
      <c r="A139" t="s">
        <v>27</v>
      </c>
      <c r="B139" s="11" t="str">
        <f t="shared" si="2"/>
        <v>03:59:48 PM</v>
      </c>
      <c r="C139" t="str">
        <f>RTD("tx3.livefeed",,"10666_NSE@Price")</f>
        <v>36.65</v>
      </c>
      <c r="D139" t="str">
        <f>RTD("tx3.livefeed",,"10666_NSE@Volume")</f>
        <v>56641931</v>
      </c>
      <c r="E139">
        <v>0</v>
      </c>
      <c r="F139" s="2" t="s">
        <v>2</v>
      </c>
      <c r="G139" s="13" t="str">
        <f>RTD("tx3.livefeed",,"10666_NSE@altt")</f>
        <v>31 Aug 2021, 03:59:48 PM</v>
      </c>
    </row>
    <row r="140" spans="1:7" x14ac:dyDescent="0.25">
      <c r="A140" t="s">
        <v>149</v>
      </c>
      <c r="B140" s="11" t="str">
        <f t="shared" si="2"/>
        <v>03:53:00 PM</v>
      </c>
      <c r="C140" t="str">
        <f>RTD("tx3.livefeed",,"8479_NSE@Price")</f>
        <v>525.15</v>
      </c>
      <c r="D140" t="str">
        <f>RTD("tx3.livefeed",,"8479_NSE@Volume")</f>
        <v>4309112</v>
      </c>
      <c r="E140">
        <v>0</v>
      </c>
      <c r="F140" s="2" t="s">
        <v>2</v>
      </c>
      <c r="G140" s="13" t="str">
        <f>RTD("tx3.livefeed",,"8479_NSE@altt")</f>
        <v>31 Aug 2021, 03:53:00 PM</v>
      </c>
    </row>
    <row r="141" spans="1:7" x14ac:dyDescent="0.25">
      <c r="A141" t="s">
        <v>150</v>
      </c>
      <c r="B141" s="11" t="str">
        <f t="shared" si="2"/>
        <v>03:57:44 PM</v>
      </c>
      <c r="C141" t="str">
        <f>RTD("tx3.livefeed",,"10447_NSE@Price")</f>
        <v>715.15</v>
      </c>
      <c r="D141" t="str">
        <f>RTD("tx3.livefeed",,"10447_NSE@Volume")</f>
        <v>2952559</v>
      </c>
      <c r="E141">
        <v>0</v>
      </c>
      <c r="F141" s="2" t="s">
        <v>2</v>
      </c>
      <c r="G141" s="13" t="str">
        <f>RTD("tx3.livefeed",,"10447_NSE@altt")</f>
        <v>31 Aug 2021, 03:57:44 PM</v>
      </c>
    </row>
    <row r="142" spans="1:7" x14ac:dyDescent="0.25">
      <c r="A142" t="s">
        <v>151</v>
      </c>
      <c r="B142" s="11" t="str">
        <f t="shared" si="2"/>
        <v>03:58:24 PM</v>
      </c>
      <c r="C142" t="str">
        <f>RTD("tx3.livefeed",,"2303_NSE@Price")</f>
        <v>1375.80</v>
      </c>
      <c r="D142" t="str">
        <f>RTD("tx3.livefeed",,"2303_NSE@Volume")</f>
        <v>1253854</v>
      </c>
      <c r="E142">
        <v>0</v>
      </c>
      <c r="F142" s="2" t="s">
        <v>2</v>
      </c>
      <c r="G142" s="13" t="str">
        <f>RTD("tx3.livefeed",,"2303_NSE@altt")</f>
        <v>31 Aug 2021, 03:58:24 PM</v>
      </c>
    </row>
    <row r="143" spans="1:7" x14ac:dyDescent="0.25">
      <c r="A143" t="s">
        <v>152</v>
      </c>
      <c r="B143" s="11" t="str">
        <f t="shared" si="2"/>
        <v>03:57:43 PM</v>
      </c>
      <c r="C143" t="str">
        <f>RTD("tx3.livefeed",,"15332_NSE@Price")</f>
        <v>154.05</v>
      </c>
      <c r="D143" t="str">
        <f>RTD("tx3.livefeed",,"15332_NSE@Volume")</f>
        <v>12714721</v>
      </c>
      <c r="E143">
        <v>0</v>
      </c>
      <c r="F143" s="2" t="s">
        <v>2</v>
      </c>
      <c r="G143" s="13" t="str">
        <f>RTD("tx3.livefeed",,"15332_NSE@altt")</f>
        <v>31 Aug 2021, 03:57:43 PM</v>
      </c>
    </row>
    <row r="144" spans="1:7" x14ac:dyDescent="0.25">
      <c r="A144" t="s">
        <v>153</v>
      </c>
      <c r="B144" s="11" t="str">
        <f t="shared" si="2"/>
        <v>03:55:54 PM</v>
      </c>
      <c r="C144" t="str">
        <f>RTD("tx3.livefeed",,"14299_NSE@Price")</f>
        <v>129.05</v>
      </c>
      <c r="D144" t="str">
        <f>RTD("tx3.livefeed",,"14299_NSE@Volume")</f>
        <v>4697193</v>
      </c>
      <c r="E144">
        <v>0</v>
      </c>
      <c r="F144" s="2" t="s">
        <v>2</v>
      </c>
      <c r="G144" s="13" t="str">
        <f>RTD("tx3.livefeed",,"14299_NSE@altt")</f>
        <v>31 Aug 2021, 03:55:54 PM</v>
      </c>
    </row>
    <row r="145" spans="1:7" x14ac:dyDescent="0.25">
      <c r="A145" t="s">
        <v>11</v>
      </c>
      <c r="B145" s="11" t="str">
        <f t="shared" si="2"/>
        <v>03:58:31 PM</v>
      </c>
      <c r="C145" t="str">
        <f>RTD("tx3.livefeed",,"4717_NSE@Price")</f>
        <v>146.15</v>
      </c>
      <c r="D145" t="str">
        <f>RTD("tx3.livefeed",,"4717_NSE@Volume")</f>
        <v>14009836</v>
      </c>
      <c r="E145">
        <v>0</v>
      </c>
      <c r="F145" s="2" t="s">
        <v>2</v>
      </c>
      <c r="G145" s="13" t="str">
        <f>RTD("tx3.livefeed",,"4717_NSE@altt")</f>
        <v>31 Aug 2021, 03:58:31 PM</v>
      </c>
    </row>
    <row r="146" spans="1:7" x14ac:dyDescent="0.25">
      <c r="A146" t="s">
        <v>154</v>
      </c>
      <c r="B146" s="11" t="str">
        <f t="shared" si="2"/>
        <v>03:59:15 PM</v>
      </c>
      <c r="C146" t="str">
        <f>RTD("tx3.livefeed",,"2489_NSE@Price")</f>
        <v>721.60</v>
      </c>
      <c r="D146" t="str">
        <f>RTD("tx3.livefeed",,"2489_NSE@Volume")</f>
        <v>259360</v>
      </c>
      <c r="E146">
        <v>0</v>
      </c>
      <c r="F146" s="2" t="s">
        <v>2</v>
      </c>
      <c r="G146" s="13" t="str">
        <f>RTD("tx3.livefeed",,"2489_NSE@altt")</f>
        <v>31 Aug 2021, 03:59:15 PM</v>
      </c>
    </row>
    <row r="147" spans="1:7" x14ac:dyDescent="0.25">
      <c r="A147" t="s">
        <v>155</v>
      </c>
      <c r="B147" s="11" t="str">
        <f t="shared" si="2"/>
        <v>03:29:52 PM</v>
      </c>
      <c r="C147" t="str">
        <f>RTD("tx3.livefeed",,"14413_NSE@Price")</f>
        <v>31499.10</v>
      </c>
      <c r="D147" t="str">
        <f>RTD("tx3.livefeed",,"14413_NSE@Volume")</f>
        <v>23477</v>
      </c>
      <c r="E147">
        <v>0</v>
      </c>
      <c r="F147" s="2" t="s">
        <v>2</v>
      </c>
      <c r="G147" s="13" t="str">
        <f>RTD("tx3.livefeed",,"14413_NSE@altt")</f>
        <v>31 Aug 2021, 03:29:52 PM</v>
      </c>
    </row>
    <row r="148" spans="1:7" x14ac:dyDescent="0.25">
      <c r="A148" t="s">
        <v>156</v>
      </c>
      <c r="B148" s="11" t="str">
        <f t="shared" si="2"/>
        <v>03:52:16 PM</v>
      </c>
      <c r="C148" t="str">
        <f>RTD("tx3.livefeed",,"4067_NSE@Price")</f>
        <v>544.45</v>
      </c>
      <c r="D148" t="str">
        <f>RTD("tx3.livefeed",,"4067_NSE@Volume")</f>
        <v>5014916</v>
      </c>
      <c r="E148">
        <v>0</v>
      </c>
      <c r="F148" s="2" t="s">
        <v>2</v>
      </c>
      <c r="G148" s="13" t="str">
        <f>RTD("tx3.livefeed",,"4067_NSE@altt")</f>
        <v>31 Aug 2021, 03:52:16 PM</v>
      </c>
    </row>
    <row r="149" spans="1:7" x14ac:dyDescent="0.25">
      <c r="A149" t="s">
        <v>157</v>
      </c>
      <c r="B149" s="11" t="str">
        <f t="shared" si="2"/>
        <v>03:50:59 PM</v>
      </c>
      <c r="C149" t="str">
        <f>RTD("tx3.livefeed",,"4749_NSE@Price")</f>
        <v>679.55</v>
      </c>
      <c r="D149" t="str">
        <f>RTD("tx3.livefeed",,"4749_NSE@Volume")</f>
        <v>2201566</v>
      </c>
      <c r="E149">
        <v>0</v>
      </c>
      <c r="F149" s="2" t="s">
        <v>2</v>
      </c>
      <c r="G149" s="13" t="str">
        <f>RTD("tx3.livefeed",,"4749_NSE@altt")</f>
        <v>31 Aug 2021, 03:50:59 PM</v>
      </c>
    </row>
    <row r="150" spans="1:7" x14ac:dyDescent="0.25">
      <c r="A150" t="s">
        <v>158</v>
      </c>
      <c r="B150" s="11" t="str">
        <f t="shared" si="2"/>
        <v>03:51:16 PM</v>
      </c>
      <c r="C150" t="str">
        <f>RTD("tx3.livefeed",,"357_NSE@Price")</f>
        <v>424.10</v>
      </c>
      <c r="D150" t="str">
        <f>RTD("tx3.livefeed",,"357_NSE@Volume")</f>
        <v>1367796</v>
      </c>
      <c r="E150">
        <v>0</v>
      </c>
      <c r="F150" s="2" t="s">
        <v>2</v>
      </c>
      <c r="G150" s="13" t="str">
        <f>RTD("tx3.livefeed",,"357_NSE@altt")</f>
        <v>31 Aug 2021, 03:51:16 PM</v>
      </c>
    </row>
    <row r="151" spans="1:7" x14ac:dyDescent="0.25">
      <c r="A151" t="s">
        <v>159</v>
      </c>
      <c r="B151" s="11" t="str">
        <f t="shared" si="2"/>
        <v>03:55:22 PM</v>
      </c>
      <c r="C151" t="str">
        <f>RTD("tx3.livefeed",,"20302_NSE@Price")</f>
        <v>352.65</v>
      </c>
      <c r="D151" t="str">
        <f>RTD("tx3.livefeed",,"20302_NSE@Volume")</f>
        <v>861054</v>
      </c>
      <c r="E151">
        <v>0</v>
      </c>
      <c r="F151" s="2" t="s">
        <v>2</v>
      </c>
      <c r="G151" s="13" t="str">
        <f>RTD("tx3.livefeed",,"20302_NSE@altt")</f>
        <v>31 Aug 2021, 03:55:22 PM</v>
      </c>
    </row>
    <row r="152" spans="1:7" x14ac:dyDescent="0.25">
      <c r="A152" t="s">
        <v>160</v>
      </c>
      <c r="B152" s="11" t="str">
        <f t="shared" si="2"/>
        <v>03:50:28 PM</v>
      </c>
      <c r="C152" t="str">
        <f>RTD("tx3.livefeed",,"17534_NSE@Price")</f>
        <v>1146.65</v>
      </c>
      <c r="D152" t="str">
        <f>RTD("tx3.livefeed",,"17534_NSE@Volume")</f>
        <v>244169</v>
      </c>
      <c r="E152">
        <v>0</v>
      </c>
      <c r="F152" s="2" t="s">
        <v>2</v>
      </c>
      <c r="G152" s="13" t="str">
        <f>RTD("tx3.livefeed",,"17534_NSE@altt")</f>
        <v>31 Aug 2021, 03:50:28 PM</v>
      </c>
    </row>
    <row r="153" spans="1:7" x14ac:dyDescent="0.25">
      <c r="A153" t="s">
        <v>161</v>
      </c>
      <c r="B153" s="11" t="str">
        <f t="shared" si="2"/>
        <v>03:43:27 PM</v>
      </c>
      <c r="C153" t="str">
        <f>RTD("tx3.livefeed",,"8124_NSE@Price")</f>
        <v>2227.80</v>
      </c>
      <c r="D153" t="str">
        <f>RTD("tx3.livefeed",,"8124_NSE@Volume")</f>
        <v>106173</v>
      </c>
      <c r="E153">
        <v>0</v>
      </c>
      <c r="F153" s="2" t="s">
        <v>2</v>
      </c>
      <c r="G153" s="13" t="str">
        <f>RTD("tx3.livefeed",,"8124_NSE@altt")</f>
        <v>31 Aug 2021, 03:43:27 PM</v>
      </c>
    </row>
    <row r="154" spans="1:7" x14ac:dyDescent="0.25">
      <c r="A154" t="s">
        <v>162</v>
      </c>
      <c r="B154" s="11" t="str">
        <f t="shared" si="2"/>
        <v>03:56:08 PM</v>
      </c>
      <c r="C154" t="str">
        <f>RTD("tx3.livefeed",,"1186_NSE@Price")</f>
        <v>3893.90</v>
      </c>
      <c r="D154" t="str">
        <f>RTD("tx3.livefeed",,"1186_NSE@Volume")</f>
        <v>88600</v>
      </c>
      <c r="E154">
        <v>0</v>
      </c>
      <c r="F154" s="2" t="s">
        <v>2</v>
      </c>
      <c r="G154" s="13" t="str">
        <f>RTD("tx3.livefeed",,"1186_NSE@altt")</f>
        <v>31 Aug 2021, 03:56:08 PM</v>
      </c>
    </row>
    <row r="155" spans="1:7" x14ac:dyDescent="0.25">
      <c r="A155" t="s">
        <v>163</v>
      </c>
      <c r="B155" s="11" t="str">
        <f t="shared" si="2"/>
        <v>03:52:34 PM</v>
      </c>
      <c r="C155" t="str">
        <f>RTD("tx3.livefeed",,"18096_NSE@Price")</f>
        <v>3995.00</v>
      </c>
      <c r="D155" t="str">
        <f>RTD("tx3.livefeed",,"18096_NSE@Volume")</f>
        <v>722322</v>
      </c>
      <c r="E155">
        <v>0</v>
      </c>
      <c r="F155" s="2" t="s">
        <v>2</v>
      </c>
      <c r="G155" s="13" t="str">
        <f>RTD("tx3.livefeed",,"18096_NSE@altt")</f>
        <v>31 Aug 2021, 03:52:34 PM</v>
      </c>
    </row>
    <row r="156" spans="1:7" x14ac:dyDescent="0.25">
      <c r="A156" t="s">
        <v>164</v>
      </c>
      <c r="B156" s="11" t="str">
        <f t="shared" si="2"/>
        <v>03:59:21 PM</v>
      </c>
      <c r="C156" t="str">
        <f>RTD("tx3.livefeed",,"11373_NSE@Price")</f>
        <v>358.85</v>
      </c>
      <c r="D156" t="str">
        <f>RTD("tx3.livefeed",,"11373_NSE@Volume")</f>
        <v>2105520</v>
      </c>
      <c r="E156">
        <v>0</v>
      </c>
      <c r="F156" s="2" t="s">
        <v>2</v>
      </c>
      <c r="G156" s="13" t="str">
        <f>RTD("tx3.livefeed",,"11373_NSE@altt")</f>
        <v>31 Aug 2021, 03:59:21 PM</v>
      </c>
    </row>
    <row r="157" spans="1:7" x14ac:dyDescent="0.25">
      <c r="A157" t="s">
        <v>165</v>
      </c>
      <c r="B157" s="11" t="str">
        <f t="shared" si="2"/>
        <v>03:58:00 PM</v>
      </c>
      <c r="C157" t="str">
        <f>RTD("tx3.livefeed",,"13404_NSE@Price")</f>
        <v>482.55</v>
      </c>
      <c r="D157" t="str">
        <f>RTD("tx3.livefeed",,"13404_NSE@Volume")</f>
        <v>1134382</v>
      </c>
      <c r="E157">
        <v>0</v>
      </c>
      <c r="F157" s="2" t="s">
        <v>2</v>
      </c>
      <c r="G157" s="13" t="str">
        <f>RTD("tx3.livefeed",,"13404_NSE@altt")</f>
        <v>31 Aug 2021, 03:58:00 PM</v>
      </c>
    </row>
    <row r="158" spans="1:7" x14ac:dyDescent="0.25">
      <c r="A158" t="s">
        <v>166</v>
      </c>
      <c r="B158" s="11" t="str">
        <f t="shared" si="2"/>
        <v>03:56:55 PM</v>
      </c>
      <c r="C158" t="str">
        <f>RTD("tx3.livefeed",,"17875_NSE@Price")</f>
        <v>1489.00</v>
      </c>
      <c r="D158" t="str">
        <f>RTD("tx3.livefeed",,"17875_NSE@Volume")</f>
        <v>554834</v>
      </c>
      <c r="E158">
        <v>0</v>
      </c>
      <c r="F158" s="2" t="s">
        <v>2</v>
      </c>
      <c r="G158" s="13" t="str">
        <f>RTD("tx3.livefeed",,"17875_NSE@altt")</f>
        <v>31 Aug 2021, 03:56:55 PM</v>
      </c>
    </row>
    <row r="159" spans="1:7" x14ac:dyDescent="0.25">
      <c r="A159" t="s">
        <v>167</v>
      </c>
      <c r="B159" s="11" t="str">
        <f t="shared" si="2"/>
        <v>03:49:55 PM</v>
      </c>
      <c r="C159" t="str">
        <f>RTD("tx3.livefeed",,"144_NSE@Price")</f>
        <v>632.00</v>
      </c>
      <c r="D159" t="str">
        <f>RTD("tx3.livefeed",,"144_NSE@Volume")</f>
        <v>115072</v>
      </c>
      <c r="E159">
        <v>0</v>
      </c>
      <c r="F159" s="2" t="s">
        <v>2</v>
      </c>
      <c r="G159" s="13" t="str">
        <f>RTD("tx3.livefeed",,"144_NSE@altt")</f>
        <v>31 Aug 2021, 03:49:55 PM</v>
      </c>
    </row>
    <row r="160" spans="1:7" x14ac:dyDescent="0.25">
      <c r="A160" t="s">
        <v>168</v>
      </c>
      <c r="B160" s="11" t="str">
        <f t="shared" si="2"/>
        <v>03:53:30 PM</v>
      </c>
      <c r="C160" t="str">
        <f>RTD("tx3.livefeed",,"13285_NSE@Price")</f>
        <v>160.15</v>
      </c>
      <c r="D160" t="str">
        <f>RTD("tx3.livefeed",,"13285_NSE@Volume")</f>
        <v>8068293</v>
      </c>
      <c r="E160">
        <v>0</v>
      </c>
      <c r="F160" s="2" t="s">
        <v>2</v>
      </c>
      <c r="G160" s="13" t="str">
        <f>RTD("tx3.livefeed",,"13285_NSE@altt")</f>
        <v>31 Aug 2021, 03:53:30 PM</v>
      </c>
    </row>
    <row r="161" spans="1:7" x14ac:dyDescent="0.25">
      <c r="A161" t="s">
        <v>169</v>
      </c>
      <c r="B161" s="11" t="str">
        <f t="shared" si="2"/>
        <v>03:58:55 PM</v>
      </c>
      <c r="C161" t="str">
        <f>RTD("tx3.livefeed",,"15355_NSE@Price")</f>
        <v>151.70</v>
      </c>
      <c r="D161" t="str">
        <f>RTD("tx3.livefeed",,"15355_NSE@Volume")</f>
        <v>4378579</v>
      </c>
      <c r="E161">
        <v>0</v>
      </c>
      <c r="F161" s="2" t="s">
        <v>2</v>
      </c>
      <c r="G161" s="13" t="str">
        <f>RTD("tx3.livefeed",,"15355_NSE@altt")</f>
        <v>31 Aug 2021, 03:58:55 PM</v>
      </c>
    </row>
    <row r="162" spans="1:7" x14ac:dyDescent="0.25">
      <c r="A162" t="s">
        <v>170</v>
      </c>
      <c r="B162" s="11" t="str">
        <f t="shared" si="2"/>
        <v>03:43:18 PM</v>
      </c>
      <c r="C162" t="str">
        <f>RTD("tx3.livefeed",,"17818_NSE@Price")</f>
        <v>5312.45</v>
      </c>
      <c r="D162" t="str">
        <f>RTD("tx3.livefeed",,"17818_NSE@Volume")</f>
        <v>282387</v>
      </c>
      <c r="E162">
        <v>0</v>
      </c>
      <c r="F162" s="2" t="s">
        <v>2</v>
      </c>
      <c r="G162" s="13" t="str">
        <f>RTD("tx3.livefeed",,"17818_NSE@altt")</f>
        <v>31 Aug 2021, 03:43:18 PM</v>
      </c>
    </row>
    <row r="163" spans="1:7" x14ac:dyDescent="0.25">
      <c r="A163" t="s">
        <v>171</v>
      </c>
      <c r="B163" s="11" t="str">
        <f t="shared" si="2"/>
        <v>03:42:09 PM</v>
      </c>
      <c r="C163" t="str">
        <f>RTD("tx3.livefeed",,"13786_NSE@Price")</f>
        <v>481.50</v>
      </c>
      <c r="D163" t="str">
        <f>RTD("tx3.livefeed",,"13786_NSE@Volume")</f>
        <v>934369</v>
      </c>
      <c r="E163">
        <v>0</v>
      </c>
      <c r="F163" s="2" t="s">
        <v>2</v>
      </c>
      <c r="G163" s="13" t="str">
        <f>RTD("tx3.livefeed",,"13786_NSE@altt")</f>
        <v>31 Aug 2021, 03:42:09 PM</v>
      </c>
    </row>
    <row r="164" spans="1:7" x14ac:dyDescent="0.25">
      <c r="A164" t="s">
        <v>172</v>
      </c>
      <c r="B164" s="11" t="str">
        <f t="shared" si="2"/>
        <v>03:54:00 PM</v>
      </c>
      <c r="C164" t="str">
        <f>RTD("tx3.livefeed",,"13751_NSE@Price")</f>
        <v>6182.35</v>
      </c>
      <c r="D164" t="str">
        <f>RTD("tx3.livefeed",,"13751_NSE@Volume")</f>
        <v>606196</v>
      </c>
      <c r="E164">
        <v>0</v>
      </c>
      <c r="F164" s="2" t="s">
        <v>2</v>
      </c>
      <c r="G164" s="13" t="str">
        <f>RTD("tx3.livefeed",,"13751_NSE@altt")</f>
        <v>31 Aug 2021, 03:54:00 PM</v>
      </c>
    </row>
    <row r="165" spans="1:7" x14ac:dyDescent="0.25">
      <c r="A165" t="s">
        <v>173</v>
      </c>
      <c r="B165" s="11" t="str">
        <f t="shared" si="2"/>
        <v>03:53:02 PM</v>
      </c>
      <c r="C165" t="str">
        <f>RTD("tx3.livefeed",,"11703_NSE@Price")</f>
        <v>3878.60</v>
      </c>
      <c r="D165" t="str">
        <f>RTD("tx3.livefeed",,"11703_NSE@Volume")</f>
        <v>90295</v>
      </c>
      <c r="E165">
        <v>0</v>
      </c>
      <c r="F165" s="2" t="s">
        <v>2</v>
      </c>
      <c r="G165" s="13" t="str">
        <f>RTD("tx3.livefeed",,"11703_NSE@altt")</f>
        <v>31 Aug 2021, 03:53:02 PM</v>
      </c>
    </row>
    <row r="166" spans="1:7" x14ac:dyDescent="0.25">
      <c r="A166" t="s">
        <v>174</v>
      </c>
      <c r="B166" s="11" t="str">
        <f t="shared" si="2"/>
        <v>03:58:36 PM</v>
      </c>
      <c r="C166" t="str">
        <f>RTD("tx3.livefeed",,"15362_NSE@Price")</f>
        <v>243.45</v>
      </c>
      <c r="D166" t="str">
        <f>RTD("tx3.livefeed",,"15362_NSE@Volume")</f>
        <v>844062</v>
      </c>
      <c r="E166">
        <v>0</v>
      </c>
      <c r="F166" s="2" t="s">
        <v>2</v>
      </c>
      <c r="G166" s="13" t="str">
        <f>RTD("tx3.livefeed",,"15362_NSE@altt")</f>
        <v>31 Aug 2021, 03:58:36 PM</v>
      </c>
    </row>
    <row r="167" spans="1:7" x14ac:dyDescent="0.25">
      <c r="A167" t="s">
        <v>175</v>
      </c>
      <c r="B167" s="11" t="str">
        <f t="shared" si="2"/>
        <v>03:51:47 PM</v>
      </c>
      <c r="C167" t="str">
        <f>RTD("tx3.livefeed",,"11351_NSE@Price")</f>
        <v>227.60</v>
      </c>
      <c r="D167" t="str">
        <f>RTD("tx3.livefeed",,"11351_NSE@Volume")</f>
        <v>7168834</v>
      </c>
      <c r="E167">
        <v>0</v>
      </c>
      <c r="F167" s="2" t="s">
        <v>2</v>
      </c>
      <c r="G167" s="13" t="str">
        <f>RTD("tx3.livefeed",,"11351_NSE@altt")</f>
        <v>31 Aug 2021, 03:51:47 PM</v>
      </c>
    </row>
    <row r="168" spans="1:7" x14ac:dyDescent="0.25">
      <c r="A168" t="s">
        <v>176</v>
      </c>
      <c r="B168" s="11" t="str">
        <f t="shared" si="2"/>
        <v>03:59:40 PM</v>
      </c>
      <c r="C168" t="str">
        <f>RTD("tx3.livefeed",,"17971_NSE@Price")</f>
        <v>1140.55</v>
      </c>
      <c r="D168" t="str">
        <f>RTD("tx3.livefeed",,"17971_NSE@Volume")</f>
        <v>3348741</v>
      </c>
      <c r="E168">
        <v>0</v>
      </c>
      <c r="F168" s="2" t="s">
        <v>2</v>
      </c>
      <c r="G168" s="13" t="str">
        <f>RTD("tx3.livefeed",,"17971_NSE@altt")</f>
        <v>31 Aug 2021, 03:59:40 PM</v>
      </c>
    </row>
    <row r="169" spans="1:7" x14ac:dyDescent="0.25">
      <c r="A169" t="s">
        <v>21</v>
      </c>
      <c r="B169" s="11" t="str">
        <f t="shared" si="2"/>
        <v>03:57:47 PM</v>
      </c>
      <c r="C169" t="str">
        <f>RTD("tx3.livefeed",,"6733_NSE@Price")</f>
        <v>376.95</v>
      </c>
      <c r="D169" t="str">
        <f>RTD("tx3.livefeed",,"6733_NSE@Volume")</f>
        <v>10414277</v>
      </c>
      <c r="E169">
        <v>0</v>
      </c>
      <c r="F169" s="2" t="s">
        <v>2</v>
      </c>
      <c r="G169" s="13" t="str">
        <f>RTD("tx3.livefeed",,"6733_NSE@altt")</f>
        <v>31 Aug 2021, 03:57:47 PM</v>
      </c>
    </row>
    <row r="170" spans="1:7" x14ac:dyDescent="0.25">
      <c r="A170" t="s">
        <v>177</v>
      </c>
      <c r="B170" s="11" t="str">
        <f t="shared" si="2"/>
        <v>03:51:30 PM</v>
      </c>
      <c r="C170" t="str">
        <f>RTD("tx3.livefeed",,"14356_NSE@Price")</f>
        <v>3627.25</v>
      </c>
      <c r="D170" t="str">
        <f>RTD("tx3.livefeed",,"14356_NSE@Volume")</f>
        <v>1026256</v>
      </c>
      <c r="E170">
        <v>0</v>
      </c>
      <c r="F170" s="2" t="s">
        <v>2</v>
      </c>
      <c r="G170" s="13" t="str">
        <f>RTD("tx3.livefeed",,"14356_NSE@altt")</f>
        <v>31 Aug 2021, 03:51:30 PM</v>
      </c>
    </row>
    <row r="171" spans="1:7" x14ac:dyDescent="0.25">
      <c r="A171" t="s">
        <v>178</v>
      </c>
      <c r="B171" s="11" t="str">
        <f t="shared" si="2"/>
        <v>03:57:24 PM</v>
      </c>
      <c r="C171" t="str">
        <f>RTD("tx3.livefeed",,"7406_NSE@Price")</f>
        <v>530.30</v>
      </c>
      <c r="D171" t="str">
        <f>RTD("tx3.livefeed",,"7406_NSE@Volume")</f>
        <v>1721956</v>
      </c>
      <c r="E171">
        <v>0</v>
      </c>
      <c r="F171" s="2" t="s">
        <v>2</v>
      </c>
      <c r="G171" s="13" t="str">
        <f>RTD("tx3.livefeed",,"7406_NSE@altt")</f>
        <v>31 Aug 2021, 03:57:24 PM</v>
      </c>
    </row>
    <row r="172" spans="1:7" x14ac:dyDescent="0.25">
      <c r="A172" t="s">
        <v>179</v>
      </c>
      <c r="B172" s="11" t="str">
        <f t="shared" si="2"/>
        <v>03:56:25 PM</v>
      </c>
      <c r="C172" t="str">
        <f>RTD("tx3.livefeed",,"11262_NSE@Price")</f>
        <v>545.85</v>
      </c>
      <c r="D172" t="str">
        <f>RTD("tx3.livefeed",,"11262_NSE@Volume")</f>
        <v>4255913</v>
      </c>
      <c r="E172">
        <v>0</v>
      </c>
      <c r="F172" s="2" t="s">
        <v>2</v>
      </c>
      <c r="G172" s="13" t="str">
        <f>RTD("tx3.livefeed",,"11262_NSE@altt")</f>
        <v>31 Aug 2021, 03:56:25 PM</v>
      </c>
    </row>
    <row r="173" spans="1:7" x14ac:dyDescent="0.25">
      <c r="A173" t="s">
        <v>180</v>
      </c>
      <c r="B173" s="11" t="str">
        <f t="shared" si="2"/>
        <v>03:58:32 PM</v>
      </c>
      <c r="C173" t="str">
        <f>RTD("tx3.livefeed",,"7929_NSE@Price")</f>
        <v>554.15</v>
      </c>
      <c r="D173" t="str">
        <f>RTD("tx3.livefeed",,"7929_NSE@Volume")</f>
        <v>2015528</v>
      </c>
      <c r="E173">
        <v>0</v>
      </c>
      <c r="F173" s="2" t="s">
        <v>2</v>
      </c>
      <c r="G173" s="13" t="str">
        <f>RTD("tx3.livefeed",,"7929_NSE@altt")</f>
        <v>31 Aug 2021, 03:58:32 PM</v>
      </c>
    </row>
    <row r="174" spans="1:7" x14ac:dyDescent="0.25">
      <c r="A174" t="s">
        <v>181</v>
      </c>
      <c r="B174" s="11" t="str">
        <f t="shared" si="2"/>
        <v>03:55:05 PM</v>
      </c>
      <c r="C174" t="str">
        <f>RTD("tx3.livefeed",,"4244_NSE@Price")</f>
        <v>3074.30</v>
      </c>
      <c r="D174" t="str">
        <f>RTD("tx3.livefeed",,"4244_NSE@Volume")</f>
        <v>398418</v>
      </c>
      <c r="E174">
        <v>0</v>
      </c>
      <c r="F174" s="2" t="s">
        <v>2</v>
      </c>
      <c r="G174" s="13" t="str">
        <f>RTD("tx3.livefeed",,"4244_NSE@altt")</f>
        <v>31 Aug 2021, 03:55:05 PM</v>
      </c>
    </row>
    <row r="175" spans="1:7" x14ac:dyDescent="0.25">
      <c r="A175" t="s">
        <v>182</v>
      </c>
      <c r="B175" s="11" t="str">
        <f t="shared" si="2"/>
        <v>03:58:28 PM</v>
      </c>
      <c r="C175" t="str">
        <f>RTD("tx3.livefeed",,"10099_NSE@Price")</f>
        <v>1099.30</v>
      </c>
      <c r="D175" t="str">
        <f>RTD("tx3.livefeed",,"10099_NSE@Volume")</f>
        <v>1993712</v>
      </c>
      <c r="E175">
        <v>0</v>
      </c>
      <c r="F175" s="2" t="s">
        <v>2</v>
      </c>
      <c r="G175" s="13" t="str">
        <f>RTD("tx3.livefeed",,"10099_NSE@altt")</f>
        <v>31 Aug 2021, 03:58:28 PM</v>
      </c>
    </row>
    <row r="176" spans="1:7" x14ac:dyDescent="0.25">
      <c r="A176" t="s">
        <v>183</v>
      </c>
      <c r="B176" s="11" t="str">
        <f t="shared" si="2"/>
        <v>03:53:04 PM</v>
      </c>
      <c r="C176" t="str">
        <f>RTD("tx3.livefeed",,"18652_NSE@Price")</f>
        <v>659.10</v>
      </c>
      <c r="D176" t="str">
        <f>RTD("tx3.livefeed",,"18652_NSE@Volume")</f>
        <v>7583164</v>
      </c>
      <c r="E176">
        <v>0</v>
      </c>
      <c r="F176" s="2" t="s">
        <v>2</v>
      </c>
      <c r="G176" s="13" t="str">
        <f>RTD("tx3.livefeed",,"18652_NSE@altt")</f>
        <v>31 Aug 2021, 03:53:04 PM</v>
      </c>
    </row>
    <row r="177" spans="1:7" x14ac:dyDescent="0.25">
      <c r="A177" t="s">
        <v>184</v>
      </c>
      <c r="B177" s="11" t="str">
        <f t="shared" si="2"/>
        <v>03:51:59 PM</v>
      </c>
      <c r="C177" t="str">
        <f>RTD("tx3.livefeed",,"21770_NSE@Price")</f>
        <v>1594.60</v>
      </c>
      <c r="D177" t="str">
        <f>RTD("tx3.livefeed",,"21770_NSE@Volume")</f>
        <v>714442</v>
      </c>
      <c r="E177">
        <v>0</v>
      </c>
      <c r="F177" s="2" t="s">
        <v>2</v>
      </c>
      <c r="G177" s="13" t="str">
        <f>RTD("tx3.livefeed",,"21770_NSE@altt")</f>
        <v>31 Aug 2021, 03:51:59 PM</v>
      </c>
    </row>
    <row r="178" spans="1:7" x14ac:dyDescent="0.25">
      <c r="A178" t="s">
        <v>185</v>
      </c>
      <c r="B178" s="11" t="str">
        <f t="shared" si="2"/>
        <v>03:50:21 PM</v>
      </c>
      <c r="C178" t="str">
        <f>RTD("tx3.livefeed",,"13528_NSE@Price")</f>
        <v>29.05</v>
      </c>
      <c r="D178" t="str">
        <f>RTD("tx3.livefeed",,"13528_NSE@Volume")</f>
        <v>4917548</v>
      </c>
      <c r="E178">
        <v>0</v>
      </c>
      <c r="F178" s="2" t="s">
        <v>2</v>
      </c>
      <c r="G178" s="13" t="str">
        <f>RTD("tx3.livefeed",,"13528_NSE@altt")</f>
        <v>31 Aug 2021, 03:50:21 PM</v>
      </c>
    </row>
    <row r="179" spans="1:7" x14ac:dyDescent="0.25">
      <c r="A179" t="s">
        <v>186</v>
      </c>
      <c r="B179" s="11" t="str">
        <f t="shared" si="2"/>
        <v>03:59:56 PM</v>
      </c>
      <c r="C179" t="str">
        <f>RTD("tx3.livefeed",,"14366_NSE@Price")</f>
        <v>6.10</v>
      </c>
      <c r="D179" t="str">
        <f>RTD("tx3.livefeed",,"14366_NSE@Volume")</f>
        <v>298905204</v>
      </c>
      <c r="E179">
        <v>0</v>
      </c>
      <c r="F179" s="2" t="s">
        <v>2</v>
      </c>
      <c r="G179" s="13" t="str">
        <f>RTD("tx3.livefeed",,"14366_NSE@altt")</f>
        <v>31 Aug 2021, 03:59:56 PM</v>
      </c>
    </row>
    <row r="180" spans="1:7" x14ac:dyDescent="0.25">
      <c r="A180" t="s">
        <v>187</v>
      </c>
      <c r="B180" s="11" t="str">
        <f t="shared" si="2"/>
        <v>03:54:19 PM</v>
      </c>
      <c r="C180" t="str">
        <f>RTD("tx3.livefeed",,"16713_NSE@Price")</f>
        <v>1475.00</v>
      </c>
      <c r="D180" t="str">
        <f>RTD("tx3.livefeed",,"16713_NSE@Volume")</f>
        <v>347346</v>
      </c>
      <c r="E180">
        <v>0</v>
      </c>
      <c r="F180" s="2" t="s">
        <v>2</v>
      </c>
      <c r="G180" s="13" t="str">
        <f>RTD("tx3.livefeed",,"16713_NSE@altt")</f>
        <v>31 Aug 2021, 03:54:19 PM</v>
      </c>
    </row>
    <row r="181" spans="1:7" x14ac:dyDescent="0.25">
      <c r="A181" t="s">
        <v>188</v>
      </c>
      <c r="B181" s="11" t="str">
        <f t="shared" si="2"/>
        <v>03:58:34 PM</v>
      </c>
      <c r="C181" t="str">
        <f>RTD("tx3.livefeed",,"13611_NSE@Price")</f>
        <v>2752.00</v>
      </c>
      <c r="D181" t="str">
        <f>RTD("tx3.livefeed",,"13611_NSE@Volume")</f>
        <v>2050223</v>
      </c>
      <c r="E181">
        <v>0</v>
      </c>
      <c r="F181" s="2" t="s">
        <v>2</v>
      </c>
      <c r="G181" s="13" t="str">
        <f>RTD("tx3.livefeed",,"13611_NSE@altt")</f>
        <v>31 Aug 2021, 03:58:34 PM</v>
      </c>
    </row>
    <row r="182" spans="1:7" x14ac:dyDescent="0.25">
      <c r="A182" t="s">
        <v>189</v>
      </c>
      <c r="B182" s="11" t="str">
        <f t="shared" si="2"/>
        <v>03:59:44 PM</v>
      </c>
      <c r="C182" t="str">
        <f>RTD("tx3.livefeed",,"14592_NSE@Price")</f>
        <v>290.50</v>
      </c>
      <c r="D182" t="str">
        <f>RTD("tx3.livefeed",,"14592_NSE@Volume")</f>
        <v>5712361</v>
      </c>
      <c r="E182">
        <v>0</v>
      </c>
      <c r="F182" s="2" t="s">
        <v>2</v>
      </c>
      <c r="G182" s="13" t="str">
        <f>RTD("tx3.livefeed",,"14592_NSE@altt")</f>
        <v>31 Aug 2021, 03:59:44 PM</v>
      </c>
    </row>
    <row r="183" spans="1:7" x14ac:dyDescent="0.25">
      <c r="A183" t="s">
        <v>190</v>
      </c>
      <c r="B183" s="11" t="str">
        <f t="shared" si="2"/>
        <v>03:56:04 PM</v>
      </c>
      <c r="C183" t="str">
        <f>RTD("tx3.livefeed",,"13197_NSE@Price")</f>
        <v>350.65</v>
      </c>
      <c r="D183" t="str">
        <f>RTD("tx3.livefeed",,"13197_NSE@Volume")</f>
        <v>664818</v>
      </c>
      <c r="E183">
        <v>0</v>
      </c>
      <c r="F183" s="2" t="s">
        <v>2</v>
      </c>
      <c r="G183" s="13" t="str">
        <f>RTD("tx3.livefeed",,"13197_NSE@altt")</f>
        <v>31 Aug 2021, 03:56:04 PM</v>
      </c>
    </row>
    <row r="184" spans="1:7" x14ac:dyDescent="0.25">
      <c r="A184" t="s">
        <v>191</v>
      </c>
      <c r="B184" s="11" t="str">
        <f t="shared" si="2"/>
        <v>03:55:23 PM</v>
      </c>
      <c r="C184" t="str">
        <f>RTD("tx3.livefeed",,"14672_NSE@Price")</f>
        <v>4027.60</v>
      </c>
      <c r="D184" t="str">
        <f>RTD("tx3.livefeed",,"14672_NSE@Volume")</f>
        <v>566577</v>
      </c>
      <c r="E184">
        <v>0</v>
      </c>
      <c r="F184" s="2" t="s">
        <v>2</v>
      </c>
      <c r="G184" s="13" t="str">
        <f>RTD("tx3.livefeed",,"14672_NSE@altt")</f>
        <v>31 Aug 2021, 03:55:23 PM</v>
      </c>
    </row>
    <row r="185" spans="1:7" x14ac:dyDescent="0.25">
      <c r="A185" t="s">
        <v>192</v>
      </c>
      <c r="B185" s="11" t="str">
        <f t="shared" si="2"/>
        <v>03:55:24 PM</v>
      </c>
      <c r="C185" t="str">
        <f>RTD("tx3.livefeed",,"18921_NSE@Price")</f>
        <v>846.95</v>
      </c>
      <c r="D185" t="str">
        <f>RTD("tx3.livefeed",,"18921_NSE@Volume")</f>
        <v>369194</v>
      </c>
      <c r="E185">
        <v>0</v>
      </c>
      <c r="F185" s="2" t="s">
        <v>2</v>
      </c>
      <c r="G185" s="13" t="str">
        <f>RTD("tx3.livefeed",,"18921_NSE@altt")</f>
        <v>31 Aug 2021, 03:55:24 PM</v>
      </c>
    </row>
    <row r="186" spans="1:7" x14ac:dyDescent="0.25">
      <c r="A186" t="s">
        <v>193</v>
      </c>
      <c r="B186" s="11" t="str">
        <f t="shared" si="2"/>
        <v>03:57:39 PM</v>
      </c>
      <c r="C186" t="str">
        <f>RTD("tx3.livefeed",,"23650_NSE@Price")</f>
        <v>1514.00</v>
      </c>
      <c r="D186" t="str">
        <f>RTD("tx3.livefeed",,"23650_NSE@Volume")</f>
        <v>772060</v>
      </c>
      <c r="E186">
        <v>0</v>
      </c>
      <c r="F186" s="2" t="s">
        <v>2</v>
      </c>
      <c r="G186" s="13" t="str">
        <f>RTD("tx3.livefeed",,"23650_NSE@altt")</f>
        <v>31 Aug 2021, 03:57:39 PM</v>
      </c>
    </row>
    <row r="187" spans="1:7" x14ac:dyDescent="0.25">
      <c r="A187" t="s">
        <v>194</v>
      </c>
      <c r="B187" s="11" t="str">
        <f t="shared" si="2"/>
        <v>03:56:14 PM</v>
      </c>
      <c r="C187" t="str">
        <f>RTD("tx3.livefeed",,"11543_NSE@Price")</f>
        <v>5208.75</v>
      </c>
      <c r="D187" t="str">
        <f>RTD("tx3.livefeed",,"11543_NSE@Volume")</f>
        <v>650782</v>
      </c>
      <c r="E187">
        <v>0</v>
      </c>
      <c r="F187" s="2" t="s">
        <v>2</v>
      </c>
      <c r="G187" s="13" t="str">
        <f>RTD("tx3.livefeed",,"11543_NSE@altt")</f>
        <v>31 Aug 2021, 03:56:14 PM</v>
      </c>
    </row>
    <row r="188" spans="1:7" x14ac:dyDescent="0.25">
      <c r="A188" t="s">
        <v>195</v>
      </c>
      <c r="B188" s="11" t="str">
        <f t="shared" si="2"/>
        <v>03:59:59 PM</v>
      </c>
      <c r="C188" t="str">
        <f>RTD("tx3.livefeed",,"11915_NSE@Price")</f>
        <v>10.80</v>
      </c>
      <c r="D188" t="str">
        <f>RTD("tx3.livefeed",,"11915_NSE@Volume")</f>
        <v>89884569</v>
      </c>
      <c r="E188">
        <v>0</v>
      </c>
      <c r="F188" s="2" t="s">
        <v>2</v>
      </c>
      <c r="G188" s="13" t="str">
        <f>RTD("tx3.livefeed",,"11915_NSE@altt")</f>
        <v>31 Aug 2021, 03:59:59 PM</v>
      </c>
    </row>
    <row r="189" spans="1:7" x14ac:dyDescent="0.25">
      <c r="A189" t="s">
        <v>196</v>
      </c>
      <c r="B189" s="11" t="str">
        <f t="shared" si="2"/>
        <v>03:50:39 PM</v>
      </c>
      <c r="C189" t="str">
        <f>RTD("tx3.livefeed",,"10243_NSE@Price")</f>
        <v>641.35</v>
      </c>
      <c r="D189" t="str">
        <f>RTD("tx3.livefeed",,"10243_NSE@Volume")</f>
        <v>1865150</v>
      </c>
      <c r="E189">
        <v>0</v>
      </c>
      <c r="F189" s="2" t="s">
        <v>2</v>
      </c>
      <c r="G189" s="13" t="str">
        <f>RTD("tx3.livefeed",,"10243_NSE@altt")</f>
        <v>31 Aug 2021, 03:50:39 PM</v>
      </c>
    </row>
    <row r="190" spans="1:7" x14ac:dyDescent="0.25">
      <c r="A190" t="s">
        <v>197</v>
      </c>
      <c r="B190" s="11" t="str">
        <f t="shared" si="2"/>
        <v>03:59:16 PM</v>
      </c>
      <c r="C190" t="str">
        <f>RTD("tx3.livefeed",,"9590_NSE@Price")</f>
        <v>2067.50</v>
      </c>
      <c r="D190" t="str">
        <f>RTD("tx3.livefeed",,"9590_NSE@Volume")</f>
        <v>1444108</v>
      </c>
      <c r="E190">
        <v>0</v>
      </c>
      <c r="F190" s="2" t="s">
        <v>2</v>
      </c>
      <c r="G190" s="13" t="str">
        <f>RTD("tx3.livefeed",,"9590_NSE@altt")</f>
        <v>31 Aug 2021, 03:59:16 PM</v>
      </c>
    </row>
    <row r="191" spans="1:7" x14ac:dyDescent="0.25">
      <c r="A191" t="s">
        <v>198</v>
      </c>
      <c r="B191" s="11" t="str">
        <f t="shared" si="2"/>
        <v>03:41:56 PM</v>
      </c>
      <c r="C191" t="str">
        <f>RTD("tx3.livefeed",,"15384_NSE@Price")</f>
        <v>199.40</v>
      </c>
      <c r="D191" t="str">
        <f>RTD("tx3.livefeed",,"15384_NSE@Volume")</f>
        <v>996707</v>
      </c>
      <c r="E191">
        <v>0</v>
      </c>
      <c r="F191" s="2" t="s">
        <v>2</v>
      </c>
      <c r="G191" s="13" t="str">
        <f>RTD("tx3.livefeed",,"15384_NSE@altt")</f>
        <v>31 Aug 2021, 03:41:56 PM</v>
      </c>
    </row>
    <row r="192" spans="1:7" x14ac:dyDescent="0.25">
      <c r="A192" t="s">
        <v>199</v>
      </c>
      <c r="B192" s="11" t="str">
        <f t="shared" si="2"/>
        <v>0</v>
      </c>
      <c r="C192" t="str">
        <f>RTD("tx3.livefeed",,"17869_NSE@Price")</f>
        <v>168.5</v>
      </c>
      <c r="D192" t="str">
        <f>RTD("tx3.livefeed",,"17869_NSE@Volume")</f>
        <v>1177859</v>
      </c>
      <c r="E192">
        <v>0</v>
      </c>
      <c r="F192" s="2" t="s">
        <v>2</v>
      </c>
      <c r="G192" s="13" t="str">
        <f>RTD("tx3.livefeed",,"17869_NSE@altt")</f>
        <v>0</v>
      </c>
    </row>
    <row r="193" spans="1:7" x14ac:dyDescent="0.25">
      <c r="A193" t="s">
        <v>200</v>
      </c>
      <c r="B193" s="11" t="str">
        <f t="shared" si="2"/>
        <v>03:59:55 PM</v>
      </c>
      <c r="C193" t="str">
        <f>RTD("tx3.livefeed",,"11195_NSE@Price")</f>
        <v>1904.15</v>
      </c>
      <c r="D193" t="str">
        <f>RTD("tx3.livefeed",,"11195_NSE@Volume")</f>
        <v>1684036</v>
      </c>
      <c r="E193">
        <v>0</v>
      </c>
      <c r="F193" s="2" t="s">
        <v>2</v>
      </c>
      <c r="G193" s="13" t="str">
        <f>RTD("tx3.livefeed",,"11195_NSE@altt")</f>
        <v>31 Aug 2021, 03:59:55 PM</v>
      </c>
    </row>
    <row r="194" spans="1:7" x14ac:dyDescent="0.25">
      <c r="A194" t="s">
        <v>201</v>
      </c>
      <c r="B194" s="11" t="str">
        <f t="shared" si="2"/>
        <v>03:59:45 PM</v>
      </c>
      <c r="C194" t="str">
        <f>RTD("tx3.livefeed",,"21238_NSE@Price")</f>
        <v>1130.75</v>
      </c>
      <c r="D194" t="str">
        <f>RTD("tx3.livefeed",,"21238_NSE@Volume")</f>
        <v>13040293</v>
      </c>
      <c r="E194">
        <v>0</v>
      </c>
      <c r="F194" s="2" t="s">
        <v>2</v>
      </c>
      <c r="G194" s="13" t="str">
        <f>RTD("tx3.livefeed",,"21238_NSE@altt")</f>
        <v>31 Aug 2021, 03:59:45 PM</v>
      </c>
    </row>
    <row r="195" spans="1:7" x14ac:dyDescent="0.25">
      <c r="A195" t="s">
        <v>202</v>
      </c>
      <c r="B195" s="11" t="str">
        <f t="shared" si="2"/>
        <v>03:56:51 PM</v>
      </c>
      <c r="C195" t="str">
        <f>RTD("tx3.livefeed",,"21690_NSE@Price")</f>
        <v>4160.40</v>
      </c>
      <c r="D195" t="str">
        <f>RTD("tx3.livefeed",,"21690_NSE@Volume")</f>
        <v>241465</v>
      </c>
      <c r="E195">
        <v>0</v>
      </c>
      <c r="F195" s="2" t="s">
        <v>2</v>
      </c>
      <c r="G195" s="13" t="str">
        <f>RTD("tx3.livefeed",,"21690_NSE@altt")</f>
        <v>31 Aug 2021, 03:56:51 PM</v>
      </c>
    </row>
    <row r="196" spans="1:7" x14ac:dyDescent="0.25">
      <c r="A196" t="s">
        <v>203</v>
      </c>
      <c r="B196" s="11" t="str">
        <f t="shared" si="2"/>
        <v>03:59:17 PM</v>
      </c>
      <c r="C196" t="str">
        <f>RTD("tx3.livefeed",,"30125_NSE@Price")</f>
        <v>224.00</v>
      </c>
      <c r="D196" t="str">
        <f>RTD("tx3.livefeed",,"30125_NSE@Volume")</f>
        <v>11480181</v>
      </c>
      <c r="E196">
        <v>0</v>
      </c>
      <c r="F196" s="2" t="s">
        <v>2</v>
      </c>
      <c r="G196" s="13" t="str">
        <f>RTD("tx3.livefeed",,"30125_NSE@altt")</f>
        <v>31 Aug 2021, 03:59:17 PM</v>
      </c>
    </row>
    <row r="197" spans="1:7" x14ac:dyDescent="0.25">
      <c r="A197" t="s">
        <v>204</v>
      </c>
      <c r="B197" s="11" t="str">
        <f t="shared" si="2"/>
        <v>03:55:33 PM</v>
      </c>
      <c r="C197" t="str">
        <f>RTD("tx3.livefeed",,"20242_NSE@Price")</f>
        <v>703.60</v>
      </c>
      <c r="D197" t="str">
        <f>RTD("tx3.livefeed",,"20242_NSE@Volume")</f>
        <v>251207</v>
      </c>
      <c r="E197">
        <v>0</v>
      </c>
      <c r="F197" s="2" t="s">
        <v>2</v>
      </c>
      <c r="G197" s="13" t="str">
        <f>RTD("tx3.livefeed",,"20242_NSE@altt")</f>
        <v>31 Aug 2021, 03:55:33 PM</v>
      </c>
    </row>
    <row r="198" spans="1:7" x14ac:dyDescent="0.25">
      <c r="A198" t="s">
        <v>205</v>
      </c>
      <c r="B198" s="11" t="str">
        <f t="shared" si="2"/>
        <v>03:57:42 PM</v>
      </c>
      <c r="C198" t="str">
        <f>RTD("tx3.livefeed",,"6074_NSE@Price")</f>
        <v>1452.50</v>
      </c>
      <c r="D198" t="str">
        <f>RTD("tx3.livefeed",,"6074_NSE@Volume")</f>
        <v>1160761</v>
      </c>
      <c r="E198">
        <v>0</v>
      </c>
      <c r="F198" s="2" t="s">
        <v>2</v>
      </c>
      <c r="G198" s="13" t="str">
        <f>RTD("tx3.livefeed",,"6074_NSE@altt")</f>
        <v>31 Aug 2021, 03:57:42 PM</v>
      </c>
    </row>
    <row r="199" spans="1:7" x14ac:dyDescent="0.25">
      <c r="A199" t="s">
        <v>206</v>
      </c>
      <c r="B199" s="11" t="str">
        <f t="shared" si="2"/>
        <v>03:59:56 PM</v>
      </c>
      <c r="C199" t="str">
        <f>RTD("tx3.livefeed",,"29135_NSE@Price")</f>
        <v>215.35</v>
      </c>
      <c r="D199" t="str">
        <f>RTD("tx3.livefeed",,"29135_NSE@Volume")</f>
        <v>6454620</v>
      </c>
      <c r="E199">
        <v>0</v>
      </c>
      <c r="F199" s="2" t="s">
        <v>2</v>
      </c>
      <c r="G199" s="13" t="str">
        <f>RTD("tx3.livefeed",,"29135_NSE@altt")</f>
        <v>31 Aug 2021, 03:59:56 PM</v>
      </c>
    </row>
    <row r="200" spans="1:7" x14ac:dyDescent="0.25">
      <c r="A200" t="s">
        <v>207</v>
      </c>
      <c r="B200" s="11" t="str">
        <f t="shared" si="2"/>
        <v>03:57:29 PM</v>
      </c>
      <c r="C200" t="str">
        <f>RTD("tx3.livefeed",,"25328_NSE@Price")</f>
        <v>751.35</v>
      </c>
      <c r="D200" t="str">
        <f>RTD("tx3.livefeed",,"25328_NSE@Volume")</f>
        <v>168262</v>
      </c>
      <c r="E200">
        <v>0</v>
      </c>
      <c r="F200" s="2" t="s">
        <v>2</v>
      </c>
      <c r="G200" s="13" t="str">
        <f>RTD("tx3.livefeed",,"25328_NSE@altt")</f>
        <v>31 Aug 2021, 03:57:29 PM</v>
      </c>
    </row>
    <row r="201" spans="1:7" x14ac:dyDescent="0.25">
      <c r="A201" t="s">
        <v>208</v>
      </c>
      <c r="B201" s="11" t="str">
        <f t="shared" si="2"/>
        <v>03:44:33 PM</v>
      </c>
      <c r="C201" t="str">
        <f>RTD("tx3.livefeed",,"18822_NSE@Price")</f>
        <v>1662.85</v>
      </c>
      <c r="D201" t="str">
        <f>RTD("tx3.livefeed",,"18822_NSE@Volume")</f>
        <v>53829</v>
      </c>
      <c r="E201">
        <v>0</v>
      </c>
      <c r="F201" s="2" t="s">
        <v>2</v>
      </c>
      <c r="G201" s="13" t="str">
        <f>RTD("tx3.livefeed",,"18822_NSE@altt")</f>
        <v>31 Aug 2021, 03:44:33 PM</v>
      </c>
    </row>
    <row r="202" spans="1:7" x14ac:dyDescent="0.25">
      <c r="A202" t="s">
        <v>209</v>
      </c>
      <c r="B202" s="11" t="str">
        <f t="shared" ref="B202:B231" si="3">RIGHT(G202,11)</f>
        <v>03:59:05 PM</v>
      </c>
      <c r="C202" t="str">
        <f>RTD("tx3.livefeed",,"21614_NSE@Price")</f>
        <v>107.85</v>
      </c>
      <c r="D202" t="str">
        <f>RTD("tx3.livefeed",,"21614_NSE@Volume")</f>
        <v>1655331</v>
      </c>
      <c r="E202">
        <v>0</v>
      </c>
      <c r="F202" s="2" t="s">
        <v>2</v>
      </c>
      <c r="G202" s="13" t="str">
        <f>RTD("tx3.livefeed",,"21614_NSE@altt")</f>
        <v>31 Aug 2021, 03:59:05 PM</v>
      </c>
    </row>
    <row r="203" spans="1:7" x14ac:dyDescent="0.25">
      <c r="A203" t="s">
        <v>210</v>
      </c>
      <c r="B203" s="11" t="str">
        <f t="shared" si="3"/>
        <v>03:57:05 PM</v>
      </c>
      <c r="C203" t="str">
        <f>RTD("tx3.livefeed",,"30108_NSE@Price")</f>
        <v>208.10</v>
      </c>
      <c r="D203" t="str">
        <f>RTD("tx3.livefeed",,"30108_NSE@Volume")</f>
        <v>1472771</v>
      </c>
      <c r="E203">
        <v>0</v>
      </c>
      <c r="F203" s="2" t="s">
        <v>2</v>
      </c>
      <c r="G203" s="13" t="str">
        <f>RTD("tx3.livefeed",,"30108_NSE@altt")</f>
        <v>31 Aug 2021, 03:57:05 PM</v>
      </c>
    </row>
    <row r="204" spans="1:7" x14ac:dyDescent="0.25">
      <c r="A204" t="s">
        <v>211</v>
      </c>
      <c r="B204" s="11" t="str">
        <f t="shared" si="3"/>
        <v>03:52:42 PM</v>
      </c>
      <c r="C204" t="str">
        <f>RTD("tx3.livefeed",,"19913_NSE@Price")</f>
        <v>3954.80</v>
      </c>
      <c r="D204" t="str">
        <f>RTD("tx3.livefeed",,"19913_NSE@Volume")</f>
        <v>378858</v>
      </c>
      <c r="E204">
        <v>0</v>
      </c>
      <c r="F204" s="2" t="s">
        <v>2</v>
      </c>
      <c r="G204" s="13" t="str">
        <f>RTD("tx3.livefeed",,"19913_NSE@altt")</f>
        <v>31 Aug 2021, 03:52:42 PM</v>
      </c>
    </row>
    <row r="205" spans="1:7" x14ac:dyDescent="0.25">
      <c r="A205" t="s">
        <v>212</v>
      </c>
      <c r="B205" s="11" t="str">
        <f t="shared" si="3"/>
        <v>03:59:58 PM</v>
      </c>
      <c r="C205" t="str">
        <f>RTD("tx3.livefeed",,"24948_NSE@Price")</f>
        <v>83.30</v>
      </c>
      <c r="D205" t="str">
        <f>RTD("tx3.livefeed",,"24948_NSE@Volume")</f>
        <v>6705841</v>
      </c>
      <c r="E205">
        <v>0</v>
      </c>
      <c r="F205" s="2" t="s">
        <v>2</v>
      </c>
      <c r="G205" s="13" t="str">
        <f>RTD("tx3.livefeed",,"24948_NSE@altt")</f>
        <v>31 Aug 2021, 03:59:58 PM</v>
      </c>
    </row>
    <row r="206" spans="1:7" x14ac:dyDescent="0.25">
      <c r="A206" t="s">
        <v>213</v>
      </c>
      <c r="B206" s="11" t="str">
        <f t="shared" si="3"/>
        <v>03:58:44 PM</v>
      </c>
      <c r="C206" t="str">
        <f>RTD("tx3.livefeed",,"11654_NSE@Price")</f>
        <v>4051.55</v>
      </c>
      <c r="D206" t="str">
        <f>RTD("tx3.livefeed",,"11654_NSE@Volume")</f>
        <v>335279</v>
      </c>
      <c r="E206">
        <v>0</v>
      </c>
      <c r="F206" s="2" t="s">
        <v>2</v>
      </c>
      <c r="G206" s="13" t="str">
        <f>RTD("tx3.livefeed",,"11654_NSE@altt")</f>
        <v>31 Aug 2021, 03:58:44 PM</v>
      </c>
    </row>
    <row r="207" spans="1:7" x14ac:dyDescent="0.25">
      <c r="A207" t="s">
        <v>214</v>
      </c>
      <c r="B207" s="11" t="str">
        <f t="shared" si="3"/>
        <v>03:56:37 PM</v>
      </c>
      <c r="C207" t="str">
        <f>RTD("tx3.livefeed",,"10599_NSE@Price")</f>
        <v>722.80</v>
      </c>
      <c r="D207" t="str">
        <f>RTD("tx3.livefeed",,"10599_NSE@Volume")</f>
        <v>1727498</v>
      </c>
      <c r="E207">
        <v>0</v>
      </c>
      <c r="F207" s="2" t="s">
        <v>2</v>
      </c>
      <c r="G207" s="13" t="str">
        <f>RTD("tx3.livefeed",,"10599_NSE@altt")</f>
        <v>31 Aug 2021, 03:56:37 PM</v>
      </c>
    </row>
    <row r="208" spans="1:7" x14ac:dyDescent="0.25">
      <c r="A208" t="s">
        <v>215</v>
      </c>
      <c r="B208" s="11" t="str">
        <f t="shared" si="3"/>
        <v>03:59:46 PM</v>
      </c>
      <c r="C208" t="str">
        <f>RTD("tx3.livefeed",,"18564_NSE@Price")</f>
        <v>3919.55</v>
      </c>
      <c r="D208" t="str">
        <f>RTD("tx3.livefeed",,"18564_NSE@Volume")</f>
        <v>199497</v>
      </c>
      <c r="E208">
        <v>0</v>
      </c>
      <c r="F208" s="2" t="s">
        <v>2</v>
      </c>
      <c r="G208" s="13" t="str">
        <f>RTD("tx3.livefeed",,"18564_NSE@altt")</f>
        <v>31 Aug 2021, 03:59:46 PM</v>
      </c>
    </row>
    <row r="209" spans="1:7" x14ac:dyDescent="0.25">
      <c r="A209" t="s">
        <v>216</v>
      </c>
      <c r="B209" s="11" t="str">
        <f t="shared" si="3"/>
        <v>03:57:35 PM</v>
      </c>
      <c r="C209" t="str">
        <f>RTD("tx3.livefeed",,"19234_NSE@Price")</f>
        <v>666.60</v>
      </c>
      <c r="D209" t="str">
        <f>RTD("tx3.livefeed",,"19234_NSE@Volume")</f>
        <v>2836964</v>
      </c>
      <c r="E209">
        <v>0</v>
      </c>
      <c r="F209" s="2" t="s">
        <v>2</v>
      </c>
      <c r="G209" s="13" t="str">
        <f>RTD("tx3.livefeed",,"19234_NSE@altt")</f>
        <v>31 Aug 2021, 03:57:35 PM</v>
      </c>
    </row>
    <row r="210" spans="1:7" x14ac:dyDescent="0.25">
      <c r="A210" t="s">
        <v>217</v>
      </c>
      <c r="B210" s="11" t="str">
        <f t="shared" si="3"/>
        <v>03:58:29 PM</v>
      </c>
      <c r="C210" t="str">
        <f>RTD("tx3.livefeed",,"11184_NSE@Price")</f>
        <v>42.95</v>
      </c>
      <c r="D210" t="str">
        <f>RTD("tx3.livefeed",,"11184_NSE@Volume")</f>
        <v>41496912</v>
      </c>
      <c r="E210">
        <v>0</v>
      </c>
      <c r="F210" s="2" t="s">
        <v>2</v>
      </c>
      <c r="G210" s="13" t="str">
        <f>RTD("tx3.livefeed",,"11184_NSE@altt")</f>
        <v>31 Aug 2021, 03:58:29 PM</v>
      </c>
    </row>
    <row r="211" spans="1:7" x14ac:dyDescent="0.25">
      <c r="A211" t="s">
        <v>218</v>
      </c>
      <c r="B211" s="11" t="str">
        <f t="shared" si="3"/>
        <v>03:55:54 PM</v>
      </c>
      <c r="C211" t="str">
        <f>RTD("tx3.livefeed",,"17094_NSE@Price")</f>
        <v>473.45</v>
      </c>
      <c r="D211" t="str">
        <f>RTD("tx3.livefeed",,"17094_NSE@Volume")</f>
        <v>587128</v>
      </c>
      <c r="E211">
        <v>0</v>
      </c>
      <c r="F211" s="2" t="s">
        <v>2</v>
      </c>
      <c r="G211" s="13" t="str">
        <f>RTD("tx3.livefeed",,"17094_NSE@altt")</f>
        <v>31 Aug 2021, 03:55:54 PM</v>
      </c>
    </row>
    <row r="212" spans="1:7" x14ac:dyDescent="0.25">
      <c r="A212" t="s">
        <v>219</v>
      </c>
      <c r="B212" s="11" t="str">
        <f t="shared" si="3"/>
        <v>03:52:41 PM</v>
      </c>
      <c r="C212" t="str">
        <f>RTD("tx3.livefeed",,"10221_NSE@Price")</f>
        <v>1580.60</v>
      </c>
      <c r="D212" t="str">
        <f>RTD("tx3.livefeed",,"10221_NSE@Volume")</f>
        <v>545234</v>
      </c>
      <c r="E212">
        <v>0</v>
      </c>
      <c r="F212" s="2" t="s">
        <v>2</v>
      </c>
      <c r="G212" s="13" t="str">
        <f>RTD("tx3.livefeed",,"10221_NSE@altt")</f>
        <v>31 Aug 2021, 03:52:41 PM</v>
      </c>
    </row>
    <row r="213" spans="1:7" x14ac:dyDescent="0.25">
      <c r="A213" t="s">
        <v>220</v>
      </c>
      <c r="B213" s="11" t="str">
        <f t="shared" si="3"/>
        <v>03:54:52 PM</v>
      </c>
      <c r="C213" t="str">
        <f>RTD("tx3.livefeed",,"2263_NSE@Price")</f>
        <v>285.00</v>
      </c>
      <c r="D213" t="str">
        <f>RTD("tx3.livefeed",,"2263_NSE@Volume")</f>
        <v>6756768</v>
      </c>
      <c r="E213">
        <v>0</v>
      </c>
      <c r="F213" s="2" t="s">
        <v>2</v>
      </c>
      <c r="G213" s="13" t="str">
        <f>RTD("tx3.livefeed",,"2263_NSE@altt")</f>
        <v>31 Aug 2021, 03:54:52 PM</v>
      </c>
    </row>
    <row r="214" spans="1:7" x14ac:dyDescent="0.25">
      <c r="A214" t="s">
        <v>221</v>
      </c>
      <c r="B214" s="11" t="str">
        <f t="shared" si="3"/>
        <v>03:40:09 PM</v>
      </c>
      <c r="C214" t="str">
        <f>RTD("tx3.livefeed",,"10726_NSE@Price")</f>
        <v>7848.20</v>
      </c>
      <c r="D214" t="str">
        <f>RTD("tx3.livefeed",,"10726_NSE@Volume")</f>
        <v>318931</v>
      </c>
      <c r="E214">
        <v>0</v>
      </c>
      <c r="F214" s="2" t="s">
        <v>2</v>
      </c>
      <c r="G214" s="13" t="str">
        <f>RTD("tx3.livefeed",,"10726_NSE@altt")</f>
        <v>31 Aug 2021, 03:40:09 PM</v>
      </c>
    </row>
    <row r="215" spans="1:7" x14ac:dyDescent="0.25">
      <c r="A215" t="s">
        <v>222</v>
      </c>
      <c r="B215" s="11" t="str">
        <f t="shared" si="3"/>
        <v>03:52:27 PM</v>
      </c>
      <c r="C215" t="str">
        <f>RTD("tx3.livefeed",,"3569_NSE@Price")</f>
        <v>1068.35</v>
      </c>
      <c r="D215" t="str">
        <f>RTD("tx3.livefeed",,"3569_NSE@Volume")</f>
        <v>2737522</v>
      </c>
      <c r="E215">
        <v>0</v>
      </c>
      <c r="F215" s="2" t="s">
        <v>2</v>
      </c>
      <c r="G215" s="13" t="str">
        <f>RTD("tx3.livefeed",,"3569_NSE@altt")</f>
        <v>31 Aug 2021, 03:52:27 PM</v>
      </c>
    </row>
    <row r="216" spans="1:7" x14ac:dyDescent="0.25">
      <c r="A216" t="s">
        <v>223</v>
      </c>
      <c r="B216" s="11" t="str">
        <f t="shared" si="3"/>
        <v>03:58:31 PM</v>
      </c>
      <c r="C216" t="str">
        <f>RTD("tx3.livefeed",,"8075_NSE@Price")</f>
        <v>2199.80</v>
      </c>
      <c r="D216" t="str">
        <f>RTD("tx3.livefeed",,"8075_NSE@Volume")</f>
        <v>244376</v>
      </c>
      <c r="E216">
        <v>0</v>
      </c>
      <c r="F216" s="2" t="s">
        <v>2</v>
      </c>
      <c r="G216" s="13" t="str">
        <f>RTD("tx3.livefeed",,"8075_NSE@altt")</f>
        <v>31 Aug 2021, 03:58:31 PM</v>
      </c>
    </row>
    <row r="217" spans="1:7" x14ac:dyDescent="0.25">
      <c r="A217" t="s">
        <v>226</v>
      </c>
      <c r="B217" s="11" t="str">
        <f t="shared" si="3"/>
        <v>03:29:59 PM</v>
      </c>
      <c r="C217" t="str">
        <f>RTD("tx3.livefeed",,"-23@Price")</f>
        <v>41580.45</v>
      </c>
      <c r="D217" t="str">
        <f>RTD("tx3.livefeed",,"-23@Volume")</f>
        <v>0</v>
      </c>
      <c r="E217">
        <v>0</v>
      </c>
      <c r="F217" s="2" t="s">
        <v>2</v>
      </c>
      <c r="G217" t="str">
        <f>RTD("tx3.livefeed",,"-23@altt")</f>
        <v>31 Aug 2021, 03:29:59 PM</v>
      </c>
    </row>
    <row r="218" spans="1:7" x14ac:dyDescent="0.25">
      <c r="A218" t="s">
        <v>227</v>
      </c>
      <c r="B218" s="11" t="str">
        <f t="shared" si="3"/>
        <v>03:31:28 PM</v>
      </c>
      <c r="C218" t="str">
        <f>RTD("tx3.livefeed",,"-22@Price")</f>
        <v>28417.25</v>
      </c>
      <c r="D218" t="str">
        <f>RTD("tx3.livefeed",,"-22@Volume")</f>
        <v>0</v>
      </c>
      <c r="E218">
        <v>0</v>
      </c>
      <c r="F218" s="2" t="s">
        <v>2</v>
      </c>
      <c r="G218" t="str">
        <f>RTD("tx3.livefeed",,"-22@altt")</f>
        <v>31 Aug 2021, 03:31:28 PM</v>
      </c>
    </row>
    <row r="219" spans="1:7" x14ac:dyDescent="0.25">
      <c r="A219" t="s">
        <v>228</v>
      </c>
      <c r="B219" s="11" t="str">
        <f t="shared" si="3"/>
        <v>03:29:19 PM</v>
      </c>
      <c r="C219" t="str">
        <f>RTD("tx3.livefeed",,"-45@Price")</f>
        <v>10260.05</v>
      </c>
      <c r="D219" t="str">
        <f>RTD("tx3.livefeed",,"-45@Volume")</f>
        <v>0</v>
      </c>
      <c r="E219">
        <v>0</v>
      </c>
      <c r="F219" s="2" t="s">
        <v>2</v>
      </c>
      <c r="G219" t="str">
        <f>RTD("tx3.livefeed",,"-45@altt")</f>
        <v>31 Aug 2021, 03:29:19 PM</v>
      </c>
    </row>
    <row r="220" spans="1:7" x14ac:dyDescent="0.25">
      <c r="A220" t="s">
        <v>229</v>
      </c>
      <c r="B220" s="11" t="str">
        <f t="shared" si="3"/>
        <v>03:29:59 PM</v>
      </c>
      <c r="C220" t="str">
        <f>RTD("tx3.livefeed",,"-21@Price")</f>
        <v>36389.15</v>
      </c>
      <c r="D220" t="str">
        <f>RTD("tx3.livefeed",,"-21@Volume")</f>
        <v>0</v>
      </c>
      <c r="E220">
        <v>0</v>
      </c>
      <c r="F220" s="2" t="s">
        <v>2</v>
      </c>
      <c r="G220" t="str">
        <f>RTD("tx3.livefeed",,"-21@altt")</f>
        <v>31 Aug 2021, 03:29:59 PM</v>
      </c>
    </row>
    <row r="221" spans="1:7" x14ac:dyDescent="0.25">
      <c r="A221" t="s">
        <v>230</v>
      </c>
      <c r="B221" s="11" t="str">
        <f t="shared" si="3"/>
        <v>03:29:41 PM</v>
      </c>
      <c r="C221" t="str">
        <f>RTD("tx3.livefeed",,"-46@Price")</f>
        <v>10037.50</v>
      </c>
      <c r="D221" t="str">
        <f>RTD("tx3.livefeed",,"-46@Volume")</f>
        <v>0</v>
      </c>
      <c r="E221">
        <v>0</v>
      </c>
      <c r="F221" s="2" t="s">
        <v>2</v>
      </c>
      <c r="G221" t="str">
        <f>RTD("tx3.livefeed",,"-46@altt")</f>
        <v>31 Aug 2021, 03:29:41 PM</v>
      </c>
    </row>
    <row r="222" spans="1:7" x14ac:dyDescent="0.25">
      <c r="A222" t="s">
        <v>231</v>
      </c>
      <c r="B222" s="11" t="str">
        <f t="shared" si="3"/>
        <v>03:30:00 PM</v>
      </c>
      <c r="C222" t="str">
        <f>RTD("tx3.livefeed",,"-36@Price")</f>
        <v>20286.50</v>
      </c>
      <c r="D222" t="str">
        <f>RTD("tx3.livefeed",,"-36@Volume")</f>
        <v>0</v>
      </c>
      <c r="E222">
        <v>0</v>
      </c>
      <c r="F222" s="2" t="s">
        <v>2</v>
      </c>
      <c r="G222" t="str">
        <f>RTD("tx3.livefeed",,"-36@altt")</f>
        <v>31 Aug 2021, 03:30:00 PM</v>
      </c>
    </row>
    <row r="223" spans="1:7" x14ac:dyDescent="0.25">
      <c r="A223" t="s">
        <v>232</v>
      </c>
      <c r="B223" s="11" t="str">
        <f t="shared" si="3"/>
        <v>03:29:47 PM</v>
      </c>
      <c r="C223" t="str">
        <f>RTD("tx3.livefeed",,"-40@Price")</f>
        <v>18052.25</v>
      </c>
      <c r="D223" t="str">
        <f>RTD("tx3.livefeed",,"-40@Volume")</f>
        <v>0</v>
      </c>
      <c r="E223">
        <v>0</v>
      </c>
      <c r="F223" s="2" t="s">
        <v>2</v>
      </c>
      <c r="G223" t="str">
        <f>RTD("tx3.livefeed",,"-40@altt")</f>
        <v>31 Aug 2021, 03:29:47 PM</v>
      </c>
    </row>
    <row r="224" spans="1:7" x14ac:dyDescent="0.25">
      <c r="A224" t="s">
        <v>233</v>
      </c>
      <c r="B224" s="11" t="str">
        <f t="shared" si="3"/>
        <v>03:29:59 PM</v>
      </c>
      <c r="C224" t="str">
        <f>RTD("tx3.livefeed",,"-35@Price")</f>
        <v>39509.25</v>
      </c>
      <c r="D224" t="str">
        <f>RTD("tx3.livefeed",,"-35@Volume")</f>
        <v>0</v>
      </c>
      <c r="E224">
        <v>0</v>
      </c>
      <c r="F224" s="2" t="s">
        <v>2</v>
      </c>
      <c r="G224" t="str">
        <f>RTD("tx3.livefeed",,"-35@altt")</f>
        <v>31 Aug 2021, 03:29:59 PM</v>
      </c>
    </row>
    <row r="225" spans="1:7" x14ac:dyDescent="0.25">
      <c r="A225" t="s">
        <v>234</v>
      </c>
      <c r="B225" s="11" t="str">
        <f t="shared" si="3"/>
        <v>03:40:01 PM</v>
      </c>
      <c r="C225" t="str">
        <f>RTD("tx3.livefeed",,"-28@Price")</f>
        <v>34570.25</v>
      </c>
      <c r="D225" t="str">
        <f>RTD("tx3.livefeed",,"-28@Volume")</f>
        <v>0</v>
      </c>
      <c r="E225">
        <v>0</v>
      </c>
      <c r="F225" s="2" t="s">
        <v>2</v>
      </c>
      <c r="G225" t="str">
        <f>RTD("tx3.livefeed",,"-28@altt")</f>
        <v>31 Aug 2021, 03:40:01 PM</v>
      </c>
    </row>
    <row r="226" spans="1:7" x14ac:dyDescent="0.25">
      <c r="A226" t="s">
        <v>235</v>
      </c>
      <c r="B226" s="11" t="str">
        <f t="shared" si="3"/>
        <v>03:29:41 PM</v>
      </c>
      <c r="C226" t="str">
        <f>RTD("tx3.livefeed",,"-47@Price")</f>
        <v>1601.10</v>
      </c>
      <c r="D226" t="str">
        <f>RTD("tx3.livefeed",,"-47@Volume")</f>
        <v>0</v>
      </c>
      <c r="E226">
        <v>0</v>
      </c>
      <c r="F226" s="2" t="s">
        <v>2</v>
      </c>
      <c r="G226" t="str">
        <f>RTD("tx3.livefeed",,"-47@altt")</f>
        <v>31 Aug 2021, 03:29:41 PM</v>
      </c>
    </row>
    <row r="227" spans="1:7" x14ac:dyDescent="0.25">
      <c r="A227" t="s">
        <v>236</v>
      </c>
      <c r="B227" s="11" t="str">
        <f t="shared" si="3"/>
        <v>03:29:52 PM</v>
      </c>
      <c r="C227" t="str">
        <f>RTD("tx3.livefeed",,"-48@Price")</f>
        <v>5713.25</v>
      </c>
      <c r="D227" t="str">
        <f>RTD("tx3.livefeed",,"-48@Volume")</f>
        <v>0</v>
      </c>
      <c r="E227">
        <v>0</v>
      </c>
      <c r="F227" s="2" t="s">
        <v>2</v>
      </c>
      <c r="G227" t="str">
        <f>RTD("tx3.livefeed",,"-48@altt")</f>
        <v>31 Aug 2021, 03:29:52 PM</v>
      </c>
    </row>
    <row r="228" spans="1:7" x14ac:dyDescent="0.25">
      <c r="A228" t="s">
        <v>237</v>
      </c>
      <c r="B228" s="11" t="str">
        <f t="shared" si="3"/>
        <v>03:29:57 PM</v>
      </c>
      <c r="C228" t="str">
        <f>RTD("tx3.livefeed",,"-33@Price")</f>
        <v>14336.80</v>
      </c>
      <c r="D228" t="str">
        <f>RTD("tx3.livefeed",,"-33@Volume")</f>
        <v>0</v>
      </c>
      <c r="E228">
        <v>0</v>
      </c>
      <c r="F228" s="2" t="s">
        <v>2</v>
      </c>
      <c r="G228" t="str">
        <f>RTD("tx3.livefeed",,"-33@altt")</f>
        <v>31 Aug 2021, 03:29:57 PM</v>
      </c>
    </row>
    <row r="229" spans="1:7" x14ac:dyDescent="0.25">
      <c r="A229" t="s">
        <v>238</v>
      </c>
      <c r="B229" s="11" t="str">
        <f t="shared" si="3"/>
        <v>03:29:57 PM</v>
      </c>
      <c r="C229" t="str">
        <f>RTD("tx3.livefeed",,"-31@Price")</f>
        <v>2331.50</v>
      </c>
      <c r="D229" t="str">
        <f>RTD("tx3.livefeed",,"-31@Volume")</f>
        <v>0</v>
      </c>
      <c r="E229">
        <v>0</v>
      </c>
      <c r="F229" s="2" t="s">
        <v>2</v>
      </c>
      <c r="G229" t="str">
        <f>RTD("tx3.livefeed",,"-31@altt")</f>
        <v>31 Aug 2021, 03:29:57 PM</v>
      </c>
    </row>
    <row r="230" spans="1:7" x14ac:dyDescent="0.25">
      <c r="A230" t="s">
        <v>239</v>
      </c>
      <c r="B230" s="11" t="str">
        <f t="shared" si="3"/>
        <v>03:29:57 PM</v>
      </c>
      <c r="C230" t="str">
        <f>RTD("tx3.livefeed",,"-30@Price")</f>
        <v>387.10</v>
      </c>
      <c r="D230" t="str">
        <f>RTD("tx3.livefeed",,"-30@Volume")</f>
        <v>0</v>
      </c>
      <c r="E230">
        <v>0</v>
      </c>
      <c r="F230" s="2" t="s">
        <v>2</v>
      </c>
      <c r="G230" t="str">
        <f>RTD("tx3.livefeed",,"-30@altt")</f>
        <v>31 Aug 2021, 03:29:57 PM</v>
      </c>
    </row>
    <row r="231" spans="1:7" x14ac:dyDescent="0.25">
      <c r="A231" t="s">
        <v>240</v>
      </c>
      <c r="B231" s="11" t="str">
        <f t="shared" si="3"/>
        <v>03:29:52 PM</v>
      </c>
      <c r="C231" t="str">
        <f>RTD("tx3.livefeed",,"-29@Price")</f>
        <v>17129.25</v>
      </c>
      <c r="D231" t="str">
        <f>RTD("tx3.livefeed",,"-29@Volume")</f>
        <v>0</v>
      </c>
      <c r="E231">
        <v>0</v>
      </c>
      <c r="F231" s="2" t="s">
        <v>2</v>
      </c>
      <c r="G231" t="str">
        <f>RTD("tx3.livefeed",,"-29@altt")</f>
        <v>31 Aug 2021, 03:29:52 PM</v>
      </c>
    </row>
    <row r="232" spans="1:7" x14ac:dyDescent="0.25">
      <c r="A232"/>
      <c r="C232"/>
      <c r="D232"/>
      <c r="E232"/>
      <c r="F232" s="2"/>
      <c r="G232"/>
    </row>
    <row r="233" spans="1:7" x14ac:dyDescent="0.25">
      <c r="A233"/>
      <c r="C233"/>
      <c r="D233"/>
      <c r="E233"/>
      <c r="F233" s="2"/>
      <c r="G233"/>
    </row>
    <row r="234" spans="1:7" x14ac:dyDescent="0.25">
      <c r="A234"/>
      <c r="C234"/>
      <c r="D234"/>
      <c r="E234"/>
      <c r="F234" s="2"/>
      <c r="G234"/>
    </row>
    <row r="235" spans="1:7" x14ac:dyDescent="0.25">
      <c r="A235"/>
      <c r="C235"/>
      <c r="D235"/>
      <c r="E235"/>
      <c r="F235" s="2"/>
      <c r="G235"/>
    </row>
    <row r="236" spans="1:7" x14ac:dyDescent="0.25">
      <c r="A236"/>
      <c r="C236"/>
      <c r="D236"/>
      <c r="E236"/>
      <c r="F236" s="2"/>
      <c r="G236"/>
    </row>
    <row r="237" spans="1:7" x14ac:dyDescent="0.25">
      <c r="A237"/>
      <c r="C237"/>
      <c r="D237"/>
      <c r="E237"/>
      <c r="F237" s="2"/>
      <c r="G237"/>
    </row>
    <row r="238" spans="1:7" x14ac:dyDescent="0.25">
      <c r="A238"/>
      <c r="C238"/>
      <c r="D238"/>
      <c r="E238"/>
      <c r="F238" s="2"/>
      <c r="G238"/>
    </row>
    <row r="239" spans="1:7" x14ac:dyDescent="0.25">
      <c r="A239"/>
      <c r="C239"/>
      <c r="D239"/>
      <c r="E239"/>
      <c r="F239" s="2"/>
      <c r="G239"/>
    </row>
    <row r="240" spans="1:7" x14ac:dyDescent="0.25">
      <c r="A240"/>
      <c r="C240"/>
      <c r="D240"/>
      <c r="E240"/>
      <c r="F240" s="2"/>
      <c r="G240"/>
    </row>
    <row r="241" spans="1:7" x14ac:dyDescent="0.25">
      <c r="A241"/>
      <c r="C241"/>
      <c r="D241"/>
      <c r="E241"/>
      <c r="F241" s="2"/>
      <c r="G241"/>
    </row>
    <row r="242" spans="1:7" x14ac:dyDescent="0.25">
      <c r="A242"/>
      <c r="C242"/>
      <c r="D242"/>
      <c r="E242"/>
      <c r="F242" s="2"/>
      <c r="G242"/>
    </row>
    <row r="243" spans="1:7" x14ac:dyDescent="0.25">
      <c r="A243"/>
      <c r="C243"/>
      <c r="D243"/>
      <c r="E243"/>
      <c r="F243" s="2"/>
      <c r="G243"/>
    </row>
    <row r="244" spans="1:7" x14ac:dyDescent="0.25">
      <c r="A244"/>
      <c r="C244"/>
      <c r="D244"/>
      <c r="E244"/>
      <c r="F244" s="2"/>
      <c r="G244"/>
    </row>
    <row r="245" spans="1:7" x14ac:dyDescent="0.25">
      <c r="A245"/>
      <c r="C245"/>
      <c r="D245"/>
      <c r="E245"/>
      <c r="F245" s="2"/>
      <c r="G245"/>
    </row>
    <row r="246" spans="1:7" x14ac:dyDescent="0.25">
      <c r="A246"/>
      <c r="C246"/>
      <c r="D246"/>
      <c r="E246"/>
      <c r="F246" s="2"/>
      <c r="G246"/>
    </row>
    <row r="247" spans="1:7" x14ac:dyDescent="0.25">
      <c r="A247"/>
      <c r="C247"/>
      <c r="D247"/>
      <c r="E247"/>
      <c r="F247" s="2"/>
      <c r="G247"/>
    </row>
    <row r="248" spans="1:7" x14ac:dyDescent="0.25">
      <c r="A248"/>
      <c r="C248"/>
      <c r="D248"/>
      <c r="E248"/>
      <c r="F248" s="2"/>
      <c r="G248"/>
    </row>
    <row r="249" spans="1:7" x14ac:dyDescent="0.25">
      <c r="A249"/>
      <c r="C249"/>
      <c r="D249"/>
      <c r="E249"/>
      <c r="F249" s="2"/>
      <c r="G249"/>
    </row>
    <row r="250" spans="1:7" x14ac:dyDescent="0.25">
      <c r="A250"/>
      <c r="C250"/>
      <c r="D250"/>
      <c r="E250"/>
      <c r="F250" s="2"/>
      <c r="G250"/>
    </row>
    <row r="251" spans="1:7" x14ac:dyDescent="0.25">
      <c r="A251"/>
      <c r="C251"/>
      <c r="D251"/>
      <c r="E251"/>
      <c r="F251" s="2"/>
      <c r="G251"/>
    </row>
    <row r="252" spans="1:7" x14ac:dyDescent="0.25">
      <c r="A252"/>
      <c r="C252"/>
      <c r="D252"/>
      <c r="E252"/>
      <c r="F252" s="2"/>
      <c r="G252"/>
    </row>
    <row r="253" spans="1:7" x14ac:dyDescent="0.25">
      <c r="A253"/>
      <c r="C253"/>
      <c r="D253"/>
      <c r="E253"/>
      <c r="F253" s="2"/>
      <c r="G253"/>
    </row>
    <row r="254" spans="1:7" x14ac:dyDescent="0.25">
      <c r="A254"/>
      <c r="C254"/>
      <c r="D254"/>
      <c r="E254"/>
      <c r="F254" s="2"/>
      <c r="G254"/>
    </row>
    <row r="255" spans="1:7" x14ac:dyDescent="0.25">
      <c r="A255"/>
      <c r="C255"/>
      <c r="D255"/>
      <c r="E255"/>
      <c r="F255" s="2"/>
      <c r="G255"/>
    </row>
    <row r="256" spans="1:7" x14ac:dyDescent="0.25">
      <c r="A256"/>
      <c r="C256"/>
      <c r="D256"/>
      <c r="E256"/>
      <c r="F256" s="2"/>
      <c r="G256"/>
    </row>
    <row r="257" spans="1:7" x14ac:dyDescent="0.25">
      <c r="A257"/>
      <c r="C257"/>
      <c r="D257"/>
      <c r="E257"/>
      <c r="F257" s="2"/>
      <c r="G257"/>
    </row>
    <row r="258" spans="1:7" x14ac:dyDescent="0.25">
      <c r="A258"/>
      <c r="C258"/>
      <c r="D258"/>
      <c r="E258"/>
      <c r="F258" s="2"/>
      <c r="G258"/>
    </row>
    <row r="259" spans="1:7" x14ac:dyDescent="0.25">
      <c r="A259"/>
      <c r="C259"/>
      <c r="D259"/>
      <c r="E259"/>
      <c r="F259" s="2"/>
      <c r="G259"/>
    </row>
    <row r="260" spans="1:7" x14ac:dyDescent="0.25">
      <c r="A260"/>
      <c r="C260"/>
      <c r="D260"/>
      <c r="E260"/>
      <c r="F260" s="2"/>
      <c r="G260"/>
    </row>
    <row r="261" spans="1:7" x14ac:dyDescent="0.25">
      <c r="A261"/>
      <c r="C261"/>
      <c r="D261"/>
      <c r="E261"/>
      <c r="F261" s="2"/>
      <c r="G261"/>
    </row>
    <row r="262" spans="1:7" x14ac:dyDescent="0.25">
      <c r="A262"/>
      <c r="C262"/>
      <c r="D262"/>
      <c r="E262"/>
      <c r="F262" s="2"/>
      <c r="G262"/>
    </row>
    <row r="263" spans="1:7" x14ac:dyDescent="0.25">
      <c r="A263"/>
      <c r="C263"/>
      <c r="D263"/>
      <c r="E263"/>
      <c r="F263" s="2"/>
      <c r="G263"/>
    </row>
    <row r="264" spans="1:7" x14ac:dyDescent="0.25">
      <c r="A264"/>
      <c r="C264"/>
      <c r="D264"/>
      <c r="E264"/>
      <c r="F264" s="2"/>
      <c r="G264"/>
    </row>
    <row r="265" spans="1:7" x14ac:dyDescent="0.25">
      <c r="A265"/>
      <c r="C265"/>
      <c r="D265"/>
      <c r="E265"/>
      <c r="F265" s="2"/>
      <c r="G265"/>
    </row>
    <row r="266" spans="1:7" x14ac:dyDescent="0.25">
      <c r="A266"/>
      <c r="C266"/>
      <c r="D266"/>
      <c r="E266"/>
      <c r="F266" s="2"/>
      <c r="G266"/>
    </row>
    <row r="267" spans="1:7" x14ac:dyDescent="0.25">
      <c r="A267"/>
      <c r="C267"/>
      <c r="D267"/>
      <c r="E267"/>
      <c r="F267" s="2"/>
      <c r="G267"/>
    </row>
    <row r="268" spans="1:7" x14ac:dyDescent="0.25">
      <c r="A268"/>
      <c r="C268"/>
      <c r="D268"/>
      <c r="E268"/>
      <c r="F268" s="2"/>
      <c r="G268"/>
    </row>
    <row r="269" spans="1:7" x14ac:dyDescent="0.25">
      <c r="A269"/>
      <c r="C269"/>
      <c r="D269"/>
      <c r="E269"/>
      <c r="F269" s="2"/>
      <c r="G269"/>
    </row>
    <row r="270" spans="1:7" x14ac:dyDescent="0.25">
      <c r="A270"/>
      <c r="C270"/>
      <c r="D270"/>
      <c r="E270"/>
      <c r="F270" s="2"/>
      <c r="G270"/>
    </row>
    <row r="271" spans="1:7" x14ac:dyDescent="0.25">
      <c r="A271"/>
      <c r="C271"/>
      <c r="D271"/>
      <c r="E271"/>
      <c r="F271" s="2"/>
      <c r="G271"/>
    </row>
    <row r="272" spans="1:7" x14ac:dyDescent="0.25">
      <c r="A272"/>
      <c r="C272"/>
      <c r="D272"/>
      <c r="E272"/>
      <c r="F272" s="2"/>
      <c r="G272"/>
    </row>
    <row r="273" spans="1:7" x14ac:dyDescent="0.25">
      <c r="A273"/>
      <c r="C273"/>
      <c r="D273"/>
      <c r="E273"/>
      <c r="F273" s="2"/>
      <c r="G273"/>
    </row>
    <row r="274" spans="1:7" x14ac:dyDescent="0.25">
      <c r="A274"/>
      <c r="C274"/>
      <c r="D274"/>
      <c r="E274"/>
      <c r="F274" s="2"/>
      <c r="G274"/>
    </row>
    <row r="275" spans="1:7" x14ac:dyDescent="0.25">
      <c r="A275"/>
      <c r="C275"/>
      <c r="D275"/>
      <c r="E275"/>
      <c r="F275" s="2"/>
      <c r="G275"/>
    </row>
    <row r="276" spans="1:7" x14ac:dyDescent="0.25">
      <c r="A276"/>
      <c r="C276"/>
      <c r="D276"/>
      <c r="E276"/>
      <c r="F276" s="2"/>
      <c r="G276"/>
    </row>
    <row r="277" spans="1:7" x14ac:dyDescent="0.25">
      <c r="A277"/>
      <c r="C277"/>
      <c r="D277"/>
      <c r="E277"/>
      <c r="F277" s="2"/>
      <c r="G277"/>
    </row>
    <row r="278" spans="1:7" x14ac:dyDescent="0.25">
      <c r="A278"/>
      <c r="C278"/>
      <c r="D278"/>
      <c r="E278"/>
      <c r="F278" s="2"/>
      <c r="G278"/>
    </row>
    <row r="279" spans="1:7" x14ac:dyDescent="0.25">
      <c r="A279"/>
      <c r="C279"/>
      <c r="D279"/>
      <c r="E279"/>
      <c r="F279" s="2"/>
      <c r="G279"/>
    </row>
    <row r="280" spans="1:7" x14ac:dyDescent="0.25">
      <c r="A280"/>
      <c r="C280"/>
      <c r="D280"/>
      <c r="E280"/>
      <c r="F280" s="2"/>
      <c r="G280"/>
    </row>
    <row r="281" spans="1:7" x14ac:dyDescent="0.25">
      <c r="A281"/>
      <c r="C281"/>
      <c r="D281"/>
      <c r="E281"/>
      <c r="F281" s="2"/>
      <c r="G281"/>
    </row>
    <row r="282" spans="1:7" x14ac:dyDescent="0.25">
      <c r="A282"/>
      <c r="C282"/>
      <c r="D282"/>
      <c r="E282"/>
      <c r="F282" s="2"/>
      <c r="G282"/>
    </row>
    <row r="283" spans="1:7" x14ac:dyDescent="0.25">
      <c r="A283"/>
      <c r="C283"/>
      <c r="D283"/>
      <c r="E283"/>
      <c r="F283" s="2"/>
      <c r="G283"/>
    </row>
    <row r="284" spans="1:7" x14ac:dyDescent="0.25">
      <c r="A284"/>
      <c r="C284"/>
      <c r="D284"/>
      <c r="E284"/>
      <c r="F284" s="2"/>
      <c r="G284"/>
    </row>
    <row r="285" spans="1:7" x14ac:dyDescent="0.25">
      <c r="A285"/>
      <c r="C285"/>
      <c r="D285"/>
      <c r="E285"/>
      <c r="F285" s="2"/>
      <c r="G285"/>
    </row>
    <row r="286" spans="1:7" x14ac:dyDescent="0.25">
      <c r="A286"/>
      <c r="C286"/>
      <c r="D286"/>
      <c r="E286"/>
      <c r="F286" s="2"/>
      <c r="G286"/>
    </row>
    <row r="287" spans="1:7" x14ac:dyDescent="0.25">
      <c r="A287"/>
      <c r="C287"/>
      <c r="D287"/>
      <c r="E287"/>
      <c r="F287" s="2"/>
      <c r="G287"/>
    </row>
    <row r="288" spans="1:7" x14ac:dyDescent="0.25">
      <c r="A288"/>
      <c r="C288"/>
      <c r="D288"/>
      <c r="E288"/>
      <c r="F288" s="2"/>
      <c r="G288"/>
    </row>
    <row r="289" spans="1:7" x14ac:dyDescent="0.25">
      <c r="A289"/>
      <c r="C289"/>
      <c r="D289"/>
      <c r="E289"/>
      <c r="F289" s="2"/>
      <c r="G289"/>
    </row>
    <row r="290" spans="1:7" x14ac:dyDescent="0.25">
      <c r="A290"/>
      <c r="C290"/>
      <c r="D290"/>
      <c r="E290"/>
      <c r="F290" s="2"/>
      <c r="G290"/>
    </row>
    <row r="291" spans="1:7" x14ac:dyDescent="0.25">
      <c r="A291"/>
      <c r="C291"/>
      <c r="D291"/>
      <c r="E291"/>
      <c r="F291" s="2"/>
      <c r="G291"/>
    </row>
    <row r="292" spans="1:7" x14ac:dyDescent="0.25">
      <c r="A292"/>
      <c r="C292"/>
      <c r="D292"/>
      <c r="E292"/>
      <c r="F292" s="2"/>
      <c r="G292"/>
    </row>
    <row r="293" spans="1:7" x14ac:dyDescent="0.25">
      <c r="A293"/>
      <c r="C293"/>
      <c r="D293"/>
      <c r="E293"/>
      <c r="F293" s="2"/>
      <c r="G293"/>
    </row>
    <row r="294" spans="1:7" x14ac:dyDescent="0.25">
      <c r="A294"/>
      <c r="C294"/>
      <c r="D294"/>
      <c r="E294"/>
      <c r="F294" s="2"/>
      <c r="G294"/>
    </row>
    <row r="295" spans="1:7" x14ac:dyDescent="0.25">
      <c r="A295"/>
      <c r="C295"/>
      <c r="D295"/>
      <c r="E295"/>
      <c r="F295" s="2"/>
      <c r="G295"/>
    </row>
    <row r="296" spans="1:7" x14ac:dyDescent="0.25">
      <c r="A296"/>
      <c r="C296"/>
      <c r="D296"/>
      <c r="E296"/>
      <c r="F296" s="2"/>
      <c r="G296"/>
    </row>
    <row r="297" spans="1:7" x14ac:dyDescent="0.25">
      <c r="A297"/>
      <c r="C297"/>
      <c r="D297"/>
      <c r="E297"/>
      <c r="F297" s="2"/>
      <c r="G297"/>
    </row>
    <row r="298" spans="1:7" x14ac:dyDescent="0.25">
      <c r="A298"/>
      <c r="C298"/>
      <c r="D298"/>
      <c r="E298"/>
      <c r="F298" s="2"/>
      <c r="G298"/>
    </row>
    <row r="299" spans="1:7" x14ac:dyDescent="0.25">
      <c r="A299"/>
      <c r="C299"/>
      <c r="D299"/>
      <c r="E299"/>
      <c r="F299" s="2"/>
      <c r="G299"/>
    </row>
    <row r="300" spans="1:7" x14ac:dyDescent="0.25">
      <c r="A300"/>
      <c r="C300"/>
      <c r="D300"/>
      <c r="E300"/>
      <c r="F300" s="2"/>
      <c r="G300"/>
    </row>
    <row r="301" spans="1:7" x14ac:dyDescent="0.25">
      <c r="A301"/>
      <c r="C301"/>
      <c r="D301"/>
      <c r="E301"/>
      <c r="F301" s="2"/>
      <c r="G301"/>
    </row>
    <row r="302" spans="1:7" x14ac:dyDescent="0.25">
      <c r="A302"/>
      <c r="C302"/>
      <c r="D302"/>
      <c r="E302"/>
      <c r="F302" s="2"/>
      <c r="G302"/>
    </row>
    <row r="303" spans="1:7" x14ac:dyDescent="0.25">
      <c r="A303"/>
      <c r="C303"/>
      <c r="D303"/>
      <c r="E303"/>
      <c r="F303" s="2"/>
      <c r="G303"/>
    </row>
    <row r="304" spans="1:7" x14ac:dyDescent="0.25">
      <c r="A304"/>
      <c r="C304"/>
      <c r="D304"/>
      <c r="E304"/>
      <c r="F304" s="2"/>
      <c r="G304"/>
    </row>
    <row r="305" spans="1:7" x14ac:dyDescent="0.25">
      <c r="A305"/>
      <c r="C305"/>
      <c r="D305"/>
      <c r="E305"/>
      <c r="F305" s="2"/>
      <c r="G305"/>
    </row>
    <row r="306" spans="1:7" x14ac:dyDescent="0.25">
      <c r="A306"/>
      <c r="C306"/>
      <c r="D306"/>
      <c r="E306"/>
      <c r="F306" s="2"/>
      <c r="G306"/>
    </row>
    <row r="307" spans="1:7" x14ac:dyDescent="0.25">
      <c r="A307"/>
      <c r="C307"/>
      <c r="D307"/>
      <c r="E307"/>
      <c r="F307" s="2"/>
      <c r="G307"/>
    </row>
    <row r="308" spans="1:7" x14ac:dyDescent="0.25">
      <c r="A308"/>
      <c r="C308"/>
      <c r="D308"/>
      <c r="E308"/>
      <c r="F308" s="2"/>
      <c r="G308"/>
    </row>
    <row r="309" spans="1:7" x14ac:dyDescent="0.25">
      <c r="A309"/>
      <c r="C309"/>
      <c r="D309"/>
      <c r="E309"/>
      <c r="F309" s="2"/>
      <c r="G309"/>
    </row>
    <row r="310" spans="1:7" x14ac:dyDescent="0.25">
      <c r="A310"/>
      <c r="C310"/>
      <c r="D310"/>
      <c r="E310"/>
      <c r="F310" s="2"/>
      <c r="G310"/>
    </row>
    <row r="311" spans="1:7" x14ac:dyDescent="0.25">
      <c r="A311"/>
      <c r="C311"/>
      <c r="D311"/>
      <c r="E311"/>
      <c r="F311" s="2"/>
      <c r="G311"/>
    </row>
    <row r="312" spans="1:7" x14ac:dyDescent="0.25">
      <c r="A312"/>
      <c r="C312"/>
      <c r="D312"/>
      <c r="E312"/>
      <c r="F312" s="2"/>
      <c r="G312"/>
    </row>
    <row r="313" spans="1:7" x14ac:dyDescent="0.25">
      <c r="A313"/>
      <c r="C313"/>
      <c r="D313"/>
      <c r="E313"/>
      <c r="F313" s="2"/>
      <c r="G313"/>
    </row>
    <row r="314" spans="1:7" x14ac:dyDescent="0.25">
      <c r="A314"/>
      <c r="C314"/>
      <c r="D314"/>
      <c r="E314"/>
      <c r="F314" s="2"/>
      <c r="G314"/>
    </row>
    <row r="315" spans="1:7" x14ac:dyDescent="0.25">
      <c r="A315"/>
      <c r="C315"/>
      <c r="D315"/>
      <c r="E315"/>
      <c r="F315" s="2"/>
      <c r="G315"/>
    </row>
    <row r="316" spans="1:7" x14ac:dyDescent="0.25">
      <c r="A316"/>
      <c r="C316"/>
      <c r="D316"/>
      <c r="E316"/>
      <c r="F316" s="2"/>
      <c r="G316"/>
    </row>
    <row r="317" spans="1:7" x14ac:dyDescent="0.25">
      <c r="A317"/>
      <c r="C317"/>
      <c r="D317"/>
      <c r="E317"/>
      <c r="F317" s="2"/>
      <c r="G317"/>
    </row>
    <row r="318" spans="1:7" x14ac:dyDescent="0.25">
      <c r="A318"/>
      <c r="C318"/>
      <c r="D318"/>
      <c r="E318"/>
      <c r="F318" s="2"/>
      <c r="G318"/>
    </row>
    <row r="319" spans="1:7" x14ac:dyDescent="0.25">
      <c r="A319"/>
      <c r="C319"/>
      <c r="D319"/>
      <c r="E319"/>
      <c r="F319" s="2"/>
      <c r="G319"/>
    </row>
    <row r="320" spans="1:7" x14ac:dyDescent="0.25">
      <c r="A320"/>
      <c r="C320"/>
      <c r="D320"/>
      <c r="E320"/>
      <c r="F320" s="2"/>
      <c r="G320"/>
    </row>
    <row r="321" spans="1:7" x14ac:dyDescent="0.25">
      <c r="A321"/>
      <c r="C321"/>
      <c r="D321"/>
      <c r="E321"/>
      <c r="F321" s="2"/>
      <c r="G321"/>
    </row>
    <row r="322" spans="1:7" x14ac:dyDescent="0.25">
      <c r="A322"/>
      <c r="C322"/>
      <c r="D322"/>
      <c r="E322"/>
      <c r="F322" s="2"/>
      <c r="G322"/>
    </row>
    <row r="323" spans="1:7" x14ac:dyDescent="0.25">
      <c r="A323"/>
      <c r="C323"/>
      <c r="D323"/>
      <c r="E323"/>
      <c r="F323" s="2"/>
      <c r="G323"/>
    </row>
    <row r="324" spans="1:7" x14ac:dyDescent="0.25">
      <c r="A324"/>
      <c r="C324"/>
      <c r="D324"/>
      <c r="E324"/>
      <c r="F324" s="2"/>
      <c r="G324"/>
    </row>
    <row r="325" spans="1:7" x14ac:dyDescent="0.25">
      <c r="A325"/>
      <c r="C325"/>
      <c r="D325"/>
      <c r="E325"/>
      <c r="F325" s="2"/>
      <c r="G325"/>
    </row>
    <row r="326" spans="1:7" x14ac:dyDescent="0.25">
      <c r="A326"/>
      <c r="C326"/>
      <c r="D326"/>
      <c r="E326"/>
      <c r="F326" s="2"/>
      <c r="G326"/>
    </row>
    <row r="327" spans="1:7" x14ac:dyDescent="0.25">
      <c r="A327"/>
      <c r="C327"/>
      <c r="D327"/>
      <c r="E327"/>
      <c r="F327" s="2"/>
      <c r="G327"/>
    </row>
    <row r="328" spans="1:7" x14ac:dyDescent="0.25">
      <c r="A328"/>
      <c r="C328"/>
      <c r="D328"/>
      <c r="E328"/>
      <c r="F328" s="2"/>
      <c r="G328"/>
    </row>
    <row r="329" spans="1:7" x14ac:dyDescent="0.25">
      <c r="A329"/>
      <c r="C329"/>
      <c r="D329"/>
      <c r="E329"/>
      <c r="F329" s="2"/>
      <c r="G329"/>
    </row>
    <row r="330" spans="1:7" x14ac:dyDescent="0.25">
      <c r="A330"/>
      <c r="C330"/>
      <c r="D330"/>
      <c r="E330"/>
      <c r="F330" s="2"/>
      <c r="G330"/>
    </row>
    <row r="331" spans="1:7" x14ac:dyDescent="0.25">
      <c r="A331"/>
      <c r="C331"/>
      <c r="D331"/>
      <c r="E331"/>
      <c r="F331" s="2"/>
      <c r="G331"/>
    </row>
    <row r="332" spans="1:7" x14ac:dyDescent="0.25">
      <c r="A332"/>
      <c r="C332"/>
      <c r="D332"/>
      <c r="E332"/>
      <c r="F332" s="2"/>
      <c r="G332"/>
    </row>
    <row r="333" spans="1:7" x14ac:dyDescent="0.25">
      <c r="A333"/>
      <c r="C333"/>
      <c r="D333"/>
      <c r="E333"/>
      <c r="F333" s="2"/>
      <c r="G333"/>
    </row>
    <row r="334" spans="1:7" x14ac:dyDescent="0.25">
      <c r="A334"/>
      <c r="C334"/>
      <c r="D334"/>
      <c r="E334"/>
      <c r="F334" s="2"/>
      <c r="G334"/>
    </row>
    <row r="335" spans="1:7" x14ac:dyDescent="0.25">
      <c r="A335"/>
      <c r="C335"/>
      <c r="D335"/>
      <c r="E335"/>
      <c r="F335" s="2"/>
      <c r="G335"/>
    </row>
    <row r="336" spans="1:7" x14ac:dyDescent="0.25">
      <c r="A336"/>
      <c r="C336"/>
      <c r="D336"/>
      <c r="E336"/>
      <c r="F336" s="2"/>
      <c r="G336"/>
    </row>
    <row r="337" spans="1:7" x14ac:dyDescent="0.25">
      <c r="A337"/>
      <c r="C337"/>
      <c r="D337"/>
      <c r="E337"/>
      <c r="F337" s="2"/>
      <c r="G337"/>
    </row>
    <row r="338" spans="1:7" x14ac:dyDescent="0.25">
      <c r="A338"/>
      <c r="C338"/>
      <c r="D338"/>
      <c r="E338"/>
      <c r="F338" s="2"/>
      <c r="G338"/>
    </row>
    <row r="339" spans="1:7" x14ac:dyDescent="0.25">
      <c r="A339"/>
      <c r="C339"/>
      <c r="D339"/>
      <c r="E339"/>
      <c r="F339" s="2"/>
      <c r="G339"/>
    </row>
    <row r="340" spans="1:7" x14ac:dyDescent="0.25">
      <c r="A340"/>
      <c r="C340"/>
      <c r="D340"/>
      <c r="E340"/>
      <c r="F340" s="2"/>
      <c r="G340"/>
    </row>
    <row r="341" spans="1:7" x14ac:dyDescent="0.25">
      <c r="A341"/>
      <c r="C341"/>
      <c r="D341"/>
      <c r="E341"/>
      <c r="F341" s="2"/>
      <c r="G341"/>
    </row>
    <row r="342" spans="1:7" x14ac:dyDescent="0.25">
      <c r="A342"/>
      <c r="C342"/>
      <c r="D342"/>
      <c r="E342"/>
      <c r="F342" s="2"/>
      <c r="G342"/>
    </row>
    <row r="343" spans="1:7" x14ac:dyDescent="0.25">
      <c r="A343"/>
      <c r="C343"/>
      <c r="D343"/>
      <c r="E343"/>
      <c r="F343" s="2"/>
      <c r="G343"/>
    </row>
    <row r="344" spans="1:7" x14ac:dyDescent="0.25">
      <c r="A344"/>
      <c r="C344"/>
      <c r="D344"/>
      <c r="E344"/>
      <c r="F344" s="2"/>
      <c r="G344"/>
    </row>
    <row r="345" spans="1:7" x14ac:dyDescent="0.25">
      <c r="A345"/>
      <c r="C345"/>
      <c r="D345"/>
      <c r="E345"/>
      <c r="F345" s="2"/>
      <c r="G345"/>
    </row>
    <row r="346" spans="1:7" x14ac:dyDescent="0.25">
      <c r="A346"/>
      <c r="C346"/>
      <c r="D346"/>
      <c r="E346"/>
      <c r="F346" s="2"/>
      <c r="G346"/>
    </row>
    <row r="347" spans="1:7" x14ac:dyDescent="0.25">
      <c r="A347"/>
      <c r="C347"/>
      <c r="D347"/>
      <c r="E347"/>
      <c r="F347" s="2"/>
      <c r="G347"/>
    </row>
    <row r="348" spans="1:7" x14ac:dyDescent="0.25">
      <c r="A348"/>
      <c r="C348"/>
      <c r="D348"/>
      <c r="E348"/>
      <c r="F348" s="2"/>
      <c r="G348"/>
    </row>
    <row r="349" spans="1:7" x14ac:dyDescent="0.25">
      <c r="A349"/>
      <c r="C349"/>
      <c r="D349"/>
      <c r="E349"/>
      <c r="F349" s="2"/>
      <c r="G349"/>
    </row>
    <row r="350" spans="1:7" x14ac:dyDescent="0.25">
      <c r="A350"/>
      <c r="C350"/>
      <c r="D350"/>
      <c r="E350"/>
      <c r="F350" s="2"/>
      <c r="G350"/>
    </row>
    <row r="351" spans="1:7" x14ac:dyDescent="0.25">
      <c r="A351"/>
      <c r="C351"/>
      <c r="D351"/>
      <c r="E351"/>
      <c r="F351" s="2"/>
      <c r="G351"/>
    </row>
    <row r="352" spans="1:7" x14ac:dyDescent="0.25">
      <c r="A352"/>
      <c r="C352"/>
      <c r="D352"/>
      <c r="E352"/>
      <c r="F352" s="2"/>
      <c r="G352"/>
    </row>
    <row r="353" spans="1:7" x14ac:dyDescent="0.25">
      <c r="A353"/>
      <c r="C353"/>
      <c r="D353"/>
      <c r="E353"/>
      <c r="F353" s="2"/>
      <c r="G353"/>
    </row>
    <row r="354" spans="1:7" x14ac:dyDescent="0.25">
      <c r="A354"/>
      <c r="C354"/>
      <c r="D354"/>
      <c r="E354"/>
      <c r="F354" s="2"/>
      <c r="G354"/>
    </row>
    <row r="355" spans="1:7" x14ac:dyDescent="0.25">
      <c r="A355"/>
      <c r="C355"/>
      <c r="D355"/>
      <c r="E355"/>
      <c r="F355" s="2"/>
      <c r="G355"/>
    </row>
    <row r="356" spans="1:7" x14ac:dyDescent="0.25">
      <c r="A356"/>
      <c r="C356"/>
      <c r="D356"/>
      <c r="E356"/>
      <c r="F356" s="2"/>
      <c r="G356"/>
    </row>
    <row r="357" spans="1:7" x14ac:dyDescent="0.25">
      <c r="A357"/>
      <c r="C357"/>
      <c r="D357"/>
      <c r="E357"/>
      <c r="F357" s="2"/>
      <c r="G357"/>
    </row>
    <row r="358" spans="1:7" x14ac:dyDescent="0.25">
      <c r="A358"/>
      <c r="C358"/>
      <c r="D358"/>
      <c r="E358"/>
      <c r="F358" s="2"/>
      <c r="G358"/>
    </row>
    <row r="359" spans="1:7" x14ac:dyDescent="0.25">
      <c r="A359"/>
      <c r="C359"/>
      <c r="D359"/>
      <c r="E359"/>
      <c r="F359" s="2"/>
      <c r="G359"/>
    </row>
    <row r="360" spans="1:7" x14ac:dyDescent="0.25">
      <c r="A360"/>
      <c r="C360"/>
      <c r="D360"/>
      <c r="E360"/>
      <c r="F360" s="2"/>
      <c r="G360"/>
    </row>
    <row r="361" spans="1:7" x14ac:dyDescent="0.25">
      <c r="A361"/>
      <c r="C361"/>
      <c r="D361"/>
      <c r="E361"/>
      <c r="F361" s="2"/>
      <c r="G361"/>
    </row>
    <row r="362" spans="1:7" x14ac:dyDescent="0.25">
      <c r="A362"/>
      <c r="C362"/>
      <c r="D362"/>
      <c r="E362"/>
      <c r="F362" s="2"/>
      <c r="G362"/>
    </row>
    <row r="363" spans="1:7" x14ac:dyDescent="0.25">
      <c r="A363"/>
      <c r="C363"/>
      <c r="D363"/>
      <c r="E363"/>
      <c r="F363" s="2"/>
      <c r="G363"/>
    </row>
    <row r="364" spans="1:7" x14ac:dyDescent="0.25">
      <c r="A364"/>
      <c r="C364"/>
      <c r="D364"/>
      <c r="E364"/>
      <c r="F364" s="2"/>
      <c r="G364"/>
    </row>
    <row r="365" spans="1:7" x14ac:dyDescent="0.25">
      <c r="A365"/>
      <c r="C365"/>
      <c r="D365"/>
      <c r="E365"/>
      <c r="F365" s="2"/>
      <c r="G365"/>
    </row>
    <row r="366" spans="1:7" x14ac:dyDescent="0.25">
      <c r="A366"/>
      <c r="C366"/>
      <c r="D366"/>
      <c r="E366"/>
      <c r="F366" s="2"/>
      <c r="G366"/>
    </row>
    <row r="367" spans="1:7" x14ac:dyDescent="0.25">
      <c r="A367"/>
      <c r="C367"/>
      <c r="D367"/>
      <c r="E367"/>
      <c r="F367" s="2"/>
      <c r="G367"/>
    </row>
    <row r="368" spans="1:7" x14ac:dyDescent="0.25">
      <c r="A368"/>
      <c r="C368"/>
      <c r="D368"/>
      <c r="E368"/>
      <c r="F368" s="2"/>
      <c r="G368"/>
    </row>
    <row r="369" spans="1:7" x14ac:dyDescent="0.25">
      <c r="A369"/>
      <c r="C369"/>
      <c r="D369"/>
      <c r="E369"/>
      <c r="F369" s="2"/>
      <c r="G369"/>
    </row>
    <row r="370" spans="1:7" x14ac:dyDescent="0.25">
      <c r="A370"/>
      <c r="C370"/>
      <c r="D370"/>
      <c r="E370"/>
      <c r="F370" s="2"/>
      <c r="G370"/>
    </row>
    <row r="371" spans="1:7" x14ac:dyDescent="0.25">
      <c r="A371"/>
      <c r="C371"/>
      <c r="D371"/>
      <c r="E371"/>
      <c r="F371" s="2"/>
      <c r="G371"/>
    </row>
    <row r="372" spans="1:7" x14ac:dyDescent="0.25">
      <c r="A372"/>
      <c r="C372"/>
      <c r="D372"/>
      <c r="E372"/>
      <c r="F372" s="2"/>
      <c r="G372"/>
    </row>
    <row r="373" spans="1:7" x14ac:dyDescent="0.25">
      <c r="A373"/>
      <c r="C373"/>
      <c r="D373"/>
      <c r="E373"/>
      <c r="F373" s="2"/>
      <c r="G373"/>
    </row>
    <row r="374" spans="1:7" x14ac:dyDescent="0.25">
      <c r="A374"/>
      <c r="C374"/>
      <c r="D374"/>
      <c r="E374"/>
      <c r="F374" s="2"/>
      <c r="G374"/>
    </row>
    <row r="375" spans="1:7" x14ac:dyDescent="0.25">
      <c r="A375"/>
      <c r="C375"/>
      <c r="D375"/>
      <c r="E375"/>
      <c r="F375" s="2"/>
      <c r="G375"/>
    </row>
    <row r="376" spans="1:7" x14ac:dyDescent="0.25">
      <c r="A376"/>
      <c r="C376"/>
      <c r="D376"/>
      <c r="E376"/>
      <c r="F376" s="2"/>
      <c r="G376"/>
    </row>
    <row r="377" spans="1:7" x14ac:dyDescent="0.25">
      <c r="A377"/>
      <c r="C377"/>
      <c r="D377"/>
      <c r="E377"/>
      <c r="F377" s="2"/>
      <c r="G377"/>
    </row>
    <row r="378" spans="1:7" x14ac:dyDescent="0.25">
      <c r="A378"/>
      <c r="C378"/>
      <c r="D378"/>
      <c r="E378"/>
      <c r="F378" s="2"/>
      <c r="G378"/>
    </row>
    <row r="379" spans="1:7" x14ac:dyDescent="0.25">
      <c r="A379"/>
      <c r="C379"/>
      <c r="D379"/>
      <c r="E379"/>
      <c r="F379" s="2"/>
      <c r="G379"/>
    </row>
    <row r="380" spans="1:7" x14ac:dyDescent="0.25">
      <c r="A380"/>
      <c r="C380"/>
      <c r="D380"/>
      <c r="E380"/>
      <c r="F380" s="2"/>
      <c r="G380"/>
    </row>
    <row r="381" spans="1:7" x14ac:dyDescent="0.25">
      <c r="A381"/>
      <c r="C381"/>
      <c r="D381"/>
      <c r="E381"/>
      <c r="F381" s="2"/>
      <c r="G381"/>
    </row>
    <row r="382" spans="1:7" x14ac:dyDescent="0.25">
      <c r="A382"/>
      <c r="C382"/>
      <c r="D382"/>
      <c r="E382"/>
      <c r="F382" s="2"/>
      <c r="G382"/>
    </row>
    <row r="383" spans="1:7" x14ac:dyDescent="0.25">
      <c r="A383"/>
      <c r="C383"/>
      <c r="D383"/>
      <c r="E383"/>
      <c r="F383" s="2"/>
      <c r="G383"/>
    </row>
    <row r="384" spans="1:7" x14ac:dyDescent="0.25">
      <c r="A384"/>
      <c r="C384"/>
      <c r="D384"/>
      <c r="E384"/>
      <c r="F384" s="2"/>
      <c r="G384"/>
    </row>
    <row r="385" spans="1:7" x14ac:dyDescent="0.25">
      <c r="A385"/>
      <c r="C385"/>
      <c r="D385"/>
      <c r="E385"/>
      <c r="F385" s="2"/>
      <c r="G385"/>
    </row>
    <row r="386" spans="1:7" x14ac:dyDescent="0.25">
      <c r="A386"/>
      <c r="C386"/>
      <c r="D386"/>
      <c r="E386"/>
      <c r="F386" s="2"/>
      <c r="G386"/>
    </row>
    <row r="387" spans="1:7" x14ac:dyDescent="0.25">
      <c r="A387"/>
      <c r="C387"/>
      <c r="D387"/>
      <c r="E387"/>
      <c r="F387" s="2"/>
      <c r="G387"/>
    </row>
    <row r="388" spans="1:7" x14ac:dyDescent="0.25">
      <c r="A388"/>
      <c r="C388"/>
      <c r="D388"/>
      <c r="E388"/>
      <c r="F388" s="2"/>
      <c r="G388"/>
    </row>
    <row r="389" spans="1:7" x14ac:dyDescent="0.25">
      <c r="A389"/>
      <c r="C389"/>
      <c r="D389"/>
      <c r="E389"/>
      <c r="F389" s="2"/>
      <c r="G389"/>
    </row>
    <row r="390" spans="1:7" x14ac:dyDescent="0.25">
      <c r="A390"/>
      <c r="C390"/>
      <c r="D390"/>
      <c r="E390"/>
      <c r="F390" s="2"/>
      <c r="G390"/>
    </row>
    <row r="391" spans="1:7" x14ac:dyDescent="0.25">
      <c r="A391"/>
      <c r="C391"/>
      <c r="D391"/>
      <c r="E391"/>
      <c r="F391" s="2"/>
      <c r="G391"/>
    </row>
    <row r="392" spans="1:7" x14ac:dyDescent="0.25">
      <c r="A392"/>
      <c r="C392"/>
      <c r="D392"/>
      <c r="E392"/>
      <c r="F392" s="2"/>
      <c r="G392"/>
    </row>
    <row r="393" spans="1:7" x14ac:dyDescent="0.25">
      <c r="A393"/>
      <c r="C393"/>
      <c r="D393"/>
      <c r="E393"/>
      <c r="F393" s="2"/>
      <c r="G393"/>
    </row>
    <row r="394" spans="1:7" x14ac:dyDescent="0.25">
      <c r="A394"/>
      <c r="C394"/>
      <c r="D394"/>
      <c r="E394"/>
      <c r="F394" s="2"/>
      <c r="G394"/>
    </row>
    <row r="395" spans="1:7" x14ac:dyDescent="0.25">
      <c r="A395"/>
      <c r="C395"/>
      <c r="D395"/>
      <c r="E395"/>
      <c r="F395" s="2"/>
      <c r="G395"/>
    </row>
    <row r="396" spans="1:7" x14ac:dyDescent="0.25">
      <c r="A396"/>
      <c r="C396"/>
      <c r="D396"/>
      <c r="E396"/>
      <c r="F396" s="2"/>
      <c r="G396"/>
    </row>
    <row r="397" spans="1:7" x14ac:dyDescent="0.25">
      <c r="A397"/>
      <c r="C397"/>
      <c r="D397"/>
      <c r="E397"/>
      <c r="F397" s="2"/>
      <c r="G397"/>
    </row>
    <row r="398" spans="1:7" x14ac:dyDescent="0.25">
      <c r="A398"/>
      <c r="C398"/>
      <c r="D398"/>
      <c r="E398"/>
      <c r="F398" s="2"/>
      <c r="G398"/>
    </row>
    <row r="399" spans="1:7" x14ac:dyDescent="0.25">
      <c r="A399"/>
      <c r="C399"/>
      <c r="D399"/>
      <c r="E399"/>
      <c r="F399" s="2"/>
      <c r="G399"/>
    </row>
    <row r="400" spans="1:7" x14ac:dyDescent="0.25">
      <c r="A400"/>
      <c r="C400"/>
      <c r="D400"/>
      <c r="E400"/>
      <c r="F400" s="2"/>
      <c r="G400"/>
    </row>
    <row r="401" spans="1:7" x14ac:dyDescent="0.25">
      <c r="A401"/>
      <c r="C401"/>
      <c r="D401"/>
      <c r="E401"/>
      <c r="F401" s="2"/>
      <c r="G401"/>
    </row>
    <row r="402" spans="1:7" x14ac:dyDescent="0.25">
      <c r="A402"/>
      <c r="C402"/>
      <c r="D402"/>
      <c r="E402"/>
      <c r="F402" s="2"/>
      <c r="G402"/>
    </row>
    <row r="403" spans="1:7" x14ac:dyDescent="0.25">
      <c r="A403"/>
      <c r="C403"/>
      <c r="D403"/>
      <c r="E403"/>
      <c r="F403" s="2"/>
      <c r="G403"/>
    </row>
    <row r="404" spans="1:7" x14ac:dyDescent="0.25">
      <c r="A404"/>
      <c r="C404"/>
      <c r="D404"/>
      <c r="E404"/>
      <c r="F404" s="2"/>
      <c r="G404"/>
    </row>
    <row r="405" spans="1:7" x14ac:dyDescent="0.25">
      <c r="A405"/>
      <c r="C405"/>
      <c r="D405"/>
      <c r="E405"/>
      <c r="F405" s="2"/>
      <c r="G405"/>
    </row>
    <row r="406" spans="1:7" x14ac:dyDescent="0.25">
      <c r="A406"/>
      <c r="C406"/>
      <c r="D406"/>
      <c r="E406"/>
      <c r="F406" s="2"/>
      <c r="G406"/>
    </row>
    <row r="407" spans="1:7" x14ac:dyDescent="0.25">
      <c r="A407"/>
      <c r="C407"/>
      <c r="D407"/>
      <c r="E407"/>
      <c r="F407" s="2"/>
      <c r="G407"/>
    </row>
    <row r="408" spans="1:7" x14ac:dyDescent="0.25">
      <c r="A408"/>
      <c r="C408"/>
      <c r="D408"/>
      <c r="E408"/>
      <c r="F408" s="2"/>
      <c r="G408"/>
    </row>
    <row r="409" spans="1:7" x14ac:dyDescent="0.25">
      <c r="A409"/>
      <c r="C409"/>
      <c r="D409"/>
      <c r="E409"/>
      <c r="F409" s="2"/>
      <c r="G409"/>
    </row>
    <row r="410" spans="1:7" x14ac:dyDescent="0.25">
      <c r="A410"/>
      <c r="C410"/>
      <c r="D410"/>
      <c r="E410"/>
      <c r="F410" s="2"/>
      <c r="G410"/>
    </row>
    <row r="411" spans="1:7" x14ac:dyDescent="0.25">
      <c r="A411"/>
      <c r="C411"/>
      <c r="D411"/>
      <c r="E411"/>
      <c r="F411" s="2"/>
      <c r="G411"/>
    </row>
    <row r="412" spans="1:7" x14ac:dyDescent="0.25">
      <c r="A412"/>
      <c r="C412"/>
      <c r="D412"/>
      <c r="E412"/>
      <c r="F412" s="2"/>
      <c r="G412"/>
    </row>
    <row r="413" spans="1:7" x14ac:dyDescent="0.25">
      <c r="A413"/>
      <c r="C413"/>
      <c r="D413"/>
      <c r="E413"/>
      <c r="F413" s="2"/>
      <c r="G413"/>
    </row>
    <row r="414" spans="1:7" x14ac:dyDescent="0.25">
      <c r="A414"/>
      <c r="C414"/>
      <c r="D414"/>
      <c r="E414"/>
      <c r="F414" s="2"/>
      <c r="G414"/>
    </row>
    <row r="415" spans="1:7" x14ac:dyDescent="0.25">
      <c r="A415"/>
      <c r="C415"/>
      <c r="D415"/>
      <c r="E415"/>
      <c r="F415" s="2"/>
      <c r="G415"/>
    </row>
    <row r="416" spans="1:7" x14ac:dyDescent="0.25">
      <c r="A416"/>
      <c r="C416"/>
      <c r="D416"/>
      <c r="E416"/>
      <c r="F416" s="2"/>
      <c r="G416"/>
    </row>
    <row r="417" spans="1:7" x14ac:dyDescent="0.25">
      <c r="A417"/>
      <c r="C417"/>
      <c r="D417"/>
      <c r="E417"/>
      <c r="F417" s="2"/>
      <c r="G417"/>
    </row>
    <row r="418" spans="1:7" x14ac:dyDescent="0.25">
      <c r="A418"/>
      <c r="C418"/>
      <c r="D418"/>
      <c r="E418"/>
      <c r="F418" s="2"/>
      <c r="G418"/>
    </row>
    <row r="419" spans="1:7" x14ac:dyDescent="0.25">
      <c r="A419"/>
      <c r="C419"/>
      <c r="D419"/>
      <c r="E419"/>
      <c r="F419" s="2"/>
      <c r="G419"/>
    </row>
    <row r="420" spans="1:7" x14ac:dyDescent="0.25">
      <c r="A420"/>
      <c r="C420"/>
      <c r="D420"/>
      <c r="E420"/>
      <c r="F420" s="2"/>
      <c r="G420"/>
    </row>
    <row r="421" spans="1:7" x14ac:dyDescent="0.25">
      <c r="A421"/>
      <c r="C421"/>
      <c r="D421"/>
      <c r="E421"/>
      <c r="F421" s="2"/>
      <c r="G421"/>
    </row>
    <row r="422" spans="1:7" x14ac:dyDescent="0.25">
      <c r="A422"/>
      <c r="C422"/>
      <c r="D422"/>
      <c r="E422"/>
      <c r="F422" s="2"/>
      <c r="G422"/>
    </row>
    <row r="423" spans="1:7" x14ac:dyDescent="0.25">
      <c r="A423"/>
      <c r="C423"/>
      <c r="D423"/>
      <c r="E423"/>
      <c r="F423" s="2"/>
      <c r="G423"/>
    </row>
    <row r="424" spans="1:7" x14ac:dyDescent="0.25">
      <c r="A424"/>
      <c r="C424"/>
      <c r="D424"/>
      <c r="E424"/>
      <c r="F424" s="2"/>
      <c r="G424"/>
    </row>
    <row r="425" spans="1:7" x14ac:dyDescent="0.25">
      <c r="A425"/>
      <c r="C425"/>
      <c r="D425"/>
      <c r="E425"/>
      <c r="F425" s="2"/>
      <c r="G425"/>
    </row>
    <row r="426" spans="1:7" x14ac:dyDescent="0.25">
      <c r="A426"/>
      <c r="C426"/>
      <c r="D426"/>
      <c r="E426"/>
      <c r="F426" s="2"/>
      <c r="G426"/>
    </row>
    <row r="427" spans="1:7" x14ac:dyDescent="0.25">
      <c r="A427"/>
      <c r="C427"/>
      <c r="D427"/>
      <c r="E427"/>
      <c r="F427" s="2"/>
      <c r="G427"/>
    </row>
    <row r="428" spans="1:7" x14ac:dyDescent="0.25">
      <c r="A428"/>
      <c r="C428"/>
      <c r="D428"/>
      <c r="E428"/>
      <c r="F428" s="2"/>
      <c r="G428"/>
    </row>
    <row r="429" spans="1:7" x14ac:dyDescent="0.25">
      <c r="A429"/>
      <c r="C429"/>
      <c r="D429"/>
      <c r="E429"/>
      <c r="F429" s="2"/>
      <c r="G429"/>
    </row>
    <row r="430" spans="1:7" x14ac:dyDescent="0.25">
      <c r="A430"/>
      <c r="C430"/>
      <c r="D430"/>
      <c r="E430"/>
      <c r="F430" s="2"/>
      <c r="G430"/>
    </row>
    <row r="431" spans="1:7" x14ac:dyDescent="0.25">
      <c r="A431"/>
      <c r="C431"/>
      <c r="D431"/>
      <c r="E431"/>
      <c r="F431" s="2"/>
      <c r="G431"/>
    </row>
    <row r="432" spans="1:7" x14ac:dyDescent="0.25">
      <c r="A432"/>
      <c r="C432"/>
      <c r="D432"/>
      <c r="E432"/>
      <c r="F432" s="2"/>
      <c r="G432"/>
    </row>
    <row r="433" spans="1:7" x14ac:dyDescent="0.25">
      <c r="A433"/>
      <c r="C433"/>
      <c r="D433"/>
      <c r="E433"/>
      <c r="F433" s="2"/>
      <c r="G433"/>
    </row>
    <row r="434" spans="1:7" x14ac:dyDescent="0.25">
      <c r="A434"/>
      <c r="C434"/>
      <c r="D434"/>
      <c r="E434"/>
      <c r="F434" s="2"/>
      <c r="G434"/>
    </row>
    <row r="435" spans="1:7" x14ac:dyDescent="0.25">
      <c r="A435"/>
      <c r="C435"/>
      <c r="D435"/>
      <c r="E435"/>
      <c r="F435" s="2"/>
      <c r="G435"/>
    </row>
    <row r="436" spans="1:7" x14ac:dyDescent="0.25">
      <c r="A436"/>
      <c r="C436"/>
      <c r="D436"/>
      <c r="E436"/>
      <c r="F436" s="2"/>
      <c r="G436"/>
    </row>
    <row r="437" spans="1:7" x14ac:dyDescent="0.25">
      <c r="A437"/>
      <c r="C437"/>
      <c r="D437"/>
      <c r="E437"/>
      <c r="F437" s="2"/>
      <c r="G437"/>
    </row>
    <row r="438" spans="1:7" x14ac:dyDescent="0.25">
      <c r="A438"/>
      <c r="C438"/>
      <c r="D438"/>
      <c r="E438"/>
      <c r="F438" s="2"/>
      <c r="G438"/>
    </row>
    <row r="439" spans="1:7" x14ac:dyDescent="0.25">
      <c r="A439"/>
      <c r="C439"/>
      <c r="D439"/>
      <c r="E439"/>
      <c r="F439" s="2"/>
      <c r="G439"/>
    </row>
    <row r="440" spans="1:7" x14ac:dyDescent="0.25">
      <c r="A440"/>
      <c r="C440"/>
      <c r="D440"/>
      <c r="E440"/>
      <c r="F440" s="2"/>
      <c r="G440"/>
    </row>
    <row r="441" spans="1:7" x14ac:dyDescent="0.25">
      <c r="A441"/>
      <c r="C441"/>
      <c r="D441"/>
      <c r="E441"/>
      <c r="F441" s="2"/>
      <c r="G441"/>
    </row>
    <row r="442" spans="1:7" x14ac:dyDescent="0.25">
      <c r="A442"/>
      <c r="C442"/>
      <c r="D442"/>
      <c r="E442"/>
      <c r="F442" s="2"/>
      <c r="G442"/>
    </row>
    <row r="443" spans="1:7" x14ac:dyDescent="0.25">
      <c r="A443"/>
      <c r="C443"/>
      <c r="D443"/>
      <c r="E443"/>
      <c r="F443" s="2"/>
      <c r="G443"/>
    </row>
    <row r="444" spans="1:7" x14ac:dyDescent="0.25">
      <c r="A444"/>
      <c r="C444"/>
      <c r="D444"/>
      <c r="E444"/>
      <c r="F444" s="2"/>
      <c r="G444"/>
    </row>
    <row r="445" spans="1:7" x14ac:dyDescent="0.25">
      <c r="A445"/>
      <c r="C445"/>
      <c r="D445"/>
      <c r="E445"/>
      <c r="F445" s="2"/>
      <c r="G445"/>
    </row>
    <row r="446" spans="1:7" x14ac:dyDescent="0.25">
      <c r="A446"/>
      <c r="C446"/>
      <c r="D446"/>
      <c r="E446"/>
      <c r="F446" s="2"/>
      <c r="G446"/>
    </row>
    <row r="447" spans="1:7" x14ac:dyDescent="0.25">
      <c r="A447"/>
      <c r="C447"/>
      <c r="D447"/>
      <c r="E447"/>
      <c r="F447" s="2"/>
      <c r="G447"/>
    </row>
    <row r="448" spans="1:7" x14ac:dyDescent="0.25">
      <c r="A448"/>
      <c r="C448"/>
      <c r="D448"/>
      <c r="E448"/>
      <c r="F448" s="2"/>
      <c r="G448"/>
    </row>
    <row r="449" spans="1:7" x14ac:dyDescent="0.25">
      <c r="A449"/>
      <c r="C449"/>
      <c r="D449"/>
      <c r="E449"/>
      <c r="F449" s="2"/>
      <c r="G449"/>
    </row>
    <row r="450" spans="1:7" x14ac:dyDescent="0.25">
      <c r="A450"/>
      <c r="C450"/>
      <c r="D450"/>
      <c r="E450"/>
      <c r="F450" s="2"/>
      <c r="G450"/>
    </row>
    <row r="451" spans="1:7" x14ac:dyDescent="0.25">
      <c r="A451"/>
      <c r="C451"/>
      <c r="D451"/>
      <c r="E451"/>
      <c r="F451" s="2"/>
      <c r="G451"/>
    </row>
    <row r="452" spans="1:7" x14ac:dyDescent="0.25">
      <c r="A452"/>
      <c r="C452"/>
      <c r="D452"/>
      <c r="E452"/>
      <c r="F452" s="2"/>
      <c r="G452"/>
    </row>
    <row r="453" spans="1:7" x14ac:dyDescent="0.25">
      <c r="A453"/>
      <c r="C453"/>
      <c r="D453"/>
      <c r="E453"/>
      <c r="F453" s="2"/>
      <c r="G453"/>
    </row>
    <row r="454" spans="1:7" x14ac:dyDescent="0.25">
      <c r="A454"/>
      <c r="C454"/>
      <c r="D454"/>
      <c r="E454"/>
      <c r="F454" s="2"/>
      <c r="G454"/>
    </row>
    <row r="455" spans="1:7" x14ac:dyDescent="0.25">
      <c r="A455"/>
      <c r="C455"/>
      <c r="D455"/>
      <c r="E455"/>
      <c r="F455" s="2"/>
      <c r="G455"/>
    </row>
    <row r="456" spans="1:7" x14ac:dyDescent="0.25">
      <c r="A456"/>
      <c r="C456"/>
      <c r="D456"/>
      <c r="E456"/>
      <c r="F456" s="2"/>
      <c r="G456"/>
    </row>
    <row r="457" spans="1:7" x14ac:dyDescent="0.25">
      <c r="A457"/>
      <c r="C457"/>
      <c r="D457"/>
      <c r="E457"/>
      <c r="F457" s="2"/>
      <c r="G457"/>
    </row>
    <row r="458" spans="1:7" x14ac:dyDescent="0.25">
      <c r="A458"/>
      <c r="C458"/>
      <c r="D458"/>
      <c r="E458"/>
      <c r="F458" s="2"/>
      <c r="G458"/>
    </row>
    <row r="459" spans="1:7" x14ac:dyDescent="0.25">
      <c r="A459"/>
      <c r="C459"/>
      <c r="D459"/>
      <c r="E459"/>
      <c r="F459" s="2"/>
      <c r="G459"/>
    </row>
    <row r="460" spans="1:7" x14ac:dyDescent="0.25">
      <c r="A460"/>
      <c r="C460"/>
      <c r="D460"/>
      <c r="E460"/>
      <c r="F460" s="2"/>
      <c r="G460"/>
    </row>
    <row r="461" spans="1:7" x14ac:dyDescent="0.25">
      <c r="A461"/>
      <c r="C461"/>
      <c r="D461"/>
      <c r="E461"/>
      <c r="F461" s="2"/>
      <c r="G461"/>
    </row>
    <row r="462" spans="1:7" x14ac:dyDescent="0.25">
      <c r="A462"/>
      <c r="C462"/>
      <c r="D462"/>
      <c r="E462"/>
      <c r="F462" s="2"/>
      <c r="G462"/>
    </row>
    <row r="463" spans="1:7" x14ac:dyDescent="0.25">
      <c r="A463"/>
      <c r="C463"/>
      <c r="D463"/>
      <c r="E463"/>
      <c r="F463" s="2"/>
      <c r="G463"/>
    </row>
    <row r="464" spans="1:7" x14ac:dyDescent="0.25">
      <c r="A464"/>
      <c r="C464"/>
      <c r="D464"/>
      <c r="E464"/>
      <c r="F464" s="2"/>
      <c r="G464"/>
    </row>
    <row r="465" spans="1:7" x14ac:dyDescent="0.25">
      <c r="A465"/>
      <c r="C465"/>
      <c r="D465"/>
      <c r="E465"/>
      <c r="F465" s="2"/>
      <c r="G465"/>
    </row>
    <row r="466" spans="1:7" x14ac:dyDescent="0.25">
      <c r="A466"/>
      <c r="C466"/>
      <c r="D466"/>
      <c r="E466"/>
      <c r="F466" s="2"/>
      <c r="G466"/>
    </row>
    <row r="467" spans="1:7" x14ac:dyDescent="0.25">
      <c r="A467"/>
      <c r="C467"/>
      <c r="D467"/>
      <c r="E467"/>
      <c r="F467" s="2"/>
      <c r="G467"/>
    </row>
    <row r="468" spans="1:7" x14ac:dyDescent="0.25">
      <c r="A468"/>
      <c r="C468"/>
      <c r="D468"/>
      <c r="E468"/>
      <c r="F468" s="2"/>
      <c r="G468"/>
    </row>
    <row r="469" spans="1:7" x14ac:dyDescent="0.25">
      <c r="A469"/>
      <c r="C469"/>
      <c r="D469"/>
      <c r="E469"/>
      <c r="F469" s="2"/>
      <c r="G469"/>
    </row>
    <row r="470" spans="1:7" x14ac:dyDescent="0.25">
      <c r="A470"/>
      <c r="C470"/>
      <c r="D470"/>
      <c r="E470"/>
      <c r="F470" s="2"/>
      <c r="G470"/>
    </row>
    <row r="471" spans="1:7" x14ac:dyDescent="0.25">
      <c r="A471"/>
      <c r="C471"/>
      <c r="D471"/>
      <c r="E471"/>
      <c r="F471" s="2"/>
      <c r="G471"/>
    </row>
    <row r="472" spans="1:7" x14ac:dyDescent="0.25">
      <c r="A472"/>
      <c r="C472"/>
      <c r="D472"/>
      <c r="E472"/>
      <c r="F472" s="2"/>
      <c r="G472"/>
    </row>
    <row r="473" spans="1:7" x14ac:dyDescent="0.25">
      <c r="A473"/>
      <c r="C473"/>
      <c r="D473"/>
      <c r="E473"/>
      <c r="F473" s="2"/>
      <c r="G473"/>
    </row>
    <row r="474" spans="1:7" x14ac:dyDescent="0.25">
      <c r="A474"/>
      <c r="C474"/>
      <c r="D474"/>
      <c r="E474"/>
      <c r="F474" s="2"/>
      <c r="G474"/>
    </row>
    <row r="475" spans="1:7" x14ac:dyDescent="0.25">
      <c r="A475"/>
      <c r="C475"/>
      <c r="D475"/>
      <c r="E475"/>
      <c r="F475" s="2"/>
      <c r="G475"/>
    </row>
    <row r="476" spans="1:7" x14ac:dyDescent="0.25">
      <c r="A476"/>
      <c r="C476"/>
      <c r="D476"/>
      <c r="E476"/>
      <c r="F476" s="2"/>
      <c r="G476"/>
    </row>
    <row r="477" spans="1:7" x14ac:dyDescent="0.25">
      <c r="A477"/>
      <c r="C477"/>
      <c r="D477"/>
      <c r="E477"/>
      <c r="F477" s="2"/>
      <c r="G477"/>
    </row>
    <row r="478" spans="1:7" x14ac:dyDescent="0.25">
      <c r="A478"/>
      <c r="C478"/>
      <c r="D478"/>
      <c r="E478"/>
      <c r="F478" s="2"/>
      <c r="G478"/>
    </row>
    <row r="479" spans="1:7" x14ac:dyDescent="0.25">
      <c r="A479"/>
      <c r="C479"/>
      <c r="D479"/>
      <c r="E479"/>
      <c r="F479" s="2"/>
      <c r="G479"/>
    </row>
    <row r="480" spans="1:7" x14ac:dyDescent="0.25">
      <c r="A480"/>
      <c r="C480"/>
      <c r="D480"/>
      <c r="E480"/>
      <c r="F480" s="2"/>
      <c r="G480"/>
    </row>
    <row r="481" spans="1:7" x14ac:dyDescent="0.25">
      <c r="A481"/>
      <c r="C481"/>
      <c r="D481"/>
      <c r="E481"/>
      <c r="F481" s="2"/>
      <c r="G481"/>
    </row>
    <row r="482" spans="1:7" x14ac:dyDescent="0.25">
      <c r="A482"/>
      <c r="C482"/>
      <c r="D482"/>
      <c r="E482"/>
      <c r="F482" s="2"/>
      <c r="G482"/>
    </row>
    <row r="483" spans="1:7" x14ac:dyDescent="0.25">
      <c r="A483"/>
      <c r="C483"/>
      <c r="D483"/>
      <c r="E483"/>
      <c r="F483" s="2"/>
      <c r="G483"/>
    </row>
    <row r="484" spans="1:7" x14ac:dyDescent="0.25">
      <c r="A484"/>
      <c r="C484"/>
      <c r="D484"/>
      <c r="E484"/>
      <c r="F484" s="2"/>
      <c r="G484"/>
    </row>
    <row r="485" spans="1:7" x14ac:dyDescent="0.25">
      <c r="A485"/>
      <c r="C485"/>
      <c r="D485"/>
      <c r="E485"/>
      <c r="F485" s="2"/>
      <c r="G485"/>
    </row>
    <row r="486" spans="1:7" x14ac:dyDescent="0.25">
      <c r="A486"/>
      <c r="C486"/>
      <c r="D486"/>
      <c r="E486"/>
      <c r="F486" s="2"/>
      <c r="G486"/>
    </row>
    <row r="487" spans="1:7" x14ac:dyDescent="0.25">
      <c r="A487"/>
      <c r="C487"/>
      <c r="D487"/>
      <c r="E487"/>
      <c r="F487" s="2"/>
      <c r="G487"/>
    </row>
    <row r="488" spans="1:7" x14ac:dyDescent="0.25">
      <c r="A488"/>
      <c r="C488"/>
      <c r="D488"/>
      <c r="E488"/>
      <c r="F488" s="2"/>
      <c r="G488"/>
    </row>
    <row r="489" spans="1:7" x14ac:dyDescent="0.25">
      <c r="A489"/>
      <c r="C489"/>
      <c r="D489"/>
      <c r="E489"/>
      <c r="F489" s="2"/>
      <c r="G489"/>
    </row>
    <row r="490" spans="1:7" x14ac:dyDescent="0.25">
      <c r="A490"/>
      <c r="C490"/>
      <c r="D490"/>
      <c r="E490"/>
      <c r="F490" s="2"/>
      <c r="G490"/>
    </row>
    <row r="491" spans="1:7" x14ac:dyDescent="0.25">
      <c r="A491"/>
      <c r="C491"/>
      <c r="D491"/>
      <c r="E491"/>
      <c r="F491" s="2"/>
      <c r="G491"/>
    </row>
    <row r="492" spans="1:7" x14ac:dyDescent="0.25">
      <c r="A492"/>
      <c r="C492"/>
      <c r="D492"/>
      <c r="E492"/>
      <c r="F492" s="2"/>
      <c r="G492"/>
    </row>
    <row r="493" spans="1:7" x14ac:dyDescent="0.25">
      <c r="A493"/>
      <c r="C493"/>
      <c r="D493"/>
      <c r="E493"/>
      <c r="F493" s="2"/>
      <c r="G493"/>
    </row>
    <row r="494" spans="1:7" x14ac:dyDescent="0.25">
      <c r="A494"/>
      <c r="C494"/>
      <c r="D494"/>
      <c r="E494"/>
      <c r="F494" s="2"/>
      <c r="G494"/>
    </row>
    <row r="495" spans="1:7" x14ac:dyDescent="0.25">
      <c r="A495"/>
      <c r="C495"/>
      <c r="D495"/>
      <c r="E495"/>
      <c r="F495" s="2"/>
      <c r="G495"/>
    </row>
    <row r="496" spans="1:7" x14ac:dyDescent="0.25">
      <c r="A496"/>
      <c r="C496"/>
      <c r="D496"/>
      <c r="E496"/>
      <c r="F496" s="2"/>
      <c r="G496"/>
    </row>
    <row r="497" spans="1:7" x14ac:dyDescent="0.25">
      <c r="A497"/>
      <c r="C497"/>
      <c r="D497"/>
      <c r="E497"/>
      <c r="F497" s="2"/>
      <c r="G497"/>
    </row>
    <row r="498" spans="1:7" x14ac:dyDescent="0.25">
      <c r="A498"/>
      <c r="C498"/>
      <c r="D498"/>
      <c r="E498"/>
      <c r="F498" s="2"/>
      <c r="G498"/>
    </row>
    <row r="499" spans="1:7" x14ac:dyDescent="0.25">
      <c r="A499"/>
      <c r="C499"/>
      <c r="D499"/>
      <c r="E499"/>
      <c r="F499" s="2"/>
      <c r="G499"/>
    </row>
    <row r="500" spans="1:7" x14ac:dyDescent="0.25">
      <c r="A500"/>
      <c r="C500"/>
      <c r="D500"/>
      <c r="E500"/>
      <c r="F500" s="2"/>
      <c r="G500"/>
    </row>
    <row r="501" spans="1:7" x14ac:dyDescent="0.25">
      <c r="A501"/>
      <c r="C501"/>
      <c r="D501"/>
      <c r="E501"/>
      <c r="F501" s="2"/>
      <c r="G501"/>
    </row>
    <row r="502" spans="1:7" x14ac:dyDescent="0.25">
      <c r="A502"/>
      <c r="C502"/>
      <c r="D502"/>
      <c r="E502"/>
      <c r="F502" s="2"/>
      <c r="G502"/>
    </row>
    <row r="503" spans="1:7" x14ac:dyDescent="0.25">
      <c r="A503"/>
      <c r="C503"/>
      <c r="D503"/>
      <c r="E503"/>
      <c r="F503" s="2"/>
      <c r="G503"/>
    </row>
    <row r="504" spans="1:7" x14ac:dyDescent="0.25">
      <c r="A504"/>
      <c r="C504"/>
      <c r="D504"/>
      <c r="E504"/>
      <c r="F504" s="2"/>
      <c r="G504"/>
    </row>
    <row r="505" spans="1:7" x14ac:dyDescent="0.25">
      <c r="A505"/>
      <c r="C505"/>
      <c r="D505"/>
      <c r="E505"/>
      <c r="F505" s="2"/>
      <c r="G505"/>
    </row>
    <row r="506" spans="1:7" x14ac:dyDescent="0.25">
      <c r="A506"/>
      <c r="C506"/>
      <c r="D506"/>
      <c r="E506"/>
      <c r="F506" s="2"/>
      <c r="G506"/>
    </row>
    <row r="507" spans="1:7" x14ac:dyDescent="0.25">
      <c r="A507"/>
      <c r="C507"/>
      <c r="D507"/>
      <c r="E507"/>
      <c r="F507" s="2"/>
      <c r="G507"/>
    </row>
    <row r="508" spans="1:7" x14ac:dyDescent="0.25">
      <c r="A508"/>
      <c r="C508"/>
      <c r="D508"/>
      <c r="E508"/>
      <c r="F508" s="2"/>
      <c r="G508"/>
    </row>
    <row r="509" spans="1:7" x14ac:dyDescent="0.25">
      <c r="A509"/>
      <c r="C509"/>
      <c r="D509"/>
      <c r="E509"/>
      <c r="F509" s="2"/>
      <c r="G509"/>
    </row>
    <row r="510" spans="1:7" x14ac:dyDescent="0.25">
      <c r="A510"/>
      <c r="C510"/>
      <c r="D510"/>
      <c r="E510"/>
      <c r="F510" s="2"/>
      <c r="G510"/>
    </row>
    <row r="511" spans="1:7" x14ac:dyDescent="0.25">
      <c r="A511"/>
      <c r="C511"/>
      <c r="D511"/>
      <c r="E511"/>
      <c r="F511" s="2"/>
      <c r="G511"/>
    </row>
    <row r="512" spans="1:7" x14ac:dyDescent="0.25">
      <c r="A512"/>
      <c r="C512"/>
      <c r="D512"/>
      <c r="E512"/>
      <c r="F512" s="2"/>
      <c r="G512"/>
    </row>
    <row r="513" spans="1:7" x14ac:dyDescent="0.25">
      <c r="A513"/>
      <c r="C513"/>
      <c r="D513"/>
      <c r="E513"/>
      <c r="F513" s="2"/>
      <c r="G513"/>
    </row>
    <row r="514" spans="1:7" x14ac:dyDescent="0.25">
      <c r="A514"/>
      <c r="C514"/>
      <c r="D514"/>
      <c r="E514"/>
      <c r="F514" s="2"/>
      <c r="G514"/>
    </row>
    <row r="515" spans="1:7" x14ac:dyDescent="0.25">
      <c r="A515"/>
      <c r="C515"/>
      <c r="D515"/>
      <c r="E515"/>
      <c r="F515" s="2"/>
      <c r="G515"/>
    </row>
    <row r="516" spans="1:7" x14ac:dyDescent="0.25">
      <c r="A516"/>
      <c r="C516"/>
      <c r="D516"/>
      <c r="E516"/>
      <c r="F516" s="2"/>
      <c r="G516"/>
    </row>
    <row r="517" spans="1:7" x14ac:dyDescent="0.25">
      <c r="A517"/>
      <c r="C517"/>
      <c r="D517"/>
      <c r="E517"/>
      <c r="F517" s="2"/>
      <c r="G517"/>
    </row>
    <row r="518" spans="1:7" x14ac:dyDescent="0.25">
      <c r="A518"/>
      <c r="C518"/>
      <c r="D518"/>
      <c r="E518"/>
      <c r="F518" s="2"/>
      <c r="G518"/>
    </row>
    <row r="519" spans="1:7" x14ac:dyDescent="0.25">
      <c r="A519"/>
      <c r="C519"/>
      <c r="D519"/>
      <c r="E519"/>
      <c r="F519" s="2"/>
      <c r="G519"/>
    </row>
    <row r="520" spans="1:7" x14ac:dyDescent="0.25">
      <c r="A520"/>
      <c r="C520"/>
      <c r="D520"/>
      <c r="E520"/>
      <c r="F520" s="2"/>
      <c r="G520"/>
    </row>
    <row r="521" spans="1:7" x14ac:dyDescent="0.25">
      <c r="A521"/>
      <c r="C521"/>
      <c r="D521"/>
      <c r="E521"/>
      <c r="F521" s="2"/>
      <c r="G521"/>
    </row>
    <row r="522" spans="1:7" x14ac:dyDescent="0.25">
      <c r="A522"/>
      <c r="C522"/>
      <c r="D522"/>
      <c r="E522"/>
      <c r="F522" s="2"/>
      <c r="G522"/>
    </row>
    <row r="523" spans="1:7" x14ac:dyDescent="0.25">
      <c r="A523"/>
      <c r="C523"/>
      <c r="D523"/>
      <c r="E523"/>
      <c r="F523" s="2"/>
      <c r="G523"/>
    </row>
    <row r="524" spans="1:7" x14ac:dyDescent="0.25">
      <c r="A524"/>
      <c r="C524"/>
      <c r="D524"/>
      <c r="E524"/>
      <c r="F524" s="2"/>
      <c r="G524"/>
    </row>
    <row r="525" spans="1:7" x14ac:dyDescent="0.25">
      <c r="A525"/>
      <c r="C525"/>
      <c r="D525"/>
      <c r="E525"/>
      <c r="F525" s="2"/>
      <c r="G525"/>
    </row>
    <row r="526" spans="1:7" x14ac:dyDescent="0.25">
      <c r="A526"/>
      <c r="C526"/>
      <c r="D526"/>
      <c r="E526"/>
      <c r="F526" s="2"/>
      <c r="G526"/>
    </row>
    <row r="527" spans="1:7" x14ac:dyDescent="0.25">
      <c r="A527"/>
      <c r="C527"/>
      <c r="D527"/>
      <c r="E527"/>
      <c r="F527" s="2"/>
      <c r="G527"/>
    </row>
    <row r="528" spans="1:7" x14ac:dyDescent="0.25">
      <c r="A528"/>
      <c r="C528"/>
      <c r="D528"/>
      <c r="E528"/>
      <c r="F528" s="2"/>
      <c r="G528"/>
    </row>
    <row r="529" spans="1:7" x14ac:dyDescent="0.25">
      <c r="A529"/>
      <c r="C529"/>
      <c r="D529"/>
      <c r="E529"/>
      <c r="F529" s="2"/>
      <c r="G529"/>
    </row>
  </sheetData>
  <phoneticPr fontId="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F529"/>
  <sheetViews>
    <sheetView topLeftCell="A221" workbookViewId="0">
      <selection activeCell="A238" sqref="A238"/>
    </sheetView>
  </sheetViews>
  <sheetFormatPr defaultColWidth="18.85546875" defaultRowHeight="15" x14ac:dyDescent="0.25"/>
  <cols>
    <col min="2" max="2" width="16" bestFit="1" customWidth="1"/>
    <col min="4" max="4" width="14.7109375" bestFit="1" customWidth="1"/>
    <col min="5" max="5" width="13.42578125" bestFit="1" customWidth="1"/>
    <col min="6" max="6" width="9.28515625" bestFit="1" customWidth="1"/>
  </cols>
  <sheetData>
    <row r="2" spans="1:6" x14ac:dyDescent="0.25">
      <c r="A2" s="4" t="s">
        <v>0</v>
      </c>
    </row>
    <row r="3" spans="1:6" x14ac:dyDescent="0.25">
      <c r="A3" s="5" t="s">
        <v>39</v>
      </c>
    </row>
    <row r="4" spans="1:6" x14ac:dyDescent="0.25">
      <c r="A4" s="5" t="s">
        <v>40</v>
      </c>
    </row>
    <row r="5" spans="1:6" x14ac:dyDescent="0.25">
      <c r="A5" s="5" t="s">
        <v>41</v>
      </c>
    </row>
    <row r="6" spans="1:6" x14ac:dyDescent="0.25">
      <c r="A6" s="5" t="s">
        <v>42</v>
      </c>
    </row>
    <row r="8" spans="1:6" x14ac:dyDescent="0.25">
      <c r="A8" s="3" t="str">
        <f>Streaming_Stock_Watch!A8</f>
        <v>Scrip Name</v>
      </c>
      <c r="B8" s="3" t="str">
        <f>Streaming_Stock_Watch!B8</f>
        <v>Last Traded Time</v>
      </c>
      <c r="C8" s="3" t="str">
        <f>Streaming_Stock_Watch!C8</f>
        <v>Current</v>
      </c>
      <c r="D8" s="3" t="str">
        <f>Streaming_Stock_Watch!D8</f>
        <v>Last Traded Qty</v>
      </c>
      <c r="E8" s="3" t="str">
        <f>Streaming_Stock_Watch!E8</f>
        <v>Open Interest</v>
      </c>
      <c r="F8" s="3" t="str">
        <f>Streaming_Stock_Watch!F8</f>
        <v>Exchange</v>
      </c>
    </row>
    <row r="9" spans="1:6" x14ac:dyDescent="0.25">
      <c r="A9" s="2" t="str">
        <f>Streaming_Stock_Watch!A9</f>
        <v>ASIANPAINT</v>
      </c>
      <c r="B9" s="2" t="str">
        <f>Streaming_Stock_Watch!B9</f>
        <v>03:57:37 PM</v>
      </c>
      <c r="C9" s="2" t="str">
        <f>Streaming_Stock_Watch!C9</f>
        <v>3201.35</v>
      </c>
      <c r="D9" s="2" t="str">
        <f>Streaming_Stock_Watch!D9</f>
        <v>2283290</v>
      </c>
      <c r="E9" s="14">
        <f>Streaming_Stock_Watch!E9</f>
        <v>0</v>
      </c>
      <c r="F9" s="2" t="s">
        <v>2</v>
      </c>
    </row>
    <row r="10" spans="1:6" x14ac:dyDescent="0.25">
      <c r="A10" s="2" t="str">
        <f>Streaming_Stock_Watch!A10</f>
        <v>BRITANNIA</v>
      </c>
      <c r="B10" s="2" t="str">
        <f>Streaming_Stock_Watch!B10</f>
        <v>03:48:09 PM</v>
      </c>
      <c r="C10" s="2" t="str">
        <f>Streaming_Stock_Watch!C10</f>
        <v>3997.50</v>
      </c>
      <c r="D10" s="2" t="str">
        <f>Streaming_Stock_Watch!D10</f>
        <v>688613</v>
      </c>
      <c r="E10" s="14">
        <f>Streaming_Stock_Watch!E10</f>
        <v>0</v>
      </c>
      <c r="F10" s="2" t="s">
        <v>2</v>
      </c>
    </row>
    <row r="11" spans="1:6" x14ac:dyDescent="0.25">
      <c r="A11" s="2" t="str">
        <f>Streaming_Stock_Watch!A11</f>
        <v>CIPLA</v>
      </c>
      <c r="B11" s="2" t="str">
        <f>Streaming_Stock_Watch!B11</f>
        <v>03:54:25 PM</v>
      </c>
      <c r="C11" s="2" t="str">
        <f>Streaming_Stock_Watch!C11</f>
        <v>947.80</v>
      </c>
      <c r="D11" s="2" t="str">
        <f>Streaming_Stock_Watch!D11</f>
        <v>2463088</v>
      </c>
      <c r="E11" s="14">
        <f>Streaming_Stock_Watch!E11</f>
        <v>0</v>
      </c>
      <c r="F11" s="2" t="s">
        <v>2</v>
      </c>
    </row>
    <row r="12" spans="1:6" x14ac:dyDescent="0.25">
      <c r="A12" s="2" t="str">
        <f>Streaming_Stock_Watch!A12</f>
        <v>EICHERMOT</v>
      </c>
      <c r="B12" s="2" t="str">
        <f>Streaming_Stock_Watch!B12</f>
        <v>03:58:45 PM</v>
      </c>
      <c r="C12" s="2" t="str">
        <f>Streaming_Stock_Watch!C12</f>
        <v>2679.25</v>
      </c>
      <c r="D12" s="2" t="str">
        <f>Streaming_Stock_Watch!D12</f>
        <v>2381821</v>
      </c>
      <c r="E12" s="14">
        <f>Streaming_Stock_Watch!E12</f>
        <v>0</v>
      </c>
      <c r="F12" s="2" t="s">
        <v>2</v>
      </c>
    </row>
    <row r="13" spans="1:6" x14ac:dyDescent="0.25">
      <c r="A13" s="2" t="str">
        <f>Streaming_Stock_Watch!A13</f>
        <v>NESTLEIND</v>
      </c>
      <c r="B13" s="2" t="str">
        <f>Streaming_Stock_Watch!B13</f>
        <v>03:45:35 PM</v>
      </c>
      <c r="C13" s="2" t="str">
        <f>Streaming_Stock_Watch!C13</f>
        <v>19467.75</v>
      </c>
      <c r="D13" s="2" t="str">
        <f>Streaming_Stock_Watch!D13</f>
        <v>227370</v>
      </c>
      <c r="E13" s="14">
        <f>Streaming_Stock_Watch!E13</f>
        <v>0</v>
      </c>
      <c r="F13" s="2" t="s">
        <v>2</v>
      </c>
    </row>
    <row r="14" spans="1:6" x14ac:dyDescent="0.25">
      <c r="A14" s="2" t="str">
        <f>Streaming_Stock_Watch!A14</f>
        <v>GRASIM</v>
      </c>
      <c r="B14" s="2" t="str">
        <f>Streaming_Stock_Watch!B14</f>
        <v>03:56:52 PM</v>
      </c>
      <c r="C14" s="2" t="str">
        <f>Streaming_Stock_Watch!C14</f>
        <v>1500.40</v>
      </c>
      <c r="D14" s="2" t="str">
        <f>Streaming_Stock_Watch!D14</f>
        <v>1656264</v>
      </c>
      <c r="E14" s="14">
        <f>Streaming_Stock_Watch!E14</f>
        <v>0</v>
      </c>
      <c r="F14" s="2" t="s">
        <v>2</v>
      </c>
    </row>
    <row r="15" spans="1:6" x14ac:dyDescent="0.25">
      <c r="A15" s="2" t="str">
        <f>Streaming_Stock_Watch!A15</f>
        <v>HDFC</v>
      </c>
      <c r="B15" s="2" t="str">
        <f>Streaming_Stock_Watch!B15</f>
        <v>03:57:19 PM</v>
      </c>
      <c r="C15" s="2" t="str">
        <f>Streaming_Stock_Watch!C15</f>
        <v>2798.50</v>
      </c>
      <c r="D15" s="2" t="str">
        <f>Streaming_Stock_Watch!D15</f>
        <v>4933523</v>
      </c>
      <c r="E15" s="14">
        <f>Streaming_Stock_Watch!E15</f>
        <v>0</v>
      </c>
      <c r="F15" s="2" t="s">
        <v>2</v>
      </c>
    </row>
    <row r="16" spans="1:6" x14ac:dyDescent="0.25">
      <c r="A16" s="2" t="str">
        <f>Streaming_Stock_Watch!A16</f>
        <v>HEROMOTOCO</v>
      </c>
      <c r="B16" s="2" t="str">
        <f>Streaming_Stock_Watch!B16</f>
        <v>03:58:27 PM</v>
      </c>
      <c r="C16" s="2" t="str">
        <f>Streaming_Stock_Watch!C16</f>
        <v>2741.85</v>
      </c>
      <c r="D16" s="2" t="str">
        <f>Streaming_Stock_Watch!D16</f>
        <v>708031</v>
      </c>
      <c r="E16" s="14">
        <f>Streaming_Stock_Watch!E16</f>
        <v>0</v>
      </c>
      <c r="F16" s="2" t="s">
        <v>2</v>
      </c>
    </row>
    <row r="17" spans="1:6" x14ac:dyDescent="0.25">
      <c r="A17" s="2" t="str">
        <f>Streaming_Stock_Watch!A17</f>
        <v>HINDALCO</v>
      </c>
      <c r="B17" s="2" t="str">
        <f>Streaming_Stock_Watch!B17</f>
        <v>03:58:50 PM</v>
      </c>
      <c r="C17" s="2" t="str">
        <f>Streaming_Stock_Watch!C17</f>
        <v>468.30</v>
      </c>
      <c r="D17" s="2" t="str">
        <f>Streaming_Stock_Watch!D17</f>
        <v>20847646</v>
      </c>
      <c r="E17" s="14">
        <f>Streaming_Stock_Watch!E17</f>
        <v>0</v>
      </c>
      <c r="F17" s="2" t="s">
        <v>2</v>
      </c>
    </row>
    <row r="18" spans="1:6" x14ac:dyDescent="0.25">
      <c r="A18" s="2" t="str">
        <f>Streaming_Stock_Watch!A18</f>
        <v>HINDUNILVR</v>
      </c>
      <c r="B18" s="2" t="str">
        <f>Streaming_Stock_Watch!B18</f>
        <v>03:59:41 PM</v>
      </c>
      <c r="C18" s="2" t="str">
        <f>Streaming_Stock_Watch!C18</f>
        <v>2724.10</v>
      </c>
      <c r="D18" s="2" t="str">
        <f>Streaming_Stock_Watch!D18</f>
        <v>2535891</v>
      </c>
      <c r="E18" s="14">
        <f>Streaming_Stock_Watch!E18</f>
        <v>0</v>
      </c>
      <c r="F18" s="2" t="s">
        <v>2</v>
      </c>
    </row>
    <row r="19" spans="1:6" x14ac:dyDescent="0.25">
      <c r="A19" s="2" t="str">
        <f>Streaming_Stock_Watch!A19</f>
        <v>ITC</v>
      </c>
      <c r="B19" s="2" t="str">
        <f>Streaming_Stock_Watch!B19</f>
        <v>03:59:54 PM</v>
      </c>
      <c r="C19" s="2" t="str">
        <f>Streaming_Stock_Watch!C19</f>
        <v>211.30</v>
      </c>
      <c r="D19" s="2" t="str">
        <f>Streaming_Stock_Watch!D19</f>
        <v>25808430</v>
      </c>
      <c r="E19" s="14">
        <f>Streaming_Stock_Watch!E19</f>
        <v>0</v>
      </c>
      <c r="F19" s="2" t="s">
        <v>2</v>
      </c>
    </row>
    <row r="20" spans="1:6" x14ac:dyDescent="0.25">
      <c r="A20" s="2" t="str">
        <f>Streaming_Stock_Watch!A20</f>
        <v>LT</v>
      </c>
      <c r="B20" s="2" t="str">
        <f>Streaming_Stock_Watch!B20</f>
        <v>03:59:24 PM</v>
      </c>
      <c r="C20" s="2" t="str">
        <f>Streaming_Stock_Watch!C20</f>
        <v>1672.20</v>
      </c>
      <c r="D20" s="2" t="str">
        <f>Streaming_Stock_Watch!D20</f>
        <v>3264644</v>
      </c>
      <c r="E20" s="14">
        <f>Streaming_Stock_Watch!E20</f>
        <v>0</v>
      </c>
      <c r="F20" s="2" t="s">
        <v>2</v>
      </c>
    </row>
    <row r="21" spans="1:6" x14ac:dyDescent="0.25">
      <c r="A21" s="2" t="str">
        <f>Streaming_Stock_Watch!A21</f>
        <v>M_M</v>
      </c>
      <c r="B21" s="2" t="str">
        <f>Streaming_Stock_Watch!B21</f>
        <v>03:59:52 PM</v>
      </c>
      <c r="C21" s="2" t="str">
        <f>Streaming_Stock_Watch!C21</f>
        <v>793.30</v>
      </c>
      <c r="D21" s="2" t="str">
        <f>Streaming_Stock_Watch!D21</f>
        <v>3324467</v>
      </c>
      <c r="E21" s="14">
        <f>Streaming_Stock_Watch!E21</f>
        <v>0</v>
      </c>
      <c r="F21" s="2" t="s">
        <v>2</v>
      </c>
    </row>
    <row r="22" spans="1:6" x14ac:dyDescent="0.25">
      <c r="A22" s="2" t="str">
        <f>Streaming_Stock_Watch!A22</f>
        <v>RELIANCE</v>
      </c>
      <c r="B22" s="2" t="str">
        <f>Streaming_Stock_Watch!B22</f>
        <v>03:59:57 PM</v>
      </c>
      <c r="C22" s="2" t="str">
        <f>Streaming_Stock_Watch!C22</f>
        <v>2258.15</v>
      </c>
      <c r="D22" s="2" t="str">
        <f>Streaming_Stock_Watch!D22</f>
        <v>12223037</v>
      </c>
      <c r="E22" s="14">
        <f>Streaming_Stock_Watch!E22</f>
        <v>0</v>
      </c>
      <c r="F22" s="2" t="s">
        <v>2</v>
      </c>
    </row>
    <row r="23" spans="1:6" x14ac:dyDescent="0.25">
      <c r="A23" s="2" t="str">
        <f>Streaming_Stock_Watch!A23</f>
        <v>SHREECEM</v>
      </c>
      <c r="B23" s="2" t="str">
        <f>Streaming_Stock_Watch!B23</f>
        <v>03:50:55 PM</v>
      </c>
      <c r="C23" s="2" t="str">
        <f>Streaming_Stock_Watch!C23</f>
        <v>28287.90</v>
      </c>
      <c r="D23" s="2" t="str">
        <f>Streaming_Stock_Watch!D23</f>
        <v>102061</v>
      </c>
      <c r="E23" s="14">
        <f>Streaming_Stock_Watch!E23</f>
        <v>0</v>
      </c>
      <c r="F23" s="2" t="s">
        <v>2</v>
      </c>
    </row>
    <row r="24" spans="1:6" x14ac:dyDescent="0.25">
      <c r="A24" s="2" t="str">
        <f>Streaming_Stock_Watch!A24</f>
        <v>TATACONSUM</v>
      </c>
      <c r="B24" s="2" t="str">
        <f>Streaming_Stock_Watch!B24</f>
        <v>03:52:06 PM</v>
      </c>
      <c r="C24" s="2" t="str">
        <f>Streaming_Stock_Watch!C24</f>
        <v>864.95</v>
      </c>
      <c r="D24" s="2" t="str">
        <f>Streaming_Stock_Watch!D24</f>
        <v>2132008</v>
      </c>
      <c r="E24" s="14">
        <f>Streaming_Stock_Watch!E24</f>
        <v>0</v>
      </c>
      <c r="F24" s="2" t="s">
        <v>2</v>
      </c>
    </row>
    <row r="25" spans="1:6" x14ac:dyDescent="0.25">
      <c r="A25" s="2" t="str">
        <f>Streaming_Stock_Watch!A25</f>
        <v>TATAMOTORS</v>
      </c>
      <c r="B25" s="2" t="str">
        <f>Streaming_Stock_Watch!B25</f>
        <v>03:59:53 PM</v>
      </c>
      <c r="C25" s="2" t="str">
        <f>Streaming_Stock_Watch!C25</f>
        <v>287.30</v>
      </c>
      <c r="D25" s="2" t="str">
        <f>Streaming_Stock_Watch!D25</f>
        <v>36951003</v>
      </c>
      <c r="E25" s="14">
        <f>Streaming_Stock_Watch!E25</f>
        <v>0</v>
      </c>
      <c r="F25" s="2" t="s">
        <v>2</v>
      </c>
    </row>
    <row r="26" spans="1:6" x14ac:dyDescent="0.25">
      <c r="A26" s="2" t="str">
        <f>Streaming_Stock_Watch!A26</f>
        <v>TATASTEEL</v>
      </c>
      <c r="B26" s="2" t="str">
        <f>Streaming_Stock_Watch!B26</f>
        <v>03:58:07 PM</v>
      </c>
      <c r="C26" s="2" t="str">
        <f>Streaming_Stock_Watch!C26</f>
        <v>1450.25</v>
      </c>
      <c r="D26" s="2" t="str">
        <f>Streaming_Stock_Watch!D26</f>
        <v>24752108</v>
      </c>
      <c r="E26" s="14">
        <f>Streaming_Stock_Watch!E26</f>
        <v>0</v>
      </c>
      <c r="F26" s="2" t="s">
        <v>2</v>
      </c>
    </row>
    <row r="27" spans="1:6" x14ac:dyDescent="0.25">
      <c r="A27" s="2" t="str">
        <f>Streaming_Stock_Watch!A27</f>
        <v>WIPRO</v>
      </c>
      <c r="B27" s="2" t="str">
        <f>Streaming_Stock_Watch!B27</f>
        <v>03:59:35 PM</v>
      </c>
      <c r="C27" s="2" t="str">
        <f>Streaming_Stock_Watch!C27</f>
        <v>640.95</v>
      </c>
      <c r="D27" s="2" t="str">
        <f>Streaming_Stock_Watch!D27</f>
        <v>7795908</v>
      </c>
      <c r="E27" s="14">
        <f>Streaming_Stock_Watch!E27</f>
        <v>0</v>
      </c>
      <c r="F27" s="2" t="s">
        <v>2</v>
      </c>
    </row>
    <row r="28" spans="1:6" x14ac:dyDescent="0.25">
      <c r="A28" s="2" t="str">
        <f>Streaming_Stock_Watch!A28</f>
        <v>DRREDDY</v>
      </c>
      <c r="B28" s="2" t="str">
        <f>Streaming_Stock_Watch!B28</f>
        <v>03:51:20 PM</v>
      </c>
      <c r="C28" s="2" t="str">
        <f>Streaming_Stock_Watch!C28</f>
        <v>4704.05</v>
      </c>
      <c r="D28" s="2" t="str">
        <f>Streaming_Stock_Watch!D28</f>
        <v>645527</v>
      </c>
      <c r="E28" s="14">
        <f>Streaming_Stock_Watch!E28</f>
        <v>0</v>
      </c>
      <c r="F28" s="2" t="s">
        <v>2</v>
      </c>
    </row>
    <row r="29" spans="1:6" x14ac:dyDescent="0.25">
      <c r="A29" s="2" t="str">
        <f>Streaming_Stock_Watch!A29</f>
        <v>TITAN</v>
      </c>
      <c r="B29" s="2" t="str">
        <f>Streaming_Stock_Watch!B29</f>
        <v>03:59:04 PM</v>
      </c>
      <c r="C29" s="2" t="str">
        <f>Streaming_Stock_Watch!C29</f>
        <v>1921.60</v>
      </c>
      <c r="D29" s="2" t="str">
        <f>Streaming_Stock_Watch!D29</f>
        <v>1816071</v>
      </c>
      <c r="E29" s="14">
        <f>Streaming_Stock_Watch!E29</f>
        <v>0</v>
      </c>
      <c r="F29" s="2" t="s">
        <v>2</v>
      </c>
    </row>
    <row r="30" spans="1:6" x14ac:dyDescent="0.25">
      <c r="A30" s="2" t="str">
        <f>Streaming_Stock_Watch!A30</f>
        <v>SBIN</v>
      </c>
      <c r="B30" s="2" t="str">
        <f>Streaming_Stock_Watch!B30</f>
        <v>03:59:13 PM</v>
      </c>
      <c r="C30" s="2" t="str">
        <f>Streaming_Stock_Watch!C30</f>
        <v>426.05</v>
      </c>
      <c r="D30" s="2" t="str">
        <f>Streaming_Stock_Watch!D30</f>
        <v>26262421</v>
      </c>
      <c r="E30" s="14">
        <f>Streaming_Stock_Watch!E30</f>
        <v>0</v>
      </c>
      <c r="F30" s="2" t="s">
        <v>2</v>
      </c>
    </row>
    <row r="31" spans="1:6" x14ac:dyDescent="0.25">
      <c r="A31" s="2" t="str">
        <f>Streaming_Stock_Watch!A31</f>
        <v>BPCL</v>
      </c>
      <c r="B31" s="2" t="str">
        <f>Streaming_Stock_Watch!B31</f>
        <v>03:59:14 PM</v>
      </c>
      <c r="C31" s="2" t="str">
        <f>Streaming_Stock_Watch!C31</f>
        <v>471.65</v>
      </c>
      <c r="D31" s="2" t="str">
        <f>Streaming_Stock_Watch!D31</f>
        <v>9001236</v>
      </c>
      <c r="E31" s="14">
        <f>Streaming_Stock_Watch!E31</f>
        <v>0</v>
      </c>
      <c r="F31" s="2" t="s">
        <v>2</v>
      </c>
    </row>
    <row r="32" spans="1:6" x14ac:dyDescent="0.25">
      <c r="A32" s="2" t="str">
        <f>Streaming_Stock_Watch!A32</f>
        <v>KOTAKBANK</v>
      </c>
      <c r="B32" s="2" t="str">
        <f>Streaming_Stock_Watch!B32</f>
        <v>03:52:21 PM</v>
      </c>
      <c r="C32" s="2" t="str">
        <f>Streaming_Stock_Watch!C32</f>
        <v>1753.70</v>
      </c>
      <c r="D32" s="2" t="str">
        <f>Streaming_Stock_Watch!D32</f>
        <v>4492609</v>
      </c>
      <c r="E32" s="14">
        <f>Streaming_Stock_Watch!E32</f>
        <v>0</v>
      </c>
      <c r="F32" s="2" t="s">
        <v>2</v>
      </c>
    </row>
    <row r="33" spans="1:6" x14ac:dyDescent="0.25">
      <c r="A33" s="2" t="str">
        <f>Streaming_Stock_Watch!A33</f>
        <v>UPL</v>
      </c>
      <c r="B33" s="2" t="str">
        <f>Streaming_Stock_Watch!B33</f>
        <v>03:48:29 PM</v>
      </c>
      <c r="C33" s="2" t="str">
        <f>Streaming_Stock_Watch!C33</f>
        <v>741.25</v>
      </c>
      <c r="D33" s="2" t="str">
        <f>Streaming_Stock_Watch!D33</f>
        <v>3074791</v>
      </c>
      <c r="E33" s="14">
        <f>Streaming_Stock_Watch!E33</f>
        <v>0</v>
      </c>
      <c r="F33" s="2" t="s">
        <v>2</v>
      </c>
    </row>
    <row r="34" spans="1:6" x14ac:dyDescent="0.25">
      <c r="A34" s="2" t="str">
        <f>Streaming_Stock_Watch!A34</f>
        <v>INFY</v>
      </c>
      <c r="B34" s="2" t="str">
        <f>Streaming_Stock_Watch!B34</f>
        <v>03:59:49 PM</v>
      </c>
      <c r="C34" s="2" t="str">
        <f>Streaming_Stock_Watch!C34</f>
        <v>1706.45</v>
      </c>
      <c r="D34" s="2" t="str">
        <f>Streaming_Stock_Watch!D34</f>
        <v>12255438</v>
      </c>
      <c r="E34" s="14">
        <f>Streaming_Stock_Watch!E34</f>
        <v>0</v>
      </c>
      <c r="F34" s="2" t="s">
        <v>2</v>
      </c>
    </row>
    <row r="35" spans="1:6" x14ac:dyDescent="0.25">
      <c r="A35" s="2" t="str">
        <f>Streaming_Stock_Watch!A35</f>
        <v>BAJFINANCE</v>
      </c>
      <c r="B35" s="2" t="str">
        <f>Streaming_Stock_Watch!B35</f>
        <v>03:57:40 PM</v>
      </c>
      <c r="C35" s="2" t="str">
        <f>Streaming_Stock_Watch!C35</f>
        <v>7524.50</v>
      </c>
      <c r="D35" s="2" t="str">
        <f>Streaming_Stock_Watch!D35</f>
        <v>2946438</v>
      </c>
      <c r="E35" s="14">
        <f>Streaming_Stock_Watch!E35</f>
        <v>0</v>
      </c>
      <c r="F35" s="2" t="s">
        <v>2</v>
      </c>
    </row>
    <row r="36" spans="1:6" x14ac:dyDescent="0.25">
      <c r="A36" s="2" t="str">
        <f>Streaming_Stock_Watch!A36</f>
        <v>SUNPHARMA</v>
      </c>
      <c r="B36" s="2" t="str">
        <f>Streaming_Stock_Watch!B36</f>
        <v>03:59:16 PM</v>
      </c>
      <c r="C36" s="2" t="str">
        <f>Streaming_Stock_Watch!C36</f>
        <v>794.05</v>
      </c>
      <c r="D36" s="2" t="str">
        <f>Streaming_Stock_Watch!D36</f>
        <v>7435465</v>
      </c>
      <c r="E36" s="14">
        <f>Streaming_Stock_Watch!E36</f>
        <v>0</v>
      </c>
      <c r="F36" s="2" t="s">
        <v>2</v>
      </c>
    </row>
    <row r="37" spans="1:6" x14ac:dyDescent="0.25">
      <c r="A37" s="2" t="str">
        <f>Streaming_Stock_Watch!A37</f>
        <v>JSWSTEEL</v>
      </c>
      <c r="B37" s="2" t="str">
        <f>Streaming_Stock_Watch!B37</f>
        <v>03:58:29 PM</v>
      </c>
      <c r="C37" s="2" t="str">
        <f>Streaming_Stock_Watch!C37</f>
        <v>687.60</v>
      </c>
      <c r="D37" s="2" t="str">
        <f>Streaming_Stock_Watch!D37</f>
        <v>5399215</v>
      </c>
      <c r="E37" s="14">
        <f>Streaming_Stock_Watch!E37</f>
        <v>0</v>
      </c>
      <c r="F37" s="2" t="s">
        <v>2</v>
      </c>
    </row>
    <row r="38" spans="1:6" x14ac:dyDescent="0.25">
      <c r="A38" s="2" t="str">
        <f>Streaming_Stock_Watch!A38</f>
        <v>HDFCBANK</v>
      </c>
      <c r="B38" s="2" t="str">
        <f>Streaming_Stock_Watch!B38</f>
        <v>03:59:56 PM</v>
      </c>
      <c r="C38" s="2" t="str">
        <f>Streaming_Stock_Watch!C38</f>
        <v>1581.40</v>
      </c>
      <c r="D38" s="2" t="str">
        <f>Streaming_Stock_Watch!D38</f>
        <v>6031288</v>
      </c>
      <c r="E38" s="14">
        <f>Streaming_Stock_Watch!E38</f>
        <v>0</v>
      </c>
      <c r="F38" s="2" t="s">
        <v>2</v>
      </c>
    </row>
    <row r="39" spans="1:6" x14ac:dyDescent="0.25">
      <c r="A39" s="2" t="str">
        <f>Streaming_Stock_Watch!A39</f>
        <v>TCS</v>
      </c>
      <c r="B39" s="2" t="str">
        <f>Streaming_Stock_Watch!B39</f>
        <v>03:59:46 PM</v>
      </c>
      <c r="C39" s="2" t="str">
        <f>Streaming_Stock_Watch!C39</f>
        <v>3786.45</v>
      </c>
      <c r="D39" s="2" t="str">
        <f>Streaming_Stock_Watch!D39</f>
        <v>3207480</v>
      </c>
      <c r="E39" s="14">
        <f>Streaming_Stock_Watch!E39</f>
        <v>0</v>
      </c>
      <c r="F39" s="2" t="s">
        <v>2</v>
      </c>
    </row>
    <row r="40" spans="1:6" x14ac:dyDescent="0.25">
      <c r="A40" s="2" t="str">
        <f>Streaming_Stock_Watch!A40</f>
        <v>ICICIBANK</v>
      </c>
      <c r="B40" s="2" t="str">
        <f>Streaming_Stock_Watch!B40</f>
        <v>03:57:46 PM</v>
      </c>
      <c r="C40" s="2" t="str">
        <f>Streaming_Stock_Watch!C40</f>
        <v>719.05</v>
      </c>
      <c r="D40" s="2" t="str">
        <f>Streaming_Stock_Watch!D40</f>
        <v>19760246</v>
      </c>
      <c r="E40" s="14">
        <f>Streaming_Stock_Watch!E40</f>
        <v>0</v>
      </c>
      <c r="F40" s="2" t="s">
        <v>2</v>
      </c>
    </row>
    <row r="41" spans="1:6" x14ac:dyDescent="0.25">
      <c r="A41" s="2" t="str">
        <f>Streaming_Stock_Watch!A41</f>
        <v>POWERGRID</v>
      </c>
      <c r="B41" s="2" t="str">
        <f>Streaming_Stock_Watch!B41</f>
        <v>03:59:27 PM</v>
      </c>
      <c r="C41" s="2" t="str">
        <f>Streaming_Stock_Watch!C41</f>
        <v>175.35</v>
      </c>
      <c r="D41" s="2" t="str">
        <f>Streaming_Stock_Watch!D41</f>
        <v>32436250</v>
      </c>
      <c r="E41" s="14">
        <f>Streaming_Stock_Watch!E41</f>
        <v>0</v>
      </c>
      <c r="F41" s="2" t="s">
        <v>2</v>
      </c>
    </row>
    <row r="42" spans="1:6" x14ac:dyDescent="0.25">
      <c r="A42" s="2" t="str">
        <f>Streaming_Stock_Watch!A42</f>
        <v>MARUTI</v>
      </c>
      <c r="B42" s="2" t="str">
        <f>Streaming_Stock_Watch!B42</f>
        <v>03:54:21 PM</v>
      </c>
      <c r="C42" s="2" t="str">
        <f>Streaming_Stock_Watch!C42</f>
        <v>6846.10</v>
      </c>
      <c r="D42" s="2" t="str">
        <f>Streaming_Stock_Watch!D42</f>
        <v>938326</v>
      </c>
      <c r="E42" s="14">
        <f>Streaming_Stock_Watch!E42</f>
        <v>0</v>
      </c>
      <c r="F42" s="2" t="s">
        <v>2</v>
      </c>
    </row>
    <row r="43" spans="1:6" x14ac:dyDescent="0.25">
      <c r="A43" s="2" t="str">
        <f>Streaming_Stock_Watch!A43</f>
        <v>INDUSINDBK</v>
      </c>
      <c r="B43" s="2" t="str">
        <f>Streaming_Stock_Watch!B43</f>
        <v>03:59:56 PM</v>
      </c>
      <c r="C43" s="2" t="str">
        <f>Streaming_Stock_Watch!C43</f>
        <v>992.40</v>
      </c>
      <c r="D43" s="2" t="str">
        <f>Streaming_Stock_Watch!D43</f>
        <v>3138652</v>
      </c>
      <c r="E43" s="14">
        <f>Streaming_Stock_Watch!E43</f>
        <v>0</v>
      </c>
      <c r="F43" s="2" t="s">
        <v>2</v>
      </c>
    </row>
    <row r="44" spans="1:6" x14ac:dyDescent="0.25">
      <c r="A44" s="2" t="str">
        <f>Streaming_Stock_Watch!A44</f>
        <v>AXISBANK</v>
      </c>
      <c r="B44" s="2" t="str">
        <f>Streaming_Stock_Watch!B44</f>
        <v>03:55:31 PM</v>
      </c>
      <c r="C44" s="2" t="str">
        <f>Streaming_Stock_Watch!C44</f>
        <v>786.50</v>
      </c>
      <c r="D44" s="2" t="str">
        <f>Streaming_Stock_Watch!D44</f>
        <v>12114870</v>
      </c>
      <c r="E44" s="14">
        <f>Streaming_Stock_Watch!E44</f>
        <v>0</v>
      </c>
      <c r="F44" s="2" t="s">
        <v>2</v>
      </c>
    </row>
    <row r="45" spans="1:6" x14ac:dyDescent="0.25">
      <c r="A45" s="2" t="str">
        <f>Streaming_Stock_Watch!A45</f>
        <v>HCLTECH</v>
      </c>
      <c r="B45" s="2" t="str">
        <f>Streaming_Stock_Watch!B45</f>
        <v>03:59:49 PM</v>
      </c>
      <c r="C45" s="2" t="str">
        <f>Streaming_Stock_Watch!C45</f>
        <v>1182.30</v>
      </c>
      <c r="D45" s="2" t="str">
        <f>Streaming_Stock_Watch!D45</f>
        <v>7199002</v>
      </c>
      <c r="E45" s="14">
        <f>Streaming_Stock_Watch!E45</f>
        <v>0</v>
      </c>
      <c r="F45" s="2" t="s">
        <v>2</v>
      </c>
    </row>
    <row r="46" spans="1:6" x14ac:dyDescent="0.25">
      <c r="A46" s="2" t="str">
        <f>Streaming_Stock_Watch!A46</f>
        <v>ONGC</v>
      </c>
      <c r="B46" s="2" t="str">
        <f>Streaming_Stock_Watch!B46</f>
        <v>03:59:59 PM</v>
      </c>
      <c r="C46" s="2" t="str">
        <f>Streaming_Stock_Watch!C46</f>
        <v>120.55</v>
      </c>
      <c r="D46" s="2" t="str">
        <f>Streaming_Stock_Watch!D46</f>
        <v>13376290</v>
      </c>
      <c r="E46" s="14">
        <f>Streaming_Stock_Watch!E46</f>
        <v>0</v>
      </c>
      <c r="F46" s="2" t="s">
        <v>2</v>
      </c>
    </row>
    <row r="47" spans="1:6" x14ac:dyDescent="0.25">
      <c r="A47" s="2" t="str">
        <f>Streaming_Stock_Watch!A47</f>
        <v>NTPC</v>
      </c>
      <c r="B47" s="2" t="str">
        <f>Streaming_Stock_Watch!B47</f>
        <v>03:59:19 PM</v>
      </c>
      <c r="C47" s="2" t="str">
        <f>Streaming_Stock_Watch!C47</f>
        <v>115.95</v>
      </c>
      <c r="D47" s="2" t="str">
        <f>Streaming_Stock_Watch!D47</f>
        <v>11386659</v>
      </c>
      <c r="E47" s="14">
        <f>Streaming_Stock_Watch!E47</f>
        <v>0</v>
      </c>
      <c r="F47" s="2" t="s">
        <v>2</v>
      </c>
    </row>
    <row r="48" spans="1:6" x14ac:dyDescent="0.25">
      <c r="A48" s="2" t="str">
        <f>Streaming_Stock_Watch!A48</f>
        <v>IOC</v>
      </c>
      <c r="B48" s="2" t="str">
        <f>Streaming_Stock_Watch!B48</f>
        <v>03:59:07 PM</v>
      </c>
      <c r="C48" s="2" t="str">
        <f>Streaming_Stock_Watch!C48</f>
        <v>110.85</v>
      </c>
      <c r="D48" s="2" t="str">
        <f>Streaming_Stock_Watch!D48</f>
        <v>22323605</v>
      </c>
      <c r="E48" s="14">
        <f>Streaming_Stock_Watch!E48</f>
        <v>0</v>
      </c>
      <c r="F48" s="2" t="s">
        <v>2</v>
      </c>
    </row>
    <row r="49" spans="1:6" x14ac:dyDescent="0.25">
      <c r="A49" s="2" t="str">
        <f>Streaming_Stock_Watch!A49</f>
        <v>COALINDIA</v>
      </c>
      <c r="B49" s="2" t="str">
        <f>Streaming_Stock_Watch!B49</f>
        <v>03:58:33 PM</v>
      </c>
      <c r="C49" s="2" t="str">
        <f>Streaming_Stock_Watch!C49</f>
        <v>145.85</v>
      </c>
      <c r="D49" s="2" t="str">
        <f>Streaming_Stock_Watch!D49</f>
        <v>14301855</v>
      </c>
      <c r="E49" s="14">
        <f>Streaming_Stock_Watch!E49</f>
        <v>0</v>
      </c>
      <c r="F49" s="2" t="s">
        <v>2</v>
      </c>
    </row>
    <row r="50" spans="1:6" x14ac:dyDescent="0.25">
      <c r="A50" s="2" t="str">
        <f>Streaming_Stock_Watch!A50</f>
        <v>BHARTIARTL</v>
      </c>
      <c r="B50" s="2" t="str">
        <f>Streaming_Stock_Watch!B50</f>
        <v>03:58:46 PM</v>
      </c>
      <c r="C50" s="2" t="str">
        <f>Streaming_Stock_Watch!C50</f>
        <v>664.05</v>
      </c>
      <c r="D50" s="2" t="str">
        <f>Streaming_Stock_Watch!D50</f>
        <v>59661820</v>
      </c>
      <c r="E50" s="14">
        <f>Streaming_Stock_Watch!E50</f>
        <v>0</v>
      </c>
      <c r="F50" s="2" t="s">
        <v>2</v>
      </c>
    </row>
    <row r="51" spans="1:6" x14ac:dyDescent="0.25">
      <c r="A51" s="2" t="str">
        <f>Streaming_Stock_Watch!A51</f>
        <v>TECHM</v>
      </c>
      <c r="B51" s="2" t="str">
        <f>Streaming_Stock_Watch!B51</f>
        <v>03:58:27 PM</v>
      </c>
      <c r="C51" s="2" t="str">
        <f>Streaming_Stock_Watch!C51</f>
        <v>1447.65</v>
      </c>
      <c r="D51" s="2" t="str">
        <f>Streaming_Stock_Watch!D51</f>
        <v>6392991</v>
      </c>
      <c r="E51" s="14">
        <f>Streaming_Stock_Watch!E51</f>
        <v>0</v>
      </c>
      <c r="F51" s="2" t="s">
        <v>2</v>
      </c>
    </row>
    <row r="52" spans="1:6" x14ac:dyDescent="0.25">
      <c r="A52" s="2" t="str">
        <f>Streaming_Stock_Watch!A52</f>
        <v>DIVISLAB</v>
      </c>
      <c r="B52" s="2" t="str">
        <f>Streaming_Stock_Watch!B52</f>
        <v>03:59:44 PM</v>
      </c>
      <c r="C52" s="2" t="str">
        <f>Streaming_Stock_Watch!C52</f>
        <v>5173.60</v>
      </c>
      <c r="D52" s="2" t="str">
        <f>Streaming_Stock_Watch!D52</f>
        <v>896587</v>
      </c>
      <c r="E52" s="14">
        <f>Streaming_Stock_Watch!E52</f>
        <v>0</v>
      </c>
      <c r="F52" s="2" t="s">
        <v>2</v>
      </c>
    </row>
    <row r="53" spans="1:6" x14ac:dyDescent="0.25">
      <c r="A53" s="2" t="str">
        <f>Streaming_Stock_Watch!A53</f>
        <v>ADANIPORTS</v>
      </c>
      <c r="B53" s="2" t="str">
        <f>Streaming_Stock_Watch!B53</f>
        <v>03:58:33 PM</v>
      </c>
      <c r="C53" s="2" t="str">
        <f>Streaming_Stock_Watch!C53</f>
        <v>748.30</v>
      </c>
      <c r="D53" s="2" t="str">
        <f>Streaming_Stock_Watch!D53</f>
        <v>15419587</v>
      </c>
      <c r="E53" s="14">
        <f>Streaming_Stock_Watch!E53</f>
        <v>0</v>
      </c>
      <c r="F53" s="2" t="s">
        <v>2</v>
      </c>
    </row>
    <row r="54" spans="1:6" x14ac:dyDescent="0.25">
      <c r="A54" s="2" t="str">
        <f>Streaming_Stock_Watch!A54</f>
        <v>HDFCLIFE</v>
      </c>
      <c r="B54" s="2" t="str">
        <f>Streaming_Stock_Watch!B54</f>
        <v>03:58:34 PM</v>
      </c>
      <c r="C54" s="2" t="str">
        <f>Streaming_Stock_Watch!C54</f>
        <v>717.75</v>
      </c>
      <c r="D54" s="2" t="str">
        <f>Streaming_Stock_Watch!D54</f>
        <v>3854510</v>
      </c>
      <c r="E54" s="14">
        <f>Streaming_Stock_Watch!E54</f>
        <v>0</v>
      </c>
      <c r="F54" s="2" t="s">
        <v>2</v>
      </c>
    </row>
    <row r="55" spans="1:6" x14ac:dyDescent="0.25">
      <c r="A55" s="2" t="str">
        <f>Streaming_Stock_Watch!A55</f>
        <v>SBILIFE</v>
      </c>
      <c r="B55" s="2" t="str">
        <f>Streaming_Stock_Watch!B55</f>
        <v>03:52:36 PM</v>
      </c>
      <c r="C55" s="2" t="str">
        <f>Streaming_Stock_Watch!C55</f>
        <v>1192.05</v>
      </c>
      <c r="D55" s="2" t="str">
        <f>Streaming_Stock_Watch!D55</f>
        <v>1719768</v>
      </c>
      <c r="E55" s="14">
        <f>Streaming_Stock_Watch!E55</f>
        <v>0</v>
      </c>
      <c r="F55" s="2" t="s">
        <v>2</v>
      </c>
    </row>
    <row r="56" spans="1:6" x14ac:dyDescent="0.25">
      <c r="A56" s="2" t="str">
        <f>Streaming_Stock_Watch!A56</f>
        <v>ULTRACEMCO</v>
      </c>
      <c r="B56" s="2" t="str">
        <f>Streaming_Stock_Watch!B56</f>
        <v>03:58:09 PM</v>
      </c>
      <c r="C56" s="2" t="str">
        <f>Streaming_Stock_Watch!C56</f>
        <v>7832.45</v>
      </c>
      <c r="D56" s="2" t="str">
        <f>Streaming_Stock_Watch!D56</f>
        <v>475968</v>
      </c>
      <c r="E56" s="14">
        <f>Streaming_Stock_Watch!E56</f>
        <v>0</v>
      </c>
      <c r="F56" s="2" t="s">
        <v>2</v>
      </c>
    </row>
    <row r="57" spans="1:6" x14ac:dyDescent="0.25">
      <c r="A57" s="2" t="str">
        <f>Streaming_Stock_Watch!A57</f>
        <v>BAJAJ-AUTO</v>
      </c>
      <c r="B57" s="2" t="str">
        <f>Streaming_Stock_Watch!B57</f>
        <v>03:52:52 PM</v>
      </c>
      <c r="C57" s="2" t="str">
        <f>Streaming_Stock_Watch!C57</f>
        <v>3727.85</v>
      </c>
      <c r="D57" s="2" t="str">
        <f>Streaming_Stock_Watch!D57</f>
        <v>693952</v>
      </c>
      <c r="E57" s="14">
        <f>Streaming_Stock_Watch!E57</f>
        <v>0</v>
      </c>
      <c r="F57" s="2" t="s">
        <v>2</v>
      </c>
    </row>
    <row r="58" spans="1:6" x14ac:dyDescent="0.25">
      <c r="A58" s="2" t="str">
        <f>Streaming_Stock_Watch!A58</f>
        <v>BAJAJFINSV</v>
      </c>
      <c r="B58" s="2" t="str">
        <f>Streaming_Stock_Watch!B58</f>
        <v>03:59:54 PM</v>
      </c>
      <c r="C58" s="2" t="str">
        <f>Streaming_Stock_Watch!C58</f>
        <v>17148.75</v>
      </c>
      <c r="D58" s="2" t="str">
        <f>Streaming_Stock_Watch!D58</f>
        <v>652127</v>
      </c>
      <c r="E58" s="14">
        <f>Streaming_Stock_Watch!E58</f>
        <v>0</v>
      </c>
      <c r="F58" s="2" t="s">
        <v>2</v>
      </c>
    </row>
    <row r="59" spans="1:6" x14ac:dyDescent="0.25">
      <c r="A59" s="2" t="str">
        <f>Streaming_Stock_Watch!A59</f>
        <v>ACC</v>
      </c>
      <c r="B59" s="2" t="str">
        <f>Streaming_Stock_Watch!B59</f>
        <v>03:43:11 PM</v>
      </c>
      <c r="C59" s="2" t="str">
        <f>Streaming_Stock_Watch!C59</f>
        <v>2413.20</v>
      </c>
      <c r="D59" s="2" t="str">
        <f>Streaming_Stock_Watch!D59</f>
        <v>580467</v>
      </c>
      <c r="E59" s="14">
        <f>Streaming_Stock_Watch!E59</f>
        <v>0</v>
      </c>
      <c r="F59" s="2" t="s">
        <v>2</v>
      </c>
    </row>
    <row r="60" spans="1:6" x14ac:dyDescent="0.25">
      <c r="A60" s="2" t="str">
        <f>Streaming_Stock_Watch!A60</f>
        <v>APOLLOTYRE</v>
      </c>
      <c r="B60" s="2" t="str">
        <f>Streaming_Stock_Watch!B60</f>
        <v>03:58:44 PM</v>
      </c>
      <c r="C60" s="2" t="str">
        <f>Streaming_Stock_Watch!C60</f>
        <v>212.95</v>
      </c>
      <c r="D60" s="2" t="str">
        <f>Streaming_Stock_Watch!D60</f>
        <v>3204602</v>
      </c>
      <c r="E60" s="14">
        <f>Streaming_Stock_Watch!E60</f>
        <v>0</v>
      </c>
      <c r="F60" s="2" t="s">
        <v>2</v>
      </c>
    </row>
    <row r="61" spans="1:6" x14ac:dyDescent="0.25">
      <c r="A61" s="2" t="str">
        <f>Streaming_Stock_Watch!A61</f>
        <v>ASHOKLEY</v>
      </c>
      <c r="B61" s="2" t="str">
        <f>Streaming_Stock_Watch!B61</f>
        <v>03:59:58 PM</v>
      </c>
      <c r="C61" s="2" t="str">
        <f>Streaming_Stock_Watch!C61</f>
        <v>122.75</v>
      </c>
      <c r="D61" s="2" t="str">
        <f>Streaming_Stock_Watch!D61</f>
        <v>20046747</v>
      </c>
      <c r="E61" s="14">
        <f>Streaming_Stock_Watch!E61</f>
        <v>0</v>
      </c>
      <c r="F61" s="2" t="s">
        <v>2</v>
      </c>
    </row>
    <row r="62" spans="1:6" x14ac:dyDescent="0.25">
      <c r="A62" s="2" t="str">
        <f>Streaming_Stock_Watch!A62</f>
        <v>BAJAJHLDNG</v>
      </c>
      <c r="B62" s="2" t="str">
        <f>Streaming_Stock_Watch!B62</f>
        <v>03:51:01 PM</v>
      </c>
      <c r="C62" s="2" t="str">
        <f>Streaming_Stock_Watch!C62</f>
        <v>4356.75</v>
      </c>
      <c r="D62" s="2" t="str">
        <f>Streaming_Stock_Watch!D62</f>
        <v>47450</v>
      </c>
      <c r="E62" s="14">
        <f>Streaming_Stock_Watch!E62</f>
        <v>0</v>
      </c>
      <c r="F62" s="2" t="s">
        <v>2</v>
      </c>
    </row>
    <row r="63" spans="1:6" x14ac:dyDescent="0.25">
      <c r="A63" s="2" t="str">
        <f>Streaming_Stock_Watch!A63</f>
        <v>BALKRISIND</v>
      </c>
      <c r="B63" s="2" t="str">
        <f>Streaming_Stock_Watch!B63</f>
        <v>03:40:00 PM</v>
      </c>
      <c r="C63" s="2" t="str">
        <f>Streaming_Stock_Watch!C63</f>
        <v>2294.90</v>
      </c>
      <c r="D63" s="2" t="str">
        <f>Streaming_Stock_Watch!D63</f>
        <v>479245</v>
      </c>
      <c r="E63" s="14">
        <f>Streaming_Stock_Watch!E63</f>
        <v>0</v>
      </c>
      <c r="F63" s="2" t="s">
        <v>2</v>
      </c>
    </row>
    <row r="64" spans="1:6" x14ac:dyDescent="0.25">
      <c r="A64" s="2" t="str">
        <f>Streaming_Stock_Watch!A64</f>
        <v>BATAINDIA</v>
      </c>
      <c r="B64" s="2" t="str">
        <f>Streaming_Stock_Watch!B64</f>
        <v>03:59:39 PM</v>
      </c>
      <c r="C64" s="2" t="str">
        <f>Streaming_Stock_Watch!C64</f>
        <v>1771.80</v>
      </c>
      <c r="D64" s="2" t="str">
        <f>Streaming_Stock_Watch!D64</f>
        <v>638971</v>
      </c>
      <c r="E64" s="14">
        <f>Streaming_Stock_Watch!E64</f>
        <v>0</v>
      </c>
      <c r="F64" s="2" t="s">
        <v>2</v>
      </c>
    </row>
    <row r="65" spans="1:6" x14ac:dyDescent="0.25">
      <c r="A65" s="2" t="str">
        <f>Streaming_Stock_Watch!A65</f>
        <v>BERGEPAINT</v>
      </c>
      <c r="B65" s="2" t="str">
        <f>Streaming_Stock_Watch!B65</f>
        <v>03:57:00 PM</v>
      </c>
      <c r="C65" s="2" t="str">
        <f>Streaming_Stock_Watch!C65</f>
        <v>820.80</v>
      </c>
      <c r="D65" s="2" t="str">
        <f>Streaming_Stock_Watch!D65</f>
        <v>1219916</v>
      </c>
      <c r="E65" s="14">
        <f>Streaming_Stock_Watch!E65</f>
        <v>0</v>
      </c>
      <c r="F65" s="2" t="s">
        <v>2</v>
      </c>
    </row>
    <row r="66" spans="1:6" x14ac:dyDescent="0.25">
      <c r="A66" s="2" t="str">
        <f>Streaming_Stock_Watch!A66</f>
        <v>BHARATFORG</v>
      </c>
      <c r="B66" s="2" t="str">
        <f>Streaming_Stock_Watch!B66</f>
        <v>03:52:20 PM</v>
      </c>
      <c r="C66" s="2" t="str">
        <f>Streaming_Stock_Watch!C66</f>
        <v>767.20</v>
      </c>
      <c r="D66" s="2" t="str">
        <f>Streaming_Stock_Watch!D66</f>
        <v>3404792</v>
      </c>
      <c r="E66" s="14">
        <f>Streaming_Stock_Watch!E66</f>
        <v>0</v>
      </c>
      <c r="F66" s="2" t="s">
        <v>2</v>
      </c>
    </row>
    <row r="67" spans="1:6" x14ac:dyDescent="0.25">
      <c r="A67" s="2" t="str">
        <f>Streaming_Stock_Watch!A67</f>
        <v>BBTC</v>
      </c>
      <c r="B67" s="2" t="str">
        <f>Streaming_Stock_Watch!B67</f>
        <v>03:51:22 PM</v>
      </c>
      <c r="C67" s="2" t="str">
        <f>Streaming_Stock_Watch!C67</f>
        <v>1189.30</v>
      </c>
      <c r="D67" s="2" t="str">
        <f>Streaming_Stock_Watch!D67</f>
        <v>259919</v>
      </c>
      <c r="E67" s="14">
        <f>Streaming_Stock_Watch!E67</f>
        <v>0</v>
      </c>
      <c r="F67" s="2" t="s">
        <v>2</v>
      </c>
    </row>
    <row r="68" spans="1:6" x14ac:dyDescent="0.25">
      <c r="A68" s="2" t="str">
        <f>Streaming_Stock_Watch!A68</f>
        <v>ABBOTINDIA</v>
      </c>
      <c r="B68" s="2" t="str">
        <f>Streaming_Stock_Watch!B68</f>
        <v>03:47:30 PM</v>
      </c>
      <c r="C68" s="2" t="str">
        <f>Streaming_Stock_Watch!C68</f>
        <v>19272.10</v>
      </c>
      <c r="D68" s="2" t="str">
        <f>Streaming_Stock_Watch!D68</f>
        <v>7133</v>
      </c>
      <c r="E68" s="14">
        <f>Streaming_Stock_Watch!E68</f>
        <v>0</v>
      </c>
      <c r="F68" s="2" t="s">
        <v>2</v>
      </c>
    </row>
    <row r="69" spans="1:6" x14ac:dyDescent="0.25">
      <c r="A69" s="2" t="str">
        <f>Streaming_Stock_Watch!A69</f>
        <v>CESC</v>
      </c>
      <c r="B69" s="2" t="str">
        <f>Streaming_Stock_Watch!B69</f>
        <v>03:59:45 PM</v>
      </c>
      <c r="C69" s="2" t="str">
        <f>Streaming_Stock_Watch!C69</f>
        <v>803.85</v>
      </c>
      <c r="D69" s="2" t="str">
        <f>Streaming_Stock_Watch!D69</f>
        <v>1007718</v>
      </c>
      <c r="E69" s="14">
        <f>Streaming_Stock_Watch!E69</f>
        <v>0</v>
      </c>
      <c r="F69" s="2" t="s">
        <v>2</v>
      </c>
    </row>
    <row r="70" spans="1:6" x14ac:dyDescent="0.25">
      <c r="A70" s="2" t="str">
        <f>Streaming_Stock_Watch!A70</f>
        <v>EXIDEIND</v>
      </c>
      <c r="B70" s="2" t="str">
        <f>Streaming_Stock_Watch!B70</f>
        <v>03:59:44 PM</v>
      </c>
      <c r="C70" s="2" t="str">
        <f>Streaming_Stock_Watch!C70</f>
        <v>161.15</v>
      </c>
      <c r="D70" s="2" t="str">
        <f>Streaming_Stock_Watch!D70</f>
        <v>5277497</v>
      </c>
      <c r="E70" s="14">
        <f>Streaming_Stock_Watch!E70</f>
        <v>0</v>
      </c>
      <c r="F70" s="2" t="s">
        <v>2</v>
      </c>
    </row>
    <row r="71" spans="1:6" x14ac:dyDescent="0.25">
      <c r="A71" s="2" t="str">
        <f>Streaming_Stock_Watch!A71</f>
        <v>COLPAL</v>
      </c>
      <c r="B71" s="2" t="str">
        <f>Streaming_Stock_Watch!B71</f>
        <v>03:47:52 PM</v>
      </c>
      <c r="C71" s="2" t="str">
        <f>Streaming_Stock_Watch!C71</f>
        <v>1693.30</v>
      </c>
      <c r="D71" s="2" t="str">
        <f>Streaming_Stock_Watch!D71</f>
        <v>1586467</v>
      </c>
      <c r="E71" s="14">
        <f>Streaming_Stock_Watch!E71</f>
        <v>0</v>
      </c>
      <c r="F71" s="2" t="s">
        <v>2</v>
      </c>
    </row>
    <row r="72" spans="1:6" x14ac:dyDescent="0.25">
      <c r="A72" s="2" t="str">
        <f>Streaming_Stock_Watch!A72</f>
        <v>TATACOFFEE</v>
      </c>
      <c r="B72" s="2" t="str">
        <f>Streaming_Stock_Watch!B72</f>
        <v>03:59:45 PM</v>
      </c>
      <c r="C72" s="2" t="str">
        <f>Streaming_Stock_Watch!C72</f>
        <v>213.15</v>
      </c>
      <c r="D72" s="2" t="str">
        <f>Streaming_Stock_Watch!D72</f>
        <v>16750725</v>
      </c>
      <c r="E72" s="14">
        <f>Streaming_Stock_Watch!E72</f>
        <v>0</v>
      </c>
      <c r="F72" s="2" t="s">
        <v>2</v>
      </c>
    </row>
    <row r="73" spans="1:6" x14ac:dyDescent="0.25">
      <c r="A73" s="2" t="str">
        <f>Streaming_Stock_Watch!A73</f>
        <v>COROMANDEL</v>
      </c>
      <c r="B73" s="2" t="str">
        <f>Streaming_Stock_Watch!B73</f>
        <v>03:44:41 PM</v>
      </c>
      <c r="C73" s="2" t="str">
        <f>Streaming_Stock_Watch!C73</f>
        <v>792.90</v>
      </c>
      <c r="D73" s="2" t="str">
        <f>Streaming_Stock_Watch!D73</f>
        <v>631601</v>
      </c>
      <c r="E73" s="14">
        <f>Streaming_Stock_Watch!E73</f>
        <v>0</v>
      </c>
      <c r="F73" s="2" t="s">
        <v>2</v>
      </c>
    </row>
    <row r="74" spans="1:6" x14ac:dyDescent="0.25">
      <c r="A74" s="2" t="str">
        <f>Streaming_Stock_Watch!A74</f>
        <v>DEEPAKNTR</v>
      </c>
      <c r="B74" s="2" t="str">
        <f>Streaming_Stock_Watch!B74</f>
        <v>03:59:20 PM</v>
      </c>
      <c r="C74" s="2" t="str">
        <f>Streaming_Stock_Watch!C74</f>
        <v>2283.60</v>
      </c>
      <c r="D74" s="2" t="str">
        <f>Streaming_Stock_Watch!D74</f>
        <v>1721286</v>
      </c>
      <c r="E74" s="14">
        <f>Streaming_Stock_Watch!E74</f>
        <v>0</v>
      </c>
      <c r="F74" s="2" t="s">
        <v>2</v>
      </c>
    </row>
    <row r="75" spans="1:6" x14ac:dyDescent="0.25">
      <c r="A75" s="2" t="str">
        <f>Streaming_Stock_Watch!A75</f>
        <v>ESCORTS</v>
      </c>
      <c r="B75" s="2" t="str">
        <f>Streaming_Stock_Watch!B75</f>
        <v>03:57:56 PM</v>
      </c>
      <c r="C75" s="2" t="str">
        <f>Streaming_Stock_Watch!C75</f>
        <v>1346.35</v>
      </c>
      <c r="D75" s="2" t="str">
        <f>Streaming_Stock_Watch!D75</f>
        <v>827925</v>
      </c>
      <c r="E75" s="14">
        <f>Streaming_Stock_Watch!E75</f>
        <v>0</v>
      </c>
      <c r="F75" s="2" t="s">
        <v>2</v>
      </c>
    </row>
    <row r="76" spans="1:6" x14ac:dyDescent="0.25">
      <c r="A76" s="2" t="str">
        <f>Streaming_Stock_Watch!A76</f>
        <v>AMBUJACEM</v>
      </c>
      <c r="B76" s="2" t="str">
        <f>Streaming_Stock_Watch!B76</f>
        <v>03:49:58 PM</v>
      </c>
      <c r="C76" s="2" t="str">
        <f>Streaming_Stock_Watch!C76</f>
        <v>421.05</v>
      </c>
      <c r="D76" s="2" t="str">
        <f>Streaming_Stock_Watch!D76</f>
        <v>6342929</v>
      </c>
      <c r="E76" s="14">
        <f>Streaming_Stock_Watch!E76</f>
        <v>0</v>
      </c>
      <c r="F76" s="2" t="s">
        <v>2</v>
      </c>
    </row>
    <row r="77" spans="1:6" x14ac:dyDescent="0.25">
      <c r="A77" s="2" t="str">
        <f>Streaming_Stock_Watch!A77</f>
        <v>SANOFI</v>
      </c>
      <c r="B77" s="2" t="str">
        <f>Streaming_Stock_Watch!B77</f>
        <v>03:46:12 PM</v>
      </c>
      <c r="C77" s="2" t="str">
        <f>Streaming_Stock_Watch!C77</f>
        <v>9013.80</v>
      </c>
      <c r="D77" s="2" t="str">
        <f>Streaming_Stock_Watch!D77</f>
        <v>27381</v>
      </c>
      <c r="E77" s="14">
        <f>Streaming_Stock_Watch!E77</f>
        <v>0</v>
      </c>
      <c r="F77" s="2" t="s">
        <v>2</v>
      </c>
    </row>
    <row r="78" spans="1:6" x14ac:dyDescent="0.25">
      <c r="A78" s="2" t="str">
        <f>Streaming_Stock_Watch!A78</f>
        <v>INDIACEM</v>
      </c>
      <c r="B78" s="2" t="str">
        <f>Streaming_Stock_Watch!B78</f>
        <v>03:47:15 PM</v>
      </c>
      <c r="C78" s="2" t="str">
        <f>Streaming_Stock_Watch!C78</f>
        <v>163.60</v>
      </c>
      <c r="D78" s="2" t="str">
        <f>Streaming_Stock_Watch!D78</f>
        <v>1552586</v>
      </c>
      <c r="E78" s="14">
        <f>Streaming_Stock_Watch!E78</f>
        <v>0</v>
      </c>
      <c r="F78" s="2" t="s">
        <v>2</v>
      </c>
    </row>
    <row r="79" spans="1:6" x14ac:dyDescent="0.25">
      <c r="A79" s="2" t="str">
        <f>Streaming_Stock_Watch!A79</f>
        <v>INDHOTEL</v>
      </c>
      <c r="B79" s="2" t="str">
        <f>Streaming_Stock_Watch!B79</f>
        <v>03:58:40 PM</v>
      </c>
      <c r="C79" s="2" t="str">
        <f>Streaming_Stock_Watch!C79</f>
        <v>140.40</v>
      </c>
      <c r="D79" s="2" t="str">
        <f>Streaming_Stock_Watch!D79</f>
        <v>829920</v>
      </c>
      <c r="E79" s="14">
        <f>Streaming_Stock_Watch!E79</f>
        <v>0</v>
      </c>
      <c r="F79" s="2" t="s">
        <v>2</v>
      </c>
    </row>
    <row r="80" spans="1:6" x14ac:dyDescent="0.25">
      <c r="A80" s="2" t="str">
        <f>Streaming_Stock_Watch!A80</f>
        <v>CASTROLIND</v>
      </c>
      <c r="B80" s="2" t="str">
        <f>Streaming_Stock_Watch!B80</f>
        <v>03:48:08 PM</v>
      </c>
      <c r="C80" s="2" t="str">
        <f>Streaming_Stock_Watch!C80</f>
        <v>134.00</v>
      </c>
      <c r="D80" s="2" t="str">
        <f>Streaming_Stock_Watch!D80</f>
        <v>447418</v>
      </c>
      <c r="E80" s="14">
        <f>Streaming_Stock_Watch!E80</f>
        <v>0</v>
      </c>
      <c r="F80" s="2" t="s">
        <v>2</v>
      </c>
    </row>
    <row r="81" spans="1:6" x14ac:dyDescent="0.25">
      <c r="A81" s="2" t="str">
        <f>Streaming_Stock_Watch!A81</f>
        <v>JKTYRE</v>
      </c>
      <c r="B81" s="2" t="str">
        <f>Streaming_Stock_Watch!B81</f>
        <v>03:59:56 PM</v>
      </c>
      <c r="C81" s="2" t="str">
        <f>Streaming_Stock_Watch!C81</f>
        <v>145.25</v>
      </c>
      <c r="D81" s="2" t="str">
        <f>Streaming_Stock_Watch!D81</f>
        <v>618374</v>
      </c>
      <c r="E81" s="14">
        <f>Streaming_Stock_Watch!E81</f>
        <v>0</v>
      </c>
      <c r="F81" s="2" t="s">
        <v>2</v>
      </c>
    </row>
    <row r="82" spans="1:6" x14ac:dyDescent="0.25">
      <c r="A82" s="2" t="str">
        <f>Streaming_Stock_Watch!A82</f>
        <v>WHIRLPOOL</v>
      </c>
      <c r="B82" s="2" t="str">
        <f>Streaming_Stock_Watch!B82</f>
        <v>03:50:39 PM</v>
      </c>
      <c r="C82" s="2" t="str">
        <f>Streaming_Stock_Watch!C82</f>
        <v>2130.20</v>
      </c>
      <c r="D82" s="2" t="str">
        <f>Streaming_Stock_Watch!D82</f>
        <v>248536</v>
      </c>
      <c r="E82" s="14">
        <f>Streaming_Stock_Watch!E82</f>
        <v>0</v>
      </c>
      <c r="F82" s="2" t="s">
        <v>2</v>
      </c>
    </row>
    <row r="83" spans="1:6" x14ac:dyDescent="0.25">
      <c r="A83" s="2" t="str">
        <f>Streaming_Stock_Watch!A83</f>
        <v>CUMMINSIND</v>
      </c>
      <c r="B83" s="2" t="str">
        <f>Streaming_Stock_Watch!B83</f>
        <v>03:50:33 PM</v>
      </c>
      <c r="C83" s="2" t="str">
        <f>Streaming_Stock_Watch!C83</f>
        <v>999.15</v>
      </c>
      <c r="D83" s="2" t="str">
        <f>Streaming_Stock_Watch!D83</f>
        <v>413161</v>
      </c>
      <c r="E83" s="14">
        <f>Streaming_Stock_Watch!E83</f>
        <v>0</v>
      </c>
      <c r="F83" s="2" t="s">
        <v>2</v>
      </c>
    </row>
    <row r="84" spans="1:6" x14ac:dyDescent="0.25">
      <c r="A84" s="2" t="str">
        <f>Streaming_Stock_Watch!A84</f>
        <v>TRENT</v>
      </c>
      <c r="B84" s="2" t="str">
        <f>Streaming_Stock_Watch!B84</f>
        <v>03:52:59 PM</v>
      </c>
      <c r="C84" s="2" t="str">
        <f>Streaming_Stock_Watch!C84</f>
        <v>1006.90</v>
      </c>
      <c r="D84" s="2" t="str">
        <f>Streaming_Stock_Watch!D84</f>
        <v>968660</v>
      </c>
      <c r="E84" s="14">
        <f>Streaming_Stock_Watch!E84</f>
        <v>0</v>
      </c>
      <c r="F84" s="2" t="s">
        <v>2</v>
      </c>
    </row>
    <row r="85" spans="1:6" x14ac:dyDescent="0.25">
      <c r="A85" s="2" t="str">
        <f>Streaming_Stock_Watch!A85</f>
        <v>RAMCOCEM</v>
      </c>
      <c r="B85" s="2" t="str">
        <f>Streaming_Stock_Watch!B85</f>
        <v>03:46:36 PM</v>
      </c>
      <c r="C85" s="2" t="str">
        <f>Streaming_Stock_Watch!C85</f>
        <v>1008.80</v>
      </c>
      <c r="D85" s="2" t="str">
        <f>Streaming_Stock_Watch!D85</f>
        <v>325284</v>
      </c>
      <c r="E85" s="14">
        <f>Streaming_Stock_Watch!E85</f>
        <v>0</v>
      </c>
      <c r="F85" s="2" t="s">
        <v>2</v>
      </c>
    </row>
    <row r="86" spans="1:6" x14ac:dyDescent="0.25">
      <c r="A86" s="2" t="str">
        <f>Streaming_Stock_Watch!A86</f>
        <v>MFSL</v>
      </c>
      <c r="B86" s="2" t="str">
        <f>Streaming_Stock_Watch!B86</f>
        <v>03:40:02 PM</v>
      </c>
      <c r="C86" s="2" t="str">
        <f>Streaming_Stock_Watch!C86</f>
        <v>1088.15</v>
      </c>
      <c r="D86" s="2" t="str">
        <f>Streaming_Stock_Watch!D86</f>
        <v>913776</v>
      </c>
      <c r="E86" s="14">
        <f>Streaming_Stock_Watch!E86</f>
        <v>0</v>
      </c>
      <c r="F86" s="2" t="s">
        <v>2</v>
      </c>
    </row>
    <row r="87" spans="1:6" x14ac:dyDescent="0.25">
      <c r="A87" s="2" t="str">
        <f>Streaming_Stock_Watch!A87</f>
        <v>BOSCHLTD</v>
      </c>
      <c r="B87" s="2" t="str">
        <f>Streaming_Stock_Watch!B87</f>
        <v>03:51:06 PM</v>
      </c>
      <c r="C87" s="2" t="str">
        <f>Streaming_Stock_Watch!C87</f>
        <v>13859.20</v>
      </c>
      <c r="D87" s="2" t="str">
        <f>Streaming_Stock_Watch!D87</f>
        <v>21977</v>
      </c>
      <c r="E87" s="14">
        <f>Streaming_Stock_Watch!E87</f>
        <v>0</v>
      </c>
      <c r="F87" s="2" t="s">
        <v>2</v>
      </c>
    </row>
    <row r="88" spans="1:6" x14ac:dyDescent="0.25">
      <c r="A88" s="2" t="str">
        <f>Streaming_Stock_Watch!A88</f>
        <v>MRF</v>
      </c>
      <c r="B88" s="2" t="str">
        <f>Streaming_Stock_Watch!B88</f>
        <v>03:54:07 PM</v>
      </c>
      <c r="C88" s="2" t="str">
        <f>Streaming_Stock_Watch!C88</f>
        <v>79742.75</v>
      </c>
      <c r="D88" s="2" t="str">
        <f>Streaming_Stock_Watch!D88</f>
        <v>14859</v>
      </c>
      <c r="E88" s="14">
        <f>Streaming_Stock_Watch!E88</f>
        <v>0</v>
      </c>
      <c r="F88" s="2" t="s">
        <v>2</v>
      </c>
    </row>
    <row r="89" spans="1:6" x14ac:dyDescent="0.25">
      <c r="A89" s="2" t="str">
        <f>Streaming_Stock_Watch!A89</f>
        <v>PEL</v>
      </c>
      <c r="B89" s="2" t="str">
        <f>Streaming_Stock_Watch!B89</f>
        <v>03:58:29 PM</v>
      </c>
      <c r="C89" s="2" t="str">
        <f>Streaming_Stock_Watch!C89</f>
        <v>2606.65</v>
      </c>
      <c r="D89" s="2" t="str">
        <f>Streaming_Stock_Watch!D89</f>
        <v>1019155</v>
      </c>
      <c r="E89" s="14">
        <f>Streaming_Stock_Watch!E89</f>
        <v>0</v>
      </c>
      <c r="F89" s="2" t="s">
        <v>2</v>
      </c>
    </row>
    <row r="90" spans="1:6" x14ac:dyDescent="0.25">
      <c r="A90" s="2" t="str">
        <f>Streaming_Stock_Watch!A90</f>
        <v>PFIZER</v>
      </c>
      <c r="B90" s="2" t="str">
        <f>Streaming_Stock_Watch!B90</f>
        <v>03:57:10 PM</v>
      </c>
      <c r="C90" s="2" t="str">
        <f>Streaming_Stock_Watch!C90</f>
        <v>5725.05</v>
      </c>
      <c r="D90" s="2" t="str">
        <f>Streaming_Stock_Watch!D90</f>
        <v>32942</v>
      </c>
      <c r="E90" s="14">
        <f>Streaming_Stock_Watch!E90</f>
        <v>0</v>
      </c>
      <c r="F90" s="2" t="s">
        <v>2</v>
      </c>
    </row>
    <row r="91" spans="1:6" x14ac:dyDescent="0.25">
      <c r="A91" s="2" t="str">
        <f>Streaming_Stock_Watch!A91</f>
        <v>PGHH</v>
      </c>
      <c r="B91" s="2" t="str">
        <f>Streaming_Stock_Watch!B91</f>
        <v>03:29:57 PM</v>
      </c>
      <c r="C91" s="2" t="str">
        <f>Streaming_Stock_Watch!C91</f>
        <v>13873.60</v>
      </c>
      <c r="D91" s="2" t="str">
        <f>Streaming_Stock_Watch!D91</f>
        <v>5588</v>
      </c>
      <c r="E91" s="14">
        <f>Streaming_Stock_Watch!E91</f>
        <v>0</v>
      </c>
      <c r="F91" s="2" t="s">
        <v>2</v>
      </c>
    </row>
    <row r="92" spans="1:6" x14ac:dyDescent="0.25">
      <c r="A92" s="2" t="str">
        <f>Streaming_Stock_Watch!A92</f>
        <v>VEDL</v>
      </c>
      <c r="B92" s="2" t="str">
        <f>Streaming_Stock_Watch!B92</f>
        <v>03:58:22 PM</v>
      </c>
      <c r="C92" s="2" t="str">
        <f>Streaming_Stock_Watch!C92</f>
        <v>302.80</v>
      </c>
      <c r="D92" s="2" t="str">
        <f>Streaming_Stock_Watch!D92</f>
        <v>27040537</v>
      </c>
      <c r="E92" s="14">
        <f>Streaming_Stock_Watch!E92</f>
        <v>0</v>
      </c>
      <c r="F92" s="2" t="s">
        <v>2</v>
      </c>
    </row>
    <row r="93" spans="1:6" x14ac:dyDescent="0.25">
      <c r="A93" s="2" t="str">
        <f>Streaming_Stock_Watch!A93</f>
        <v>SRF</v>
      </c>
      <c r="B93" s="2" t="str">
        <f>Streaming_Stock_Watch!B93</f>
        <v>03:58:51 PM</v>
      </c>
      <c r="C93" s="2" t="str">
        <f>Streaming_Stock_Watch!C93</f>
        <v>10139.75</v>
      </c>
      <c r="D93" s="2" t="str">
        <f>Streaming_Stock_Watch!D93</f>
        <v>972455</v>
      </c>
      <c r="E93" s="14">
        <f>Streaming_Stock_Watch!E93</f>
        <v>0</v>
      </c>
      <c r="F93" s="2" t="s">
        <v>2</v>
      </c>
    </row>
    <row r="94" spans="1:6" x14ac:dyDescent="0.25">
      <c r="A94" s="2" t="str">
        <f>Streaming_Stock_Watch!A94</f>
        <v>SIEMENS</v>
      </c>
      <c r="B94" s="2" t="str">
        <f>Streaming_Stock_Watch!B94</f>
        <v>03:54:46 PM</v>
      </c>
      <c r="C94" s="2" t="str">
        <f>Streaming_Stock_Watch!C94</f>
        <v>2272.40</v>
      </c>
      <c r="D94" s="2" t="str">
        <f>Streaming_Stock_Watch!D94</f>
        <v>339959</v>
      </c>
      <c r="E94" s="14">
        <f>Streaming_Stock_Watch!E94</f>
        <v>0</v>
      </c>
      <c r="F94" s="2" t="s">
        <v>2</v>
      </c>
    </row>
    <row r="95" spans="1:6" x14ac:dyDescent="0.25">
      <c r="A95" s="2" t="str">
        <f>Streaming_Stock_Watch!A95</f>
        <v>TATACHEM</v>
      </c>
      <c r="B95" s="2" t="str">
        <f>Streaming_Stock_Watch!B95</f>
        <v>03:58:36 PM</v>
      </c>
      <c r="C95" s="2" t="str">
        <f>Streaming_Stock_Watch!C95</f>
        <v>844.65</v>
      </c>
      <c r="D95" s="2" t="str">
        <f>Streaming_Stock_Watch!D95</f>
        <v>4538227</v>
      </c>
      <c r="E95" s="14">
        <f>Streaming_Stock_Watch!E95</f>
        <v>0</v>
      </c>
      <c r="F95" s="2" t="s">
        <v>2</v>
      </c>
    </row>
    <row r="96" spans="1:6" x14ac:dyDescent="0.25">
      <c r="A96" s="2" t="str">
        <f>Streaming_Stock_Watch!A96</f>
        <v>TATAPOWER</v>
      </c>
      <c r="B96" s="2" t="str">
        <f>Streaming_Stock_Watch!B96</f>
        <v>03:59:33 PM</v>
      </c>
      <c r="C96" s="2" t="str">
        <f>Streaming_Stock_Watch!C96</f>
        <v>129.05</v>
      </c>
      <c r="D96" s="2" t="str">
        <f>Streaming_Stock_Watch!D96</f>
        <v>24301446</v>
      </c>
      <c r="E96" s="14">
        <f>Streaming_Stock_Watch!E96</f>
        <v>0</v>
      </c>
      <c r="F96" s="2" t="s">
        <v>2</v>
      </c>
    </row>
    <row r="97" spans="1:6" x14ac:dyDescent="0.25">
      <c r="A97" s="2" t="str">
        <f>Streaming_Stock_Watch!A97</f>
        <v>VOLTAS</v>
      </c>
      <c r="B97" s="2" t="str">
        <f>Streaming_Stock_Watch!B97</f>
        <v>03:59:07 PM</v>
      </c>
      <c r="C97" s="2" t="str">
        <f>Streaming_Stock_Watch!C97</f>
        <v>995.85</v>
      </c>
      <c r="D97" s="2" t="str">
        <f>Streaming_Stock_Watch!D97</f>
        <v>1194523</v>
      </c>
      <c r="E97" s="14">
        <f>Streaming_Stock_Watch!E97</f>
        <v>0</v>
      </c>
      <c r="F97" s="2" t="s">
        <v>2</v>
      </c>
    </row>
    <row r="98" spans="1:6" x14ac:dyDescent="0.25">
      <c r="A98" s="2" t="str">
        <f>Streaming_Stock_Watch!A98</f>
        <v>APOLLOHOSP</v>
      </c>
      <c r="B98" s="2" t="str">
        <f>Streaming_Stock_Watch!B98</f>
        <v>03:58:37 PM</v>
      </c>
      <c r="C98" s="2" t="str">
        <f>Streaming_Stock_Watch!C98</f>
        <v>4969.55</v>
      </c>
      <c r="D98" s="2" t="str">
        <f>Streaming_Stock_Watch!D98</f>
        <v>2883159</v>
      </c>
      <c r="E98" s="14">
        <f>Streaming_Stock_Watch!E98</f>
        <v>0</v>
      </c>
      <c r="F98" s="2" t="s">
        <v>2</v>
      </c>
    </row>
    <row r="99" spans="1:6" x14ac:dyDescent="0.25">
      <c r="A99" s="2" t="str">
        <f>Streaming_Stock_Watch!A99</f>
        <v>GODREJIND</v>
      </c>
      <c r="B99" s="2" t="str">
        <f>Streaming_Stock_Watch!B99</f>
        <v>03:50:36 PM</v>
      </c>
      <c r="C99" s="2" t="str">
        <f>Streaming_Stock_Watch!C99</f>
        <v>558.80</v>
      </c>
      <c r="D99" s="2" t="str">
        <f>Streaming_Stock_Watch!D99</f>
        <v>352459</v>
      </c>
      <c r="E99" s="14">
        <f>Streaming_Stock_Watch!E99</f>
        <v>0</v>
      </c>
      <c r="F99" s="2" t="s">
        <v>2</v>
      </c>
    </row>
    <row r="100" spans="1:6" x14ac:dyDescent="0.25">
      <c r="A100" s="2" t="str">
        <f>Streaming_Stock_Watch!A100</f>
        <v>SRTRANSFIN</v>
      </c>
      <c r="B100" s="2" t="str">
        <f>Streaming_Stock_Watch!B100</f>
        <v>03:55:48 PM</v>
      </c>
      <c r="C100" s="2" t="str">
        <f>Streaming_Stock_Watch!C100</f>
        <v>1352.70</v>
      </c>
      <c r="D100" s="2" t="str">
        <f>Streaming_Stock_Watch!D100</f>
        <v>1576383</v>
      </c>
      <c r="E100" s="14">
        <f>Streaming_Stock_Watch!E100</f>
        <v>0</v>
      </c>
      <c r="F100" s="2" t="s">
        <v>2</v>
      </c>
    </row>
    <row r="101" spans="1:6" x14ac:dyDescent="0.25">
      <c r="A101" s="2" t="str">
        <f>Streaming_Stock_Watch!A101</f>
        <v>IOLCP</v>
      </c>
      <c r="B101" s="2" t="str">
        <f>Streaming_Stock_Watch!B101</f>
        <v>03:59:29 PM</v>
      </c>
      <c r="C101" s="2" t="str">
        <f>Streaming_Stock_Watch!C101</f>
        <v>559.10</v>
      </c>
      <c r="D101" s="2" t="str">
        <f>Streaming_Stock_Watch!D101</f>
        <v>472597</v>
      </c>
      <c r="E101" s="14">
        <f>Streaming_Stock_Watch!E101</f>
        <v>0</v>
      </c>
      <c r="F101" s="2" t="s">
        <v>2</v>
      </c>
    </row>
    <row r="102" spans="1:6" x14ac:dyDescent="0.25">
      <c r="A102" s="2" t="str">
        <f>Streaming_Stock_Watch!A102</f>
        <v>AMARAJABAT</v>
      </c>
      <c r="B102" s="2" t="str">
        <f>Streaming_Stock_Watch!B102</f>
        <v>03:57:25 PM</v>
      </c>
      <c r="C102" s="2" t="str">
        <f>Streaming_Stock_Watch!C102</f>
        <v>699.25</v>
      </c>
      <c r="D102" s="2" t="str">
        <f>Streaming_Stock_Watch!D102</f>
        <v>1122577</v>
      </c>
      <c r="E102" s="14">
        <f>Streaming_Stock_Watch!E102</f>
        <v>0</v>
      </c>
      <c r="F102" s="2" t="s">
        <v>2</v>
      </c>
    </row>
    <row r="103" spans="1:6" x14ac:dyDescent="0.25">
      <c r="A103" s="2" t="str">
        <f>Streaming_Stock_Watch!A103</f>
        <v>CHOLAFIN</v>
      </c>
      <c r="B103" s="2" t="str">
        <f>Streaming_Stock_Watch!B103</f>
        <v>03:54:16 PM</v>
      </c>
      <c r="C103" s="2" t="str">
        <f>Streaming_Stock_Watch!C103</f>
        <v>554.05</v>
      </c>
      <c r="D103" s="2" t="str">
        <f>Streaming_Stock_Watch!D103</f>
        <v>5252586</v>
      </c>
      <c r="E103" s="14">
        <f>Streaming_Stock_Watch!E103</f>
        <v>0</v>
      </c>
      <c r="F103" s="2" t="s">
        <v>2</v>
      </c>
    </row>
    <row r="104" spans="1:6" x14ac:dyDescent="0.25">
      <c r="A104" s="2" t="str">
        <f>Streaming_Stock_Watch!A104</f>
        <v>TATACOMM</v>
      </c>
      <c r="B104" s="2" t="str">
        <f>Streaming_Stock_Watch!B104</f>
        <v>03:59:58 PM</v>
      </c>
      <c r="C104" s="2" t="str">
        <f>Streaming_Stock_Watch!C104</f>
        <v>1419.15</v>
      </c>
      <c r="D104" s="2" t="str">
        <f>Streaming_Stock_Watch!D104</f>
        <v>206609</v>
      </c>
      <c r="E104" s="14">
        <f>Streaming_Stock_Watch!E104</f>
        <v>0</v>
      </c>
      <c r="F104" s="2" t="s">
        <v>2</v>
      </c>
    </row>
    <row r="105" spans="1:6" x14ac:dyDescent="0.25">
      <c r="A105" s="2" t="str">
        <f>Streaming_Stock_Watch!A105</f>
        <v>BEL</v>
      </c>
      <c r="B105" s="2" t="str">
        <f>Streaming_Stock_Watch!B105</f>
        <v>03:46:42 PM</v>
      </c>
      <c r="C105" s="2" t="str">
        <f>Streaming_Stock_Watch!C105</f>
        <v>186.65</v>
      </c>
      <c r="D105" s="2" t="str">
        <f>Streaming_Stock_Watch!D105</f>
        <v>7201234</v>
      </c>
      <c r="E105" s="14">
        <f>Streaming_Stock_Watch!E105</f>
        <v>0</v>
      </c>
      <c r="F105" s="2" t="s">
        <v>2</v>
      </c>
    </row>
    <row r="106" spans="1:6" x14ac:dyDescent="0.25">
      <c r="A106" s="2" t="str">
        <f>Streaming_Stock_Watch!A106</f>
        <v>SAIL</v>
      </c>
      <c r="B106" s="2" t="str">
        <f>Streaming_Stock_Watch!B106</f>
        <v>03:58:44 PM</v>
      </c>
      <c r="C106" s="2" t="str">
        <f>Streaming_Stock_Watch!C106</f>
        <v>121.60</v>
      </c>
      <c r="D106" s="2" t="str">
        <f>Streaming_Stock_Watch!D106</f>
        <v>31984469</v>
      </c>
      <c r="E106" s="14">
        <f>Streaming_Stock_Watch!E106</f>
        <v>0</v>
      </c>
      <c r="F106" s="2" t="s">
        <v>2</v>
      </c>
    </row>
    <row r="107" spans="1:6" x14ac:dyDescent="0.25">
      <c r="A107" s="2" t="str">
        <f>Streaming_Stock_Watch!A107</f>
        <v>NATIONALUM</v>
      </c>
      <c r="B107" s="2" t="str">
        <f>Streaming_Stock_Watch!B107</f>
        <v>03:58:44 PM</v>
      </c>
      <c r="C107" s="2" t="str">
        <f>Streaming_Stock_Watch!C107</f>
        <v>90.75</v>
      </c>
      <c r="D107" s="2" t="str">
        <f>Streaming_Stock_Watch!D107</f>
        <v>59439489</v>
      </c>
      <c r="E107" s="14">
        <f>Streaming_Stock_Watch!E107</f>
        <v>0</v>
      </c>
      <c r="F107" s="2" t="s">
        <v>2</v>
      </c>
    </row>
    <row r="108" spans="1:6" x14ac:dyDescent="0.25">
      <c r="A108" s="2" t="str">
        <f>Streaming_Stock_Watch!A108</f>
        <v>HINDPETRO</v>
      </c>
      <c r="B108" s="2" t="str">
        <f>Streaming_Stock_Watch!B108</f>
        <v>03:58:20 PM</v>
      </c>
      <c r="C108" s="2" t="str">
        <f>Streaming_Stock_Watch!C108</f>
        <v>266.60</v>
      </c>
      <c r="D108" s="2" t="str">
        <f>Streaming_Stock_Watch!D108</f>
        <v>5862402</v>
      </c>
      <c r="E108" s="14">
        <f>Streaming_Stock_Watch!E108</f>
        <v>0</v>
      </c>
      <c r="F108" s="2" t="s">
        <v>2</v>
      </c>
    </row>
    <row r="109" spans="1:6" x14ac:dyDescent="0.25">
      <c r="A109" s="2" t="str">
        <f>Streaming_Stock_Watch!A109</f>
        <v>BHEL</v>
      </c>
      <c r="B109" s="2" t="str">
        <f>Streaming_Stock_Watch!B109</f>
        <v>03:59:58 PM</v>
      </c>
      <c r="C109" s="2" t="str">
        <f>Streaming_Stock_Watch!C109</f>
        <v>52.55</v>
      </c>
      <c r="D109" s="2" t="str">
        <f>Streaming_Stock_Watch!D109</f>
        <v>30251959</v>
      </c>
      <c r="E109" s="14">
        <f>Streaming_Stock_Watch!E109</f>
        <v>0</v>
      </c>
      <c r="F109" s="2" t="s">
        <v>2</v>
      </c>
    </row>
    <row r="110" spans="1:6" x14ac:dyDescent="0.25">
      <c r="A110" s="2" t="str">
        <f>Streaming_Stock_Watch!A110</f>
        <v>HINDZINC</v>
      </c>
      <c r="B110" s="2" t="str">
        <f>Streaming_Stock_Watch!B110</f>
        <v>03:53:39 PM</v>
      </c>
      <c r="C110" s="2" t="str">
        <f>Streaming_Stock_Watch!C110</f>
        <v>321.75</v>
      </c>
      <c r="D110" s="2" t="str">
        <f>Streaming_Stock_Watch!D110</f>
        <v>845627</v>
      </c>
      <c r="E110" s="14">
        <f>Streaming_Stock_Watch!E110</f>
        <v>0</v>
      </c>
      <c r="F110" s="2" t="s">
        <v>2</v>
      </c>
    </row>
    <row r="111" spans="1:6" x14ac:dyDescent="0.25">
      <c r="A111" s="2" t="str">
        <f>Streaming_Stock_Watch!A111</f>
        <v>TATAELXSI</v>
      </c>
      <c r="B111" s="2" t="str">
        <f>Streaming_Stock_Watch!B111</f>
        <v>03:58:51 PM</v>
      </c>
      <c r="C111" s="2" t="str">
        <f>Streaming_Stock_Watch!C111</f>
        <v>4770.95</v>
      </c>
      <c r="D111" s="2" t="str">
        <f>Streaming_Stock_Watch!D111</f>
        <v>137157</v>
      </c>
      <c r="E111" s="14">
        <f>Streaming_Stock_Watch!E111</f>
        <v>0</v>
      </c>
      <c r="F111" s="2" t="s">
        <v>2</v>
      </c>
    </row>
    <row r="112" spans="1:6" x14ac:dyDescent="0.25">
      <c r="A112" s="2" t="str">
        <f>Streaming_Stock_Watch!A112</f>
        <v>AARTIIND</v>
      </c>
      <c r="B112" s="2" t="str">
        <f>Streaming_Stock_Watch!B112</f>
        <v>03:59:05 PM</v>
      </c>
      <c r="C112" s="2" t="str">
        <f>Streaming_Stock_Watch!C112</f>
        <v>938.10</v>
      </c>
      <c r="D112" s="2" t="str">
        <f>Streaming_Stock_Watch!D112</f>
        <v>524749</v>
      </c>
      <c r="E112" s="14">
        <f>Streaming_Stock_Watch!E112</f>
        <v>0</v>
      </c>
      <c r="F112" s="2" t="s">
        <v>2</v>
      </c>
    </row>
    <row r="113" spans="1:6" x14ac:dyDescent="0.25">
      <c r="A113" s="2" t="str">
        <f>Streaming_Stock_Watch!A113</f>
        <v>PIIND</v>
      </c>
      <c r="B113" s="2" t="str">
        <f>Streaming_Stock_Watch!B113</f>
        <v>03:59:34 PM</v>
      </c>
      <c r="C113" s="2" t="str">
        <f>Streaming_Stock_Watch!C113</f>
        <v>3394.00</v>
      </c>
      <c r="D113" s="2" t="str">
        <f>Streaming_Stock_Watch!D113</f>
        <v>549536</v>
      </c>
      <c r="E113" s="14">
        <f>Streaming_Stock_Watch!E113</f>
        <v>0</v>
      </c>
      <c r="F113" s="2" t="s">
        <v>2</v>
      </c>
    </row>
    <row r="114" spans="1:6" x14ac:dyDescent="0.25">
      <c r="A114" s="2" t="str">
        <f>Streaming_Stock_Watch!A114</f>
        <v>TRIDENT</v>
      </c>
      <c r="B114" s="2" t="str">
        <f>Streaming_Stock_Watch!B114</f>
        <v>03:59:58 PM</v>
      </c>
      <c r="C114" s="2" t="str">
        <f>Streaming_Stock_Watch!C114</f>
        <v>20.65</v>
      </c>
      <c r="D114" s="2" t="str">
        <f>Streaming_Stock_Watch!D114</f>
        <v>18666411</v>
      </c>
      <c r="E114" s="14">
        <f>Streaming_Stock_Watch!E114</f>
        <v>0</v>
      </c>
      <c r="F114" s="2" t="s">
        <v>2</v>
      </c>
    </row>
    <row r="115" spans="1:6" x14ac:dyDescent="0.25">
      <c r="A115" s="2" t="str">
        <f>Streaming_Stock_Watch!A115</f>
        <v>LUPIN</v>
      </c>
      <c r="B115" s="2" t="str">
        <f>Streaming_Stock_Watch!B115</f>
        <v>03:57:28 PM</v>
      </c>
      <c r="C115" s="2" t="str">
        <f>Streaming_Stock_Watch!C115</f>
        <v>957.85</v>
      </c>
      <c r="D115" s="2" t="str">
        <f>Streaming_Stock_Watch!D115</f>
        <v>1286167</v>
      </c>
      <c r="E115" s="14">
        <f>Streaming_Stock_Watch!E115</f>
        <v>0</v>
      </c>
      <c r="F115" s="2" t="s">
        <v>2</v>
      </c>
    </row>
    <row r="116" spans="1:6" x14ac:dyDescent="0.25">
      <c r="A116" s="2" t="str">
        <f>Streaming_Stock_Watch!A116</f>
        <v>ZEEL</v>
      </c>
      <c r="B116" s="2" t="str">
        <f>Streaming_Stock_Watch!B116</f>
        <v>03:58:35 PM</v>
      </c>
      <c r="C116" s="2" t="str">
        <f>Streaming_Stock_Watch!C116</f>
        <v>171.65</v>
      </c>
      <c r="D116" s="2" t="str">
        <f>Streaming_Stock_Watch!D116</f>
        <v>4048562</v>
      </c>
      <c r="E116" s="14">
        <f>Streaming_Stock_Watch!E116</f>
        <v>0</v>
      </c>
      <c r="F116" s="2" t="s">
        <v>2</v>
      </c>
    </row>
    <row r="117" spans="1:6" x14ac:dyDescent="0.25">
      <c r="A117" s="2" t="str">
        <f>Streaming_Stock_Watch!A117</f>
        <v>PIDILITIND</v>
      </c>
      <c r="B117" s="2" t="str">
        <f>Streaming_Stock_Watch!B117</f>
        <v>03:58:15 PM</v>
      </c>
      <c r="C117" s="2" t="str">
        <f>Streaming_Stock_Watch!C117</f>
        <v>2280.35</v>
      </c>
      <c r="D117" s="2" t="str">
        <f>Streaming_Stock_Watch!D117</f>
        <v>644194</v>
      </c>
      <c r="E117" s="14">
        <f>Streaming_Stock_Watch!E117</f>
        <v>0</v>
      </c>
      <c r="F117" s="2" t="s">
        <v>2</v>
      </c>
    </row>
    <row r="118" spans="1:6" x14ac:dyDescent="0.25">
      <c r="A118" s="2" t="str">
        <f>Streaming_Stock_Watch!A118</f>
        <v>HAVELLS</v>
      </c>
      <c r="B118" s="2" t="str">
        <f>Streaming_Stock_Watch!B118</f>
        <v>03:53:57 PM</v>
      </c>
      <c r="C118" s="2" t="str">
        <f>Streaming_Stock_Watch!C118</f>
        <v>1268.45</v>
      </c>
      <c r="D118" s="2" t="str">
        <f>Streaming_Stock_Watch!D118</f>
        <v>4863922</v>
      </c>
      <c r="E118" s="14">
        <f>Streaming_Stock_Watch!E118</f>
        <v>0</v>
      </c>
      <c r="F118" s="2" t="s">
        <v>2</v>
      </c>
    </row>
    <row r="119" spans="1:6" x14ac:dyDescent="0.25">
      <c r="A119" s="2" t="str">
        <f>Streaming_Stock_Watch!A119</f>
        <v>MPHASIS</v>
      </c>
      <c r="B119" s="2" t="str">
        <f>Streaming_Stock_Watch!B119</f>
        <v>03:58:41 PM</v>
      </c>
      <c r="C119" s="2" t="str">
        <f>Streaming_Stock_Watch!C119</f>
        <v>2898.10</v>
      </c>
      <c r="D119" s="2" t="str">
        <f>Streaming_Stock_Watch!D119</f>
        <v>991789</v>
      </c>
      <c r="E119" s="14">
        <f>Streaming_Stock_Watch!E119</f>
        <v>0</v>
      </c>
      <c r="F119" s="2" t="s">
        <v>2</v>
      </c>
    </row>
    <row r="120" spans="1:6" x14ac:dyDescent="0.25">
      <c r="A120" s="2" t="str">
        <f>Streaming_Stock_Watch!A120</f>
        <v>DABUR</v>
      </c>
      <c r="B120" s="2" t="str">
        <f>Streaming_Stock_Watch!B120</f>
        <v>03:52:21 PM</v>
      </c>
      <c r="C120" s="2" t="str">
        <f>Streaming_Stock_Watch!C120</f>
        <v>621.50</v>
      </c>
      <c r="D120" s="2" t="str">
        <f>Streaming_Stock_Watch!D120</f>
        <v>3026655</v>
      </c>
      <c r="E120" s="14">
        <f>Streaming_Stock_Watch!E120</f>
        <v>0</v>
      </c>
      <c r="F120" s="2" t="s">
        <v>2</v>
      </c>
    </row>
    <row r="121" spans="1:6" x14ac:dyDescent="0.25">
      <c r="A121" s="2" t="str">
        <f>Streaming_Stock_Watch!A121</f>
        <v>TORNTPHARM</v>
      </c>
      <c r="B121" s="2" t="str">
        <f>Streaming_Stock_Watch!B121</f>
        <v>03:42:24 PM</v>
      </c>
      <c r="C121" s="2" t="str">
        <f>Streaming_Stock_Watch!C121</f>
        <v>3105.90</v>
      </c>
      <c r="D121" s="2" t="str">
        <f>Streaming_Stock_Watch!D121</f>
        <v>303454</v>
      </c>
      <c r="E121" s="14">
        <f>Streaming_Stock_Watch!E121</f>
        <v>0</v>
      </c>
      <c r="F121" s="2" t="s">
        <v>2</v>
      </c>
    </row>
    <row r="122" spans="1:6" x14ac:dyDescent="0.25">
      <c r="A122" s="2" t="str">
        <f>Streaming_Stock_Watch!A122</f>
        <v>IPCALAB</v>
      </c>
      <c r="B122" s="2" t="str">
        <f>Streaming_Stock_Watch!B122</f>
        <v>03:58:48 PM</v>
      </c>
      <c r="C122" s="2" t="str">
        <f>Streaming_Stock_Watch!C122</f>
        <v>2575.30</v>
      </c>
      <c r="D122" s="2" t="str">
        <f>Streaming_Stock_Watch!D122</f>
        <v>897311</v>
      </c>
      <c r="E122" s="14">
        <f>Streaming_Stock_Watch!E122</f>
        <v>0</v>
      </c>
      <c r="F122" s="2" t="s">
        <v>2</v>
      </c>
    </row>
    <row r="123" spans="1:6" x14ac:dyDescent="0.25">
      <c r="A123" s="2" t="str">
        <f>Streaming_Stock_Watch!A123</f>
        <v>FEDERALBNK</v>
      </c>
      <c r="B123" s="2" t="str">
        <f>Streaming_Stock_Watch!B123</f>
        <v>03:58:26 PM</v>
      </c>
      <c r="C123" s="2" t="str">
        <f>Streaming_Stock_Watch!C123</f>
        <v>81.25</v>
      </c>
      <c r="D123" s="2" t="str">
        <f>Streaming_Stock_Watch!D123</f>
        <v>13356776</v>
      </c>
      <c r="E123" s="14">
        <f>Streaming_Stock_Watch!E123</f>
        <v>0</v>
      </c>
      <c r="F123" s="2" t="s">
        <v>2</v>
      </c>
    </row>
    <row r="124" spans="1:6" x14ac:dyDescent="0.25">
      <c r="A124" s="2" t="str">
        <f>Streaming_Stock_Watch!A124</f>
        <v>ADANIENT</v>
      </c>
      <c r="B124" s="2" t="str">
        <f>Streaming_Stock_Watch!B124</f>
        <v>03:59:28 PM</v>
      </c>
      <c r="C124" s="2" t="str">
        <f>Streaming_Stock_Watch!C124</f>
        <v>1587.60</v>
      </c>
      <c r="D124" s="2" t="str">
        <f>Streaming_Stock_Watch!D124</f>
        <v>7234384</v>
      </c>
      <c r="E124" s="14">
        <f>Streaming_Stock_Watch!E124</f>
        <v>0</v>
      </c>
      <c r="F124" s="2" t="s">
        <v>2</v>
      </c>
    </row>
    <row r="125" spans="1:6" x14ac:dyDescent="0.25">
      <c r="A125" s="2" t="str">
        <f>Streaming_Stock_Watch!A125</f>
        <v>LICHSGFIN</v>
      </c>
      <c r="B125" s="2" t="str">
        <f>Streaming_Stock_Watch!B125</f>
        <v>03:57:46 PM</v>
      </c>
      <c r="C125" s="2" t="str">
        <f>Streaming_Stock_Watch!C125</f>
        <v>402.25</v>
      </c>
      <c r="D125" s="2" t="str">
        <f>Streaming_Stock_Watch!D125</f>
        <v>5154473</v>
      </c>
      <c r="E125" s="14">
        <f>Streaming_Stock_Watch!E125</f>
        <v>0</v>
      </c>
      <c r="F125" s="2" t="s">
        <v>2</v>
      </c>
    </row>
    <row r="126" spans="1:6" x14ac:dyDescent="0.25">
      <c r="A126" s="2" t="str">
        <f>Streaming_Stock_Watch!A126</f>
        <v>AUROPHARMA</v>
      </c>
      <c r="B126" s="2" t="str">
        <f>Streaming_Stock_Watch!B126</f>
        <v>03:58:44 PM</v>
      </c>
      <c r="C126" s="2" t="str">
        <f>Streaming_Stock_Watch!C126</f>
        <v>727.30</v>
      </c>
      <c r="D126" s="2" t="str">
        <f>Streaming_Stock_Watch!D126</f>
        <v>3877654</v>
      </c>
      <c r="E126" s="14">
        <f>Streaming_Stock_Watch!E126</f>
        <v>0</v>
      </c>
      <c r="F126" s="2" t="s">
        <v>2</v>
      </c>
    </row>
    <row r="127" spans="1:6" x14ac:dyDescent="0.25">
      <c r="A127" s="2" t="str">
        <f>Streaming_Stock_Watch!A127</f>
        <v>NATCOPHARM</v>
      </c>
      <c r="B127" s="2" t="str">
        <f>Streaming_Stock_Watch!B127</f>
        <v>03:44:03 PM</v>
      </c>
      <c r="C127" s="2" t="str">
        <f>Streaming_Stock_Watch!C127</f>
        <v>945.30</v>
      </c>
      <c r="D127" s="2" t="str">
        <f>Streaming_Stock_Watch!D127</f>
        <v>189887</v>
      </c>
      <c r="E127" s="14">
        <f>Streaming_Stock_Watch!E127</f>
        <v>0</v>
      </c>
      <c r="F127" s="2" t="s">
        <v>2</v>
      </c>
    </row>
    <row r="128" spans="1:6" x14ac:dyDescent="0.25">
      <c r="A128" s="2" t="str">
        <f>Streaming_Stock_Watch!A128</f>
        <v>OIL</v>
      </c>
      <c r="B128" s="2" t="str">
        <f>Streaming_Stock_Watch!B128</f>
        <v>03:59:43 PM</v>
      </c>
      <c r="C128" s="2" t="str">
        <f>Streaming_Stock_Watch!C128</f>
        <v>182.00</v>
      </c>
      <c r="D128" s="2" t="str">
        <f>Streaming_Stock_Watch!D128</f>
        <v>2025284</v>
      </c>
      <c r="E128" s="14">
        <f>Streaming_Stock_Watch!E128</f>
        <v>0</v>
      </c>
      <c r="F128" s="2" t="s">
        <v>2</v>
      </c>
    </row>
    <row r="129" spans="1:6" x14ac:dyDescent="0.25">
      <c r="A129" s="2" t="str">
        <f>Streaming_Stock_Watch!A129</f>
        <v>BANKBARODA</v>
      </c>
      <c r="B129" s="2" t="str">
        <f>Streaming_Stock_Watch!B129</f>
        <v>03:59:53 PM</v>
      </c>
      <c r="C129" s="2" t="str">
        <f>Streaming_Stock_Watch!C129</f>
        <v>77.35</v>
      </c>
      <c r="D129" s="2" t="str">
        <f>Streaming_Stock_Watch!D129</f>
        <v>26501208</v>
      </c>
      <c r="E129" s="14">
        <f>Streaming_Stock_Watch!E129</f>
        <v>0</v>
      </c>
      <c r="F129" s="2" t="s">
        <v>2</v>
      </c>
    </row>
    <row r="130" spans="1:6" x14ac:dyDescent="0.25">
      <c r="A130" s="2" t="str">
        <f>Streaming_Stock_Watch!A130</f>
        <v>CANBK</v>
      </c>
      <c r="B130" s="2" t="str">
        <f>Streaming_Stock_Watch!B130</f>
        <v>03:59:58 PM</v>
      </c>
      <c r="C130" s="2" t="str">
        <f>Streaming_Stock_Watch!C130</f>
        <v>159.10</v>
      </c>
      <c r="D130" s="2" t="str">
        <f>Streaming_Stock_Watch!D130</f>
        <v>32668471</v>
      </c>
      <c r="E130" s="14">
        <f>Streaming_Stock_Watch!E130</f>
        <v>0</v>
      </c>
      <c r="F130" s="2" t="s">
        <v>2</v>
      </c>
    </row>
    <row r="131" spans="1:6" x14ac:dyDescent="0.25">
      <c r="A131" s="2" t="str">
        <f>Streaming_Stock_Watch!A131</f>
        <v>UNIONBANK</v>
      </c>
      <c r="B131" s="2" t="str">
        <f>Streaming_Stock_Watch!B131</f>
        <v>03:54:53 PM</v>
      </c>
      <c r="C131" s="2" t="str">
        <f>Streaming_Stock_Watch!C131</f>
        <v>35.40</v>
      </c>
      <c r="D131" s="2" t="str">
        <f>Streaming_Stock_Watch!D131</f>
        <v>8484467</v>
      </c>
      <c r="E131" s="14">
        <f>Streaming_Stock_Watch!E131</f>
        <v>0</v>
      </c>
      <c r="F131" s="2" t="s">
        <v>2</v>
      </c>
    </row>
    <row r="132" spans="1:6" x14ac:dyDescent="0.25">
      <c r="A132" s="2" t="str">
        <f>Streaming_Stock_Watch!A132</f>
        <v>BANKINDIA</v>
      </c>
      <c r="B132" s="2" t="str">
        <f>Streaming_Stock_Watch!B132</f>
        <v>03:59:39 PM</v>
      </c>
      <c r="C132" s="2" t="str">
        <f>Streaming_Stock_Watch!C132</f>
        <v>66.35</v>
      </c>
      <c r="D132" s="2" t="str">
        <f>Streaming_Stock_Watch!D132</f>
        <v>3740761</v>
      </c>
      <c r="E132" s="14">
        <f>Streaming_Stock_Watch!E132</f>
        <v>0</v>
      </c>
      <c r="F132" s="2" t="s">
        <v>2</v>
      </c>
    </row>
    <row r="133" spans="1:6" x14ac:dyDescent="0.25">
      <c r="A133" s="2" t="str">
        <f>Streaming_Stock_Watch!A133</f>
        <v>JKPAPER</v>
      </c>
      <c r="B133" s="2" t="str">
        <f>Streaming_Stock_Watch!B133</f>
        <v>03:56:50 PM</v>
      </c>
      <c r="C133" s="2" t="str">
        <f>Streaming_Stock_Watch!C133</f>
        <v>244.45</v>
      </c>
      <c r="D133" s="2" t="str">
        <f>Streaming_Stock_Watch!D133</f>
        <v>994527</v>
      </c>
      <c r="E133" s="14">
        <f>Streaming_Stock_Watch!E133</f>
        <v>0</v>
      </c>
      <c r="F133" s="2" t="s">
        <v>2</v>
      </c>
    </row>
    <row r="134" spans="1:6" x14ac:dyDescent="0.25">
      <c r="A134" s="2" t="str">
        <f>Streaming_Stock_Watch!A134</f>
        <v>RBLBANK</v>
      </c>
      <c r="B134" s="2" t="str">
        <f>Streaming_Stock_Watch!B134</f>
        <v>03:59:42 PM</v>
      </c>
      <c r="C134" s="2" t="str">
        <f>Streaming_Stock_Watch!C134</f>
        <v>165.50</v>
      </c>
      <c r="D134" s="2" t="str">
        <f>Streaming_Stock_Watch!D134</f>
        <v>7227276</v>
      </c>
      <c r="E134" s="14">
        <f>Streaming_Stock_Watch!E134</f>
        <v>0</v>
      </c>
      <c r="F134" s="2" t="s">
        <v>2</v>
      </c>
    </row>
    <row r="135" spans="1:6" x14ac:dyDescent="0.25">
      <c r="A135" s="2" t="str">
        <f>Streaming_Stock_Watch!A135</f>
        <v>MANAPPURAM</v>
      </c>
      <c r="B135" s="2" t="str">
        <f>Streaming_Stock_Watch!B135</f>
        <v>03:58:42 PM</v>
      </c>
      <c r="C135" s="2" t="str">
        <f>Streaming_Stock_Watch!C135</f>
        <v>160.40</v>
      </c>
      <c r="D135" s="2" t="str">
        <f>Streaming_Stock_Watch!D135</f>
        <v>5465973</v>
      </c>
      <c r="E135" s="14">
        <f>Streaming_Stock_Watch!E135</f>
        <v>0</v>
      </c>
      <c r="F135" s="2" t="s">
        <v>2</v>
      </c>
    </row>
    <row r="136" spans="1:6" x14ac:dyDescent="0.25">
      <c r="A136" s="2" t="str">
        <f>Streaming_Stock_Watch!A136</f>
        <v>EMAMILTD</v>
      </c>
      <c r="B136" s="2" t="str">
        <f>Streaming_Stock_Watch!B136</f>
        <v>03:55:15 PM</v>
      </c>
      <c r="C136" s="2" t="str">
        <f>Streaming_Stock_Watch!C136</f>
        <v>597.20</v>
      </c>
      <c r="D136" s="2" t="str">
        <f>Streaming_Stock_Watch!D136</f>
        <v>763439</v>
      </c>
      <c r="E136" s="14">
        <f>Streaming_Stock_Watch!E136</f>
        <v>0</v>
      </c>
      <c r="F136" s="2" t="s">
        <v>2</v>
      </c>
    </row>
    <row r="137" spans="1:6" x14ac:dyDescent="0.25">
      <c r="A137" s="2" t="str">
        <f>Streaming_Stock_Watch!A137</f>
        <v>DLF</v>
      </c>
      <c r="B137" s="2" t="str">
        <f>Streaming_Stock_Watch!B137</f>
        <v>03:57:39 PM</v>
      </c>
      <c r="C137" s="2" t="str">
        <f>Streaming_Stock_Watch!C137</f>
        <v>320.55</v>
      </c>
      <c r="D137" s="2" t="str">
        <f>Streaming_Stock_Watch!D137</f>
        <v>9726975</v>
      </c>
      <c r="E137" s="14">
        <f>Streaming_Stock_Watch!E137</f>
        <v>0</v>
      </c>
      <c r="F137" s="2" t="s">
        <v>2</v>
      </c>
    </row>
    <row r="138" spans="1:6" x14ac:dyDescent="0.25">
      <c r="A138" s="2" t="str">
        <f>Streaming_Stock_Watch!A138</f>
        <v>CUB</v>
      </c>
      <c r="B138" s="2" t="str">
        <f>Streaming_Stock_Watch!B138</f>
        <v>03:54:15 PM</v>
      </c>
      <c r="C138" s="2" t="str">
        <f>Streaming_Stock_Watch!C138</f>
        <v>151.75</v>
      </c>
      <c r="D138" s="2" t="str">
        <f>Streaming_Stock_Watch!D138</f>
        <v>1832677</v>
      </c>
      <c r="E138" s="14">
        <f>Streaming_Stock_Watch!E138</f>
        <v>0</v>
      </c>
      <c r="F138" s="2" t="s">
        <v>2</v>
      </c>
    </row>
    <row r="139" spans="1:6" x14ac:dyDescent="0.25">
      <c r="A139" s="2" t="str">
        <f>Streaming_Stock_Watch!A139</f>
        <v>PNB</v>
      </c>
      <c r="B139" s="2" t="str">
        <f>Streaming_Stock_Watch!B139</f>
        <v>03:59:48 PM</v>
      </c>
      <c r="C139" s="2" t="str">
        <f>Streaming_Stock_Watch!C139</f>
        <v>36.65</v>
      </c>
      <c r="D139" s="2" t="str">
        <f>Streaming_Stock_Watch!D139</f>
        <v>56641931</v>
      </c>
      <c r="E139" s="14">
        <f>Streaming_Stock_Watch!E139</f>
        <v>0</v>
      </c>
      <c r="F139" s="2" t="s">
        <v>2</v>
      </c>
    </row>
    <row r="140" spans="1:6" x14ac:dyDescent="0.25">
      <c r="A140" s="2" t="str">
        <f>Streaming_Stock_Watch!A140</f>
        <v>TVSMOTOR</v>
      </c>
      <c r="B140" s="2" t="str">
        <f>Streaming_Stock_Watch!B140</f>
        <v>03:53:00 PM</v>
      </c>
      <c r="C140" s="2" t="str">
        <f>Streaming_Stock_Watch!C140</f>
        <v>525.15</v>
      </c>
      <c r="D140" s="2" t="str">
        <f>Streaming_Stock_Watch!D140</f>
        <v>4309112</v>
      </c>
      <c r="E140" s="14">
        <f>Streaming_Stock_Watch!E140</f>
        <v>0</v>
      </c>
      <c r="F140" s="2" t="s">
        <v>2</v>
      </c>
    </row>
    <row r="141" spans="1:6" x14ac:dyDescent="0.25">
      <c r="A141" s="2" t="str">
        <f>Streaming_Stock_Watch!A141</f>
        <v>MCDOWELL</v>
      </c>
      <c r="B141" s="2" t="str">
        <f>Streaming_Stock_Watch!B141</f>
        <v>03:57:44 PM</v>
      </c>
      <c r="C141" s="2" t="str">
        <f>Streaming_Stock_Watch!C141</f>
        <v>715.15</v>
      </c>
      <c r="D141" s="2" t="str">
        <f>Streaming_Stock_Watch!D141</f>
        <v>2952559</v>
      </c>
      <c r="E141" s="14">
        <f>Streaming_Stock_Watch!E141</f>
        <v>0</v>
      </c>
      <c r="F141" s="2" t="s">
        <v>2</v>
      </c>
    </row>
    <row r="142" spans="1:6" x14ac:dyDescent="0.25">
      <c r="A142" s="2" t="str">
        <f>Streaming_Stock_Watch!A142</f>
        <v>HAL</v>
      </c>
      <c r="B142" s="2" t="str">
        <f>Streaming_Stock_Watch!B142</f>
        <v>03:58:24 PM</v>
      </c>
      <c r="C142" s="2" t="str">
        <f>Streaming_Stock_Watch!C142</f>
        <v>1375.80</v>
      </c>
      <c r="D142" s="2" t="str">
        <f>Streaming_Stock_Watch!D142</f>
        <v>1253854</v>
      </c>
      <c r="E142" s="14">
        <f>Streaming_Stock_Watch!E142</f>
        <v>0</v>
      </c>
      <c r="F142" s="2" t="s">
        <v>2</v>
      </c>
    </row>
    <row r="143" spans="1:6" x14ac:dyDescent="0.25">
      <c r="A143" s="2" t="str">
        <f>Streaming_Stock_Watch!A143</f>
        <v>NMDC</v>
      </c>
      <c r="B143" s="2" t="str">
        <f>Streaming_Stock_Watch!B143</f>
        <v>03:57:43 PM</v>
      </c>
      <c r="C143" s="2" t="str">
        <f>Streaming_Stock_Watch!C143</f>
        <v>154.05</v>
      </c>
      <c r="D143" s="2" t="str">
        <f>Streaming_Stock_Watch!D143</f>
        <v>12714721</v>
      </c>
      <c r="E143" s="14">
        <f>Streaming_Stock_Watch!E143</f>
        <v>0</v>
      </c>
      <c r="F143" s="2" t="s">
        <v>2</v>
      </c>
    </row>
    <row r="144" spans="1:6" x14ac:dyDescent="0.25">
      <c r="A144" s="2" t="str">
        <f>Streaming_Stock_Watch!A144</f>
        <v>PFC</v>
      </c>
      <c r="B144" s="2" t="str">
        <f>Streaming_Stock_Watch!B144</f>
        <v>03:55:54 PM</v>
      </c>
      <c r="C144" s="2" t="str">
        <f>Streaming_Stock_Watch!C144</f>
        <v>129.05</v>
      </c>
      <c r="D144" s="2" t="str">
        <f>Streaming_Stock_Watch!D144</f>
        <v>4697193</v>
      </c>
      <c r="E144" s="14">
        <f>Streaming_Stock_Watch!E144</f>
        <v>0</v>
      </c>
      <c r="F144" s="2" t="s">
        <v>2</v>
      </c>
    </row>
    <row r="145" spans="1:6" x14ac:dyDescent="0.25">
      <c r="A145" s="2" t="str">
        <f>Streaming_Stock_Watch!A145</f>
        <v>GAIL</v>
      </c>
      <c r="B145" s="2" t="str">
        <f>Streaming_Stock_Watch!B145</f>
        <v>03:58:31 PM</v>
      </c>
      <c r="C145" s="2" t="str">
        <f>Streaming_Stock_Watch!C145</f>
        <v>146.15</v>
      </c>
      <c r="D145" s="2" t="str">
        <f>Streaming_Stock_Watch!D145</f>
        <v>14009836</v>
      </c>
      <c r="E145" s="14">
        <f>Streaming_Stock_Watch!E145</f>
        <v>0</v>
      </c>
      <c r="F145" s="2" t="s">
        <v>2</v>
      </c>
    </row>
    <row r="146" spans="1:6" x14ac:dyDescent="0.25">
      <c r="A146" s="2" t="str">
        <f>Streaming_Stock_Watch!A146</f>
        <v>ISEC</v>
      </c>
      <c r="B146" s="2" t="str">
        <f>Streaming_Stock_Watch!B146</f>
        <v>03:59:15 PM</v>
      </c>
      <c r="C146" s="2" t="str">
        <f>Streaming_Stock_Watch!C146</f>
        <v>721.60</v>
      </c>
      <c r="D146" s="2" t="str">
        <f>Streaming_Stock_Watch!D146</f>
        <v>259360</v>
      </c>
      <c r="E146" s="14">
        <f>Streaming_Stock_Watch!E146</f>
        <v>0</v>
      </c>
      <c r="F146" s="2" t="s">
        <v>2</v>
      </c>
    </row>
    <row r="147" spans="1:6" x14ac:dyDescent="0.25">
      <c r="A147" s="2" t="str">
        <f>Streaming_Stock_Watch!A147</f>
        <v>PAGEIND</v>
      </c>
      <c r="B147" s="2" t="str">
        <f>Streaming_Stock_Watch!B147</f>
        <v>03:29:52 PM</v>
      </c>
      <c r="C147" s="2" t="str">
        <f>Streaming_Stock_Watch!C147</f>
        <v>31499.10</v>
      </c>
      <c r="D147" s="2" t="str">
        <f>Streaming_Stock_Watch!D147</f>
        <v>23477</v>
      </c>
      <c r="E147" s="14">
        <f>Streaming_Stock_Watch!E147</f>
        <v>0</v>
      </c>
      <c r="F147" s="2" t="s">
        <v>2</v>
      </c>
    </row>
    <row r="148" spans="1:6" x14ac:dyDescent="0.25">
      <c r="A148" s="2" t="str">
        <f>Streaming_Stock_Watch!A148</f>
        <v>MARICO</v>
      </c>
      <c r="B148" s="2" t="str">
        <f>Streaming_Stock_Watch!B148</f>
        <v>03:52:16 PM</v>
      </c>
      <c r="C148" s="2" t="str">
        <f>Streaming_Stock_Watch!C148</f>
        <v>544.45</v>
      </c>
      <c r="D148" s="2" t="str">
        <f>Streaming_Stock_Watch!D148</f>
        <v>5014916</v>
      </c>
      <c r="E148" s="14">
        <f>Streaming_Stock_Watch!E148</f>
        <v>0</v>
      </c>
      <c r="F148" s="2" t="s">
        <v>2</v>
      </c>
    </row>
    <row r="149" spans="1:6" x14ac:dyDescent="0.25">
      <c r="A149" s="2" t="str">
        <f>Streaming_Stock_Watch!A149</f>
        <v>CONCOR</v>
      </c>
      <c r="B149" s="2" t="str">
        <f>Streaming_Stock_Watch!B149</f>
        <v>03:50:59 PM</v>
      </c>
      <c r="C149" s="2" t="str">
        <f>Streaming_Stock_Watch!C149</f>
        <v>679.55</v>
      </c>
      <c r="D149" s="2" t="str">
        <f>Streaming_Stock_Watch!D149</f>
        <v>2201566</v>
      </c>
      <c r="E149" s="14">
        <f>Streaming_Stock_Watch!E149</f>
        <v>0</v>
      </c>
      <c r="F149" s="2" t="s">
        <v>2</v>
      </c>
    </row>
    <row r="150" spans="1:6" x14ac:dyDescent="0.25">
      <c r="A150" s="2" t="str">
        <f>Streaming_Stock_Watch!A150</f>
        <v>NAM-INDIA</v>
      </c>
      <c r="B150" s="2" t="str">
        <f>Streaming_Stock_Watch!B150</f>
        <v>03:51:16 PM</v>
      </c>
      <c r="C150" s="2" t="str">
        <f>Streaming_Stock_Watch!C150</f>
        <v>424.10</v>
      </c>
      <c r="D150" s="2" t="str">
        <f>Streaming_Stock_Watch!D150</f>
        <v>1367796</v>
      </c>
      <c r="E150" s="14">
        <f>Streaming_Stock_Watch!E150</f>
        <v>0</v>
      </c>
      <c r="F150" s="2" t="s">
        <v>2</v>
      </c>
    </row>
    <row r="151" spans="1:6" x14ac:dyDescent="0.25">
      <c r="A151" s="2" t="str">
        <f>Streaming_Stock_Watch!A151</f>
        <v>PRESTIGE</v>
      </c>
      <c r="B151" s="2" t="str">
        <f>Streaming_Stock_Watch!B151</f>
        <v>03:55:22 PM</v>
      </c>
      <c r="C151" s="2" t="str">
        <f>Streaming_Stock_Watch!C151</f>
        <v>352.65</v>
      </c>
      <c r="D151" s="2" t="str">
        <f>Streaming_Stock_Watch!D151</f>
        <v>861054</v>
      </c>
      <c r="E151" s="14">
        <f>Streaming_Stock_Watch!E151</f>
        <v>0</v>
      </c>
      <c r="F151" s="2" t="s">
        <v>2</v>
      </c>
    </row>
    <row r="152" spans="1:6" x14ac:dyDescent="0.25">
      <c r="A152" s="2" t="str">
        <f>Streaming_Stock_Watch!A152</f>
        <v>MGL</v>
      </c>
      <c r="B152" s="2" t="str">
        <f>Streaming_Stock_Watch!B152</f>
        <v>03:50:28 PM</v>
      </c>
      <c r="C152" s="2" t="str">
        <f>Streaming_Stock_Watch!C152</f>
        <v>1146.65</v>
      </c>
      <c r="D152" s="2" t="str">
        <f>Streaming_Stock_Watch!D152</f>
        <v>244169</v>
      </c>
      <c r="E152" s="14">
        <f>Streaming_Stock_Watch!E152</f>
        <v>0</v>
      </c>
      <c r="F152" s="2" t="s">
        <v>2</v>
      </c>
    </row>
    <row r="153" spans="1:6" x14ac:dyDescent="0.25">
      <c r="A153" s="2" t="str">
        <f>Streaming_Stock_Watch!A153</f>
        <v>AJANTPHARM</v>
      </c>
      <c r="B153" s="2" t="str">
        <f>Streaming_Stock_Watch!B153</f>
        <v>03:43:27 PM</v>
      </c>
      <c r="C153" s="2" t="str">
        <f>Streaming_Stock_Watch!C153</f>
        <v>2227.80</v>
      </c>
      <c r="D153" s="2" t="str">
        <f>Streaming_Stock_Watch!D153</f>
        <v>106173</v>
      </c>
      <c r="E153" s="14">
        <f>Streaming_Stock_Watch!E153</f>
        <v>0</v>
      </c>
      <c r="F153" s="2" t="s">
        <v>2</v>
      </c>
    </row>
    <row r="154" spans="1:6" x14ac:dyDescent="0.25">
      <c r="A154" s="2" t="str">
        <f>Streaming_Stock_Watch!A154</f>
        <v>GLAND</v>
      </c>
      <c r="B154" s="2" t="str">
        <f>Streaming_Stock_Watch!B154</f>
        <v>03:56:08 PM</v>
      </c>
      <c r="C154" s="2" t="str">
        <f>Streaming_Stock_Watch!C154</f>
        <v>3893.90</v>
      </c>
      <c r="D154" s="2" t="str">
        <f>Streaming_Stock_Watch!D154</f>
        <v>88600</v>
      </c>
      <c r="E154" s="14">
        <f>Streaming_Stock_Watch!E154</f>
        <v>0</v>
      </c>
      <c r="F154" s="2" t="s">
        <v>2</v>
      </c>
    </row>
    <row r="155" spans="1:6" x14ac:dyDescent="0.25">
      <c r="A155" s="2" t="str">
        <f>Streaming_Stock_Watch!A155</f>
        <v>JUBLFOOD</v>
      </c>
      <c r="B155" s="2" t="str">
        <f>Streaming_Stock_Watch!B155</f>
        <v>03:52:34 PM</v>
      </c>
      <c r="C155" s="2" t="str">
        <f>Streaming_Stock_Watch!C155</f>
        <v>3995.00</v>
      </c>
      <c r="D155" s="2" t="str">
        <f>Streaming_Stock_Watch!D155</f>
        <v>722322</v>
      </c>
      <c r="E155" s="14">
        <f>Streaming_Stock_Watch!E155</f>
        <v>0</v>
      </c>
      <c r="F155" s="2" t="s">
        <v>2</v>
      </c>
    </row>
    <row r="156" spans="1:6" x14ac:dyDescent="0.25">
      <c r="A156" s="2" t="str">
        <f>Streaming_Stock_Watch!A156</f>
        <v>BIOCON</v>
      </c>
      <c r="B156" s="2" t="str">
        <f>Streaming_Stock_Watch!B156</f>
        <v>03:59:21 PM</v>
      </c>
      <c r="C156" s="2" t="str">
        <f>Streaming_Stock_Watch!C156</f>
        <v>358.85</v>
      </c>
      <c r="D156" s="2" t="str">
        <f>Streaming_Stock_Watch!D156</f>
        <v>2105520</v>
      </c>
      <c r="E156" s="14">
        <f>Streaming_Stock_Watch!E156</f>
        <v>0</v>
      </c>
      <c r="F156" s="2" t="s">
        <v>2</v>
      </c>
    </row>
    <row r="157" spans="1:6" x14ac:dyDescent="0.25">
      <c r="A157" s="2" t="str">
        <f>Streaming_Stock_Watch!A157</f>
        <v>SUNTV</v>
      </c>
      <c r="B157" s="2" t="str">
        <f>Streaming_Stock_Watch!B157</f>
        <v>03:58:00 PM</v>
      </c>
      <c r="C157" s="2" t="str">
        <f>Streaming_Stock_Watch!C157</f>
        <v>482.55</v>
      </c>
      <c r="D157" s="2" t="str">
        <f>Streaming_Stock_Watch!D157</f>
        <v>1134382</v>
      </c>
      <c r="E157" s="14">
        <f>Streaming_Stock_Watch!E157</f>
        <v>0</v>
      </c>
      <c r="F157" s="2" t="s">
        <v>2</v>
      </c>
    </row>
    <row r="158" spans="1:6" x14ac:dyDescent="0.25">
      <c r="A158" s="2" t="str">
        <f>Streaming_Stock_Watch!A158</f>
        <v>GODREJPROP</v>
      </c>
      <c r="B158" s="2" t="str">
        <f>Streaming_Stock_Watch!B158</f>
        <v>03:56:55 PM</v>
      </c>
      <c r="C158" s="2" t="str">
        <f>Streaming_Stock_Watch!C158</f>
        <v>1489.00</v>
      </c>
      <c r="D158" s="2" t="str">
        <f>Streaming_Stock_Watch!D158</f>
        <v>554834</v>
      </c>
      <c r="E158" s="14">
        <f>Streaming_Stock_Watch!E158</f>
        <v>0</v>
      </c>
      <c r="F158" s="2" t="s">
        <v>2</v>
      </c>
    </row>
    <row r="159" spans="1:6" x14ac:dyDescent="0.25">
      <c r="A159" s="2" t="str">
        <f>Streaming_Stock_Watch!A159</f>
        <v>GODREJAGRO</v>
      </c>
      <c r="B159" s="2" t="str">
        <f>Streaming_Stock_Watch!B159</f>
        <v>03:49:55 PM</v>
      </c>
      <c r="C159" s="2" t="str">
        <f>Streaming_Stock_Watch!C159</f>
        <v>632.00</v>
      </c>
      <c r="D159" s="2" t="str">
        <f>Streaming_Stock_Watch!D159</f>
        <v>115072</v>
      </c>
      <c r="E159" s="14">
        <f>Streaming_Stock_Watch!E159</f>
        <v>0</v>
      </c>
      <c r="F159" s="2" t="s">
        <v>2</v>
      </c>
    </row>
    <row r="160" spans="1:6" x14ac:dyDescent="0.25">
      <c r="A160" s="2" t="str">
        <f>Streaming_Stock_Watch!A160</f>
        <v>M&amp;MFIN</v>
      </c>
      <c r="B160" s="2" t="str">
        <f>Streaming_Stock_Watch!B160</f>
        <v>03:53:30 PM</v>
      </c>
      <c r="C160" s="2" t="str">
        <f>Streaming_Stock_Watch!C160</f>
        <v>160.15</v>
      </c>
      <c r="D160" s="2" t="str">
        <f>Streaming_Stock_Watch!D160</f>
        <v>8068293</v>
      </c>
      <c r="E160" s="14">
        <f>Streaming_Stock_Watch!E160</f>
        <v>0</v>
      </c>
      <c r="F160" s="2" t="s">
        <v>2</v>
      </c>
    </row>
    <row r="161" spans="1:6" x14ac:dyDescent="0.25">
      <c r="A161" s="2" t="str">
        <f>Streaming_Stock_Watch!A161</f>
        <v>RECLTD</v>
      </c>
      <c r="B161" s="2" t="str">
        <f>Streaming_Stock_Watch!B161</f>
        <v>03:58:55 PM</v>
      </c>
      <c r="C161" s="2" t="str">
        <f>Streaming_Stock_Watch!C161</f>
        <v>151.70</v>
      </c>
      <c r="D161" s="2" t="str">
        <f>Streaming_Stock_Watch!D161</f>
        <v>4378579</v>
      </c>
      <c r="E161" s="14">
        <f>Streaming_Stock_Watch!E161</f>
        <v>0</v>
      </c>
      <c r="F161" s="2" t="s">
        <v>2</v>
      </c>
    </row>
    <row r="162" spans="1:6" x14ac:dyDescent="0.25">
      <c r="A162" s="2" t="str">
        <f>Streaming_Stock_Watch!A162</f>
        <v>LTI</v>
      </c>
      <c r="B162" s="2" t="str">
        <f>Streaming_Stock_Watch!B162</f>
        <v>03:43:18 PM</v>
      </c>
      <c r="C162" s="2" t="str">
        <f>Streaming_Stock_Watch!C162</f>
        <v>5312.45</v>
      </c>
      <c r="D162" s="2" t="str">
        <f>Streaming_Stock_Watch!D162</f>
        <v>282387</v>
      </c>
      <c r="E162" s="14">
        <f>Streaming_Stock_Watch!E162</f>
        <v>0</v>
      </c>
      <c r="F162" s="2" t="s">
        <v>2</v>
      </c>
    </row>
    <row r="163" spans="1:6" x14ac:dyDescent="0.25">
      <c r="A163" s="2" t="str">
        <f>Streaming_Stock_Watch!A163</f>
        <v>TORNTPOWER</v>
      </c>
      <c r="B163" s="2" t="str">
        <f>Streaming_Stock_Watch!B163</f>
        <v>03:42:09 PM</v>
      </c>
      <c r="C163" s="2" t="str">
        <f>Streaming_Stock_Watch!C163</f>
        <v>481.50</v>
      </c>
      <c r="D163" s="2" t="str">
        <f>Streaming_Stock_Watch!D163</f>
        <v>934369</v>
      </c>
      <c r="E163" s="14">
        <f>Streaming_Stock_Watch!E163</f>
        <v>0</v>
      </c>
      <c r="F163" s="2" t="s">
        <v>2</v>
      </c>
    </row>
    <row r="164" spans="1:6" x14ac:dyDescent="0.25">
      <c r="A164" s="2" t="str">
        <f>Streaming_Stock_Watch!A164</f>
        <v>NAUKRI</v>
      </c>
      <c r="B164" s="2" t="str">
        <f>Streaming_Stock_Watch!B164</f>
        <v>03:54:00 PM</v>
      </c>
      <c r="C164" s="2" t="str">
        <f>Streaming_Stock_Watch!C164</f>
        <v>6182.35</v>
      </c>
      <c r="D164" s="2" t="str">
        <f>Streaming_Stock_Watch!D164</f>
        <v>606196</v>
      </c>
      <c r="E164" s="14">
        <f>Streaming_Stock_Watch!E164</f>
        <v>0</v>
      </c>
      <c r="F164" s="2" t="s">
        <v>2</v>
      </c>
    </row>
    <row r="165" spans="1:6" x14ac:dyDescent="0.25">
      <c r="A165" s="2" t="str">
        <f>Streaming_Stock_Watch!A165</f>
        <v>ALKEM</v>
      </c>
      <c r="B165" s="2" t="str">
        <f>Streaming_Stock_Watch!B165</f>
        <v>03:53:02 PM</v>
      </c>
      <c r="C165" s="2" t="str">
        <f>Streaming_Stock_Watch!C165</f>
        <v>3878.60</v>
      </c>
      <c r="D165" s="2" t="str">
        <f>Streaming_Stock_Watch!D165</f>
        <v>90295</v>
      </c>
      <c r="E165" s="14">
        <f>Streaming_Stock_Watch!E165</f>
        <v>0</v>
      </c>
      <c r="F165" s="2" t="s">
        <v>2</v>
      </c>
    </row>
    <row r="166" spans="1:6" x14ac:dyDescent="0.25">
      <c r="A166" s="2" t="str">
        <f>Streaming_Stock_Watch!A166</f>
        <v>VGUARD</v>
      </c>
      <c r="B166" s="2" t="str">
        <f>Streaming_Stock_Watch!B166</f>
        <v>03:58:36 PM</v>
      </c>
      <c r="C166" s="2" t="str">
        <f>Streaming_Stock_Watch!C166</f>
        <v>243.45</v>
      </c>
      <c r="D166" s="2" t="str">
        <f>Streaming_Stock_Watch!D166</f>
        <v>844062</v>
      </c>
      <c r="E166" s="14">
        <f>Streaming_Stock_Watch!E166</f>
        <v>0</v>
      </c>
      <c r="F166" s="2" t="s">
        <v>2</v>
      </c>
    </row>
    <row r="167" spans="1:6" x14ac:dyDescent="0.25">
      <c r="A167" s="2" t="str">
        <f>Streaming_Stock_Watch!A167</f>
        <v>PETRONET</v>
      </c>
      <c r="B167" s="2" t="str">
        <f>Streaming_Stock_Watch!B167</f>
        <v>03:51:47 PM</v>
      </c>
      <c r="C167" s="2" t="str">
        <f>Streaming_Stock_Watch!C167</f>
        <v>227.60</v>
      </c>
      <c r="D167" s="2" t="str">
        <f>Streaming_Stock_Watch!D167</f>
        <v>7168834</v>
      </c>
      <c r="E167" s="14">
        <f>Streaming_Stock_Watch!E167</f>
        <v>0</v>
      </c>
      <c r="F167" s="2" t="s">
        <v>2</v>
      </c>
    </row>
    <row r="168" spans="1:6" x14ac:dyDescent="0.25">
      <c r="A168" s="2" t="str">
        <f>Streaming_Stock_Watch!A168</f>
        <v>SBICARD</v>
      </c>
      <c r="B168" s="2" t="str">
        <f>Streaming_Stock_Watch!B168</f>
        <v>03:59:40 PM</v>
      </c>
      <c r="C168" s="2" t="str">
        <f>Streaming_Stock_Watch!C168</f>
        <v>1140.55</v>
      </c>
      <c r="D168" s="2" t="str">
        <f>Streaming_Stock_Watch!D168</f>
        <v>3348741</v>
      </c>
      <c r="E168" s="14">
        <f>Streaming_Stock_Watch!E168</f>
        <v>0</v>
      </c>
      <c r="F168" s="2" t="s">
        <v>2</v>
      </c>
    </row>
    <row r="169" spans="1:6" x14ac:dyDescent="0.25">
      <c r="A169" s="2" t="str">
        <f>Streaming_Stock_Watch!A169</f>
        <v>JINDALSTEL</v>
      </c>
      <c r="B169" s="2" t="str">
        <f>Streaming_Stock_Watch!B169</f>
        <v>03:57:47 PM</v>
      </c>
      <c r="C169" s="2" t="str">
        <f>Streaming_Stock_Watch!C169</f>
        <v>376.95</v>
      </c>
      <c r="D169" s="2" t="str">
        <f>Streaming_Stock_Watch!D169</f>
        <v>10414277</v>
      </c>
      <c r="E169" s="14">
        <f>Streaming_Stock_Watch!E169</f>
        <v>0</v>
      </c>
      <c r="F169" s="2" t="s">
        <v>2</v>
      </c>
    </row>
    <row r="170" spans="1:6" x14ac:dyDescent="0.25">
      <c r="A170" s="2" t="str">
        <f>Streaming_Stock_Watch!A170</f>
        <v>MINDTREE</v>
      </c>
      <c r="B170" s="2" t="str">
        <f>Streaming_Stock_Watch!B170</f>
        <v>03:51:30 PM</v>
      </c>
      <c r="C170" s="2" t="str">
        <f>Streaming_Stock_Watch!C170</f>
        <v>3627.25</v>
      </c>
      <c r="D170" s="2" t="str">
        <f>Streaming_Stock_Watch!D170</f>
        <v>1026256</v>
      </c>
      <c r="E170" s="14">
        <f>Streaming_Stock_Watch!E170</f>
        <v>0</v>
      </c>
      <c r="F170" s="2" t="s">
        <v>2</v>
      </c>
    </row>
    <row r="171" spans="1:6" x14ac:dyDescent="0.25">
      <c r="A171" s="2" t="str">
        <f>Streaming_Stock_Watch!A171</f>
        <v>GLENMARK</v>
      </c>
      <c r="B171" s="2" t="str">
        <f>Streaming_Stock_Watch!B171</f>
        <v>03:57:24 PM</v>
      </c>
      <c r="C171" s="2" t="str">
        <f>Streaming_Stock_Watch!C171</f>
        <v>530.30</v>
      </c>
      <c r="D171" s="2" t="str">
        <f>Streaming_Stock_Watch!D171</f>
        <v>1721956</v>
      </c>
      <c r="E171" s="14">
        <f>Streaming_Stock_Watch!E171</f>
        <v>0</v>
      </c>
      <c r="F171" s="2" t="s">
        <v>2</v>
      </c>
    </row>
    <row r="172" spans="1:6" x14ac:dyDescent="0.25">
      <c r="A172" s="2" t="str">
        <f>Streaming_Stock_Watch!A172</f>
        <v>IGL</v>
      </c>
      <c r="B172" s="2" t="str">
        <f>Streaming_Stock_Watch!B172</f>
        <v>03:56:25 PM</v>
      </c>
      <c r="C172" s="2" t="str">
        <f>Streaming_Stock_Watch!C172</f>
        <v>545.85</v>
      </c>
      <c r="D172" s="2" t="str">
        <f>Streaming_Stock_Watch!D172</f>
        <v>4255913</v>
      </c>
      <c r="E172" s="14">
        <f>Streaming_Stock_Watch!E172</f>
        <v>0</v>
      </c>
      <c r="F172" s="2" t="s">
        <v>2</v>
      </c>
    </row>
    <row r="173" spans="1:6" x14ac:dyDescent="0.25">
      <c r="A173" s="2" t="str">
        <f>Streaming_Stock_Watch!A173</f>
        <v>CADILAHC</v>
      </c>
      <c r="B173" s="2" t="str">
        <f>Streaming_Stock_Watch!B173</f>
        <v>03:58:32 PM</v>
      </c>
      <c r="C173" s="2" t="str">
        <f>Streaming_Stock_Watch!C173</f>
        <v>554.15</v>
      </c>
      <c r="D173" s="2" t="str">
        <f>Streaming_Stock_Watch!D173</f>
        <v>2015528</v>
      </c>
      <c r="E173" s="14">
        <f>Streaming_Stock_Watch!E173</f>
        <v>0</v>
      </c>
      <c r="F173" s="2" t="s">
        <v>2</v>
      </c>
    </row>
    <row r="174" spans="1:6" x14ac:dyDescent="0.25">
      <c r="A174" s="2" t="str">
        <f>Streaming_Stock_Watch!A174</f>
        <v>HDFCAMC</v>
      </c>
      <c r="B174" s="2" t="str">
        <f>Streaming_Stock_Watch!B174</f>
        <v>03:55:05 PM</v>
      </c>
      <c r="C174" s="2" t="str">
        <f>Streaming_Stock_Watch!C174</f>
        <v>3074.30</v>
      </c>
      <c r="D174" s="2" t="str">
        <f>Streaming_Stock_Watch!D174</f>
        <v>398418</v>
      </c>
      <c r="E174" s="14">
        <f>Streaming_Stock_Watch!E174</f>
        <v>0</v>
      </c>
      <c r="F174" s="2" t="s">
        <v>2</v>
      </c>
    </row>
    <row r="175" spans="1:6" x14ac:dyDescent="0.25">
      <c r="A175" s="2" t="str">
        <f>Streaming_Stock_Watch!A175</f>
        <v>GODREJCP</v>
      </c>
      <c r="B175" s="2" t="str">
        <f>Streaming_Stock_Watch!B175</f>
        <v>03:58:28 PM</v>
      </c>
      <c r="C175" s="2" t="str">
        <f>Streaming_Stock_Watch!C175</f>
        <v>1099.30</v>
      </c>
      <c r="D175" s="2" t="str">
        <f>Streaming_Stock_Watch!D175</f>
        <v>1993712</v>
      </c>
      <c r="E175" s="14">
        <f>Streaming_Stock_Watch!E175</f>
        <v>0</v>
      </c>
      <c r="F175" s="2" t="s">
        <v>2</v>
      </c>
    </row>
    <row r="176" spans="1:6" x14ac:dyDescent="0.25">
      <c r="A176" s="2" t="str">
        <f>Streaming_Stock_Watch!A176</f>
        <v>ICICIPRULI</v>
      </c>
      <c r="B176" s="2" t="str">
        <f>Streaming_Stock_Watch!B176</f>
        <v>03:53:04 PM</v>
      </c>
      <c r="C176" s="2" t="str">
        <f>Streaming_Stock_Watch!C176</f>
        <v>659.10</v>
      </c>
      <c r="D176" s="2" t="str">
        <f>Streaming_Stock_Watch!D176</f>
        <v>7583164</v>
      </c>
      <c r="E176" s="14">
        <f>Streaming_Stock_Watch!E176</f>
        <v>0</v>
      </c>
      <c r="F176" s="2" t="s">
        <v>2</v>
      </c>
    </row>
    <row r="177" spans="1:6" x14ac:dyDescent="0.25">
      <c r="A177" s="2" t="str">
        <f>Streaming_Stock_Watch!A177</f>
        <v>ICICIGI</v>
      </c>
      <c r="B177" s="2" t="str">
        <f>Streaming_Stock_Watch!B177</f>
        <v>03:51:59 PM</v>
      </c>
      <c r="C177" s="2" t="str">
        <f>Streaming_Stock_Watch!C177</f>
        <v>1594.60</v>
      </c>
      <c r="D177" s="2" t="str">
        <f>Streaming_Stock_Watch!D177</f>
        <v>714442</v>
      </c>
      <c r="E177" s="14">
        <f>Streaming_Stock_Watch!E177</f>
        <v>0</v>
      </c>
      <c r="F177" s="2" t="s">
        <v>2</v>
      </c>
    </row>
    <row r="178" spans="1:6" x14ac:dyDescent="0.25">
      <c r="A178" s="2" t="str">
        <f>Streaming_Stock_Watch!A178</f>
        <v>GMRINFRA</v>
      </c>
      <c r="B178" s="2" t="str">
        <f>Streaming_Stock_Watch!B178</f>
        <v>03:50:21 PM</v>
      </c>
      <c r="C178" s="2" t="str">
        <f>Streaming_Stock_Watch!C178</f>
        <v>29.05</v>
      </c>
      <c r="D178" s="2" t="str">
        <f>Streaming_Stock_Watch!D178</f>
        <v>4917548</v>
      </c>
      <c r="E178" s="14">
        <f>Streaming_Stock_Watch!E178</f>
        <v>0</v>
      </c>
      <c r="F178" s="2" t="s">
        <v>2</v>
      </c>
    </row>
    <row r="179" spans="1:6" x14ac:dyDescent="0.25">
      <c r="A179" s="2" t="str">
        <f>Streaming_Stock_Watch!A179</f>
        <v>IDEA</v>
      </c>
      <c r="B179" s="2" t="str">
        <f>Streaming_Stock_Watch!B179</f>
        <v>03:59:56 PM</v>
      </c>
      <c r="C179" s="2" t="str">
        <f>Streaming_Stock_Watch!C179</f>
        <v>6.10</v>
      </c>
      <c r="D179" s="2" t="str">
        <f>Streaming_Stock_Watch!D179</f>
        <v>298905204</v>
      </c>
      <c r="E179" s="14">
        <f>Streaming_Stock_Watch!E179</f>
        <v>0</v>
      </c>
      <c r="F179" s="2" t="s">
        <v>2</v>
      </c>
    </row>
    <row r="180" spans="1:6" x14ac:dyDescent="0.25">
      <c r="A180" s="2" t="str">
        <f>Streaming_Stock_Watch!A180</f>
        <v>UBL</v>
      </c>
      <c r="B180" s="2" t="str">
        <f>Streaming_Stock_Watch!B180</f>
        <v>03:54:19 PM</v>
      </c>
      <c r="C180" s="2" t="str">
        <f>Streaming_Stock_Watch!C180</f>
        <v>1475.00</v>
      </c>
      <c r="D180" s="2" t="str">
        <f>Streaming_Stock_Watch!D180</f>
        <v>347346</v>
      </c>
      <c r="E180" s="14">
        <f>Streaming_Stock_Watch!E180</f>
        <v>0</v>
      </c>
      <c r="F180" s="2" t="s">
        <v>2</v>
      </c>
    </row>
    <row r="181" spans="1:6" x14ac:dyDescent="0.25">
      <c r="A181" s="2" t="str">
        <f>Streaming_Stock_Watch!A181</f>
        <v>IRCTC</v>
      </c>
      <c r="B181" s="2" t="str">
        <f>Streaming_Stock_Watch!B181</f>
        <v>03:58:34 PM</v>
      </c>
      <c r="C181" s="2" t="str">
        <f>Streaming_Stock_Watch!C181</f>
        <v>2752.00</v>
      </c>
      <c r="D181" s="2" t="str">
        <f>Streaming_Stock_Watch!D181</f>
        <v>2050223</v>
      </c>
      <c r="E181" s="14">
        <f>Streaming_Stock_Watch!E181</f>
        <v>0</v>
      </c>
      <c r="F181" s="2" t="s">
        <v>2</v>
      </c>
    </row>
    <row r="182" spans="1:6" x14ac:dyDescent="0.25">
      <c r="A182" s="2" t="str">
        <f>Streaming_Stock_Watch!A182</f>
        <v>FORTIS</v>
      </c>
      <c r="B182" s="2" t="str">
        <f>Streaming_Stock_Watch!B182</f>
        <v>03:59:44 PM</v>
      </c>
      <c r="C182" s="2" t="str">
        <f>Streaming_Stock_Watch!C182</f>
        <v>290.50</v>
      </c>
      <c r="D182" s="2" t="str">
        <f>Streaming_Stock_Watch!D182</f>
        <v>5712361</v>
      </c>
      <c r="E182" s="14">
        <f>Streaming_Stock_Watch!E182</f>
        <v>0</v>
      </c>
      <c r="F182" s="2" t="s">
        <v>2</v>
      </c>
    </row>
    <row r="183" spans="1:6" x14ac:dyDescent="0.25">
      <c r="A183" s="2" t="str">
        <f>Streaming_Stock_Watch!A183</f>
        <v>GSPL</v>
      </c>
      <c r="B183" s="2" t="str">
        <f>Streaming_Stock_Watch!B183</f>
        <v>03:56:04 PM</v>
      </c>
      <c r="C183" s="2" t="str">
        <f>Streaming_Stock_Watch!C183</f>
        <v>350.65</v>
      </c>
      <c r="D183" s="2" t="str">
        <f>Streaming_Stock_Watch!D183</f>
        <v>664818</v>
      </c>
      <c r="E183" s="14">
        <f>Streaming_Stock_Watch!E183</f>
        <v>0</v>
      </c>
      <c r="F183" s="2" t="s">
        <v>2</v>
      </c>
    </row>
    <row r="184" spans="1:6" x14ac:dyDescent="0.25">
      <c r="A184" s="2" t="str">
        <f>Streaming_Stock_Watch!A184</f>
        <v>NAVINFLUOR</v>
      </c>
      <c r="B184" s="2" t="str">
        <f>Streaming_Stock_Watch!B184</f>
        <v>03:55:23 PM</v>
      </c>
      <c r="C184" s="2" t="str">
        <f>Streaming_Stock_Watch!C184</f>
        <v>4027.60</v>
      </c>
      <c r="D184" s="2" t="str">
        <f>Streaming_Stock_Watch!D184</f>
        <v>566577</v>
      </c>
      <c r="E184" s="14">
        <f>Streaming_Stock_Watch!E184</f>
        <v>0</v>
      </c>
      <c r="F184" s="2" t="s">
        <v>2</v>
      </c>
    </row>
    <row r="185" spans="1:6" x14ac:dyDescent="0.25">
      <c r="A185" s="2" t="str">
        <f>Streaming_Stock_Watch!A185</f>
        <v>VBL</v>
      </c>
      <c r="B185" s="2" t="str">
        <f>Streaming_Stock_Watch!B185</f>
        <v>03:55:24 PM</v>
      </c>
      <c r="C185" s="2" t="str">
        <f>Streaming_Stock_Watch!C185</f>
        <v>846.95</v>
      </c>
      <c r="D185" s="2" t="str">
        <f>Streaming_Stock_Watch!D185</f>
        <v>369194</v>
      </c>
      <c r="E185" s="14">
        <f>Streaming_Stock_Watch!E185</f>
        <v>0</v>
      </c>
      <c r="F185" s="2" t="s">
        <v>2</v>
      </c>
    </row>
    <row r="186" spans="1:6" x14ac:dyDescent="0.25">
      <c r="A186" s="2" t="str">
        <f>Streaming_Stock_Watch!A186</f>
        <v>MUTHOOTFIN</v>
      </c>
      <c r="B186" s="2" t="str">
        <f>Streaming_Stock_Watch!B186</f>
        <v>03:57:39 PM</v>
      </c>
      <c r="C186" s="2" t="str">
        <f>Streaming_Stock_Watch!C186</f>
        <v>1514.00</v>
      </c>
      <c r="D186" s="2" t="str">
        <f>Streaming_Stock_Watch!D186</f>
        <v>772060</v>
      </c>
      <c r="E186" s="14">
        <f>Streaming_Stock_Watch!E186</f>
        <v>0</v>
      </c>
      <c r="F186" s="2" t="s">
        <v>2</v>
      </c>
    </row>
    <row r="187" spans="1:6" x14ac:dyDescent="0.25">
      <c r="A187" s="2" t="str">
        <f>Streaming_Stock_Watch!A187</f>
        <v>COFORGE</v>
      </c>
      <c r="B187" s="2" t="str">
        <f>Streaming_Stock_Watch!B187</f>
        <v>03:56:14 PM</v>
      </c>
      <c r="C187" s="2" t="str">
        <f>Streaming_Stock_Watch!C187</f>
        <v>5208.75</v>
      </c>
      <c r="D187" s="2" t="str">
        <f>Streaming_Stock_Watch!D187</f>
        <v>650782</v>
      </c>
      <c r="E187" s="14">
        <f>Streaming_Stock_Watch!E187</f>
        <v>0</v>
      </c>
      <c r="F187" s="2" t="s">
        <v>2</v>
      </c>
    </row>
    <row r="188" spans="1:6" x14ac:dyDescent="0.25">
      <c r="A188" s="2" t="str">
        <f>Streaming_Stock_Watch!A188</f>
        <v>YESBANK</v>
      </c>
      <c r="B188" s="2" t="str">
        <f>Streaming_Stock_Watch!B188</f>
        <v>03:59:59 PM</v>
      </c>
      <c r="C188" s="2" t="str">
        <f>Streaming_Stock_Watch!C188</f>
        <v>10.80</v>
      </c>
      <c r="D188" s="2" t="str">
        <f>Streaming_Stock_Watch!D188</f>
        <v>89884569</v>
      </c>
      <c r="E188" s="14">
        <f>Streaming_Stock_Watch!E188</f>
        <v>0</v>
      </c>
      <c r="F188" s="2" t="s">
        <v>2</v>
      </c>
    </row>
    <row r="189" spans="1:6" x14ac:dyDescent="0.25">
      <c r="A189" s="2" t="str">
        <f>Streaming_Stock_Watch!A189</f>
        <v>SYNGENE</v>
      </c>
      <c r="B189" s="2" t="str">
        <f>Streaming_Stock_Watch!B189</f>
        <v>03:50:39 PM</v>
      </c>
      <c r="C189" s="2" t="str">
        <f>Streaming_Stock_Watch!C189</f>
        <v>641.35</v>
      </c>
      <c r="D189" s="2" t="str">
        <f>Streaming_Stock_Watch!D189</f>
        <v>1865150</v>
      </c>
      <c r="E189" s="14">
        <f>Streaming_Stock_Watch!E189</f>
        <v>0</v>
      </c>
      <c r="F189" s="2" t="s">
        <v>2</v>
      </c>
    </row>
    <row r="190" spans="1:6" x14ac:dyDescent="0.25">
      <c r="A190" s="2" t="str">
        <f>Streaming_Stock_Watch!A190</f>
        <v>POLYCAB</v>
      </c>
      <c r="B190" s="2" t="str">
        <f>Streaming_Stock_Watch!B190</f>
        <v>03:59:16 PM</v>
      </c>
      <c r="C190" s="2" t="str">
        <f>Streaming_Stock_Watch!C190</f>
        <v>2067.50</v>
      </c>
      <c r="D190" s="2" t="str">
        <f>Streaming_Stock_Watch!D190</f>
        <v>1444108</v>
      </c>
      <c r="E190" s="14">
        <f>Streaming_Stock_Watch!E190</f>
        <v>0</v>
      </c>
      <c r="F190" s="2" t="s">
        <v>2</v>
      </c>
    </row>
    <row r="191" spans="1:6" x14ac:dyDescent="0.25">
      <c r="A191" s="2" t="str">
        <f>Streaming_Stock_Watch!A191</f>
        <v>DHANI</v>
      </c>
      <c r="B191" s="2" t="str">
        <f>Streaming_Stock_Watch!B191</f>
        <v>03:41:56 PM</v>
      </c>
      <c r="C191" s="2" t="str">
        <f>Streaming_Stock_Watch!C191</f>
        <v>199.40</v>
      </c>
      <c r="D191" s="2" t="str">
        <f>Streaming_Stock_Watch!D191</f>
        <v>996707</v>
      </c>
      <c r="E191" s="14">
        <f>Streaming_Stock_Watch!E191</f>
        <v>0</v>
      </c>
      <c r="F191" s="2" t="s">
        <v>2</v>
      </c>
    </row>
    <row r="192" spans="1:6" x14ac:dyDescent="0.25">
      <c r="A192" s="2" t="str">
        <f>Streaming_Stock_Watch!A192</f>
        <v>JSWENERGY</v>
      </c>
      <c r="B192" s="2" t="str">
        <f>Streaming_Stock_Watch!B192</f>
        <v>0</v>
      </c>
      <c r="C192" s="2" t="str">
        <f>Streaming_Stock_Watch!C192</f>
        <v>168.5</v>
      </c>
      <c r="D192" s="2" t="str">
        <f>Streaming_Stock_Watch!D192</f>
        <v>1177859</v>
      </c>
      <c r="E192" s="14">
        <f>Streaming_Stock_Watch!E192</f>
        <v>0</v>
      </c>
      <c r="F192" s="2" t="s">
        <v>2</v>
      </c>
    </row>
    <row r="193" spans="1:6" x14ac:dyDescent="0.25">
      <c r="A193" s="2" t="str">
        <f>Streaming_Stock_Watch!A193</f>
        <v>INDIGO</v>
      </c>
      <c r="B193" s="2" t="str">
        <f>Streaming_Stock_Watch!B193</f>
        <v>03:59:55 PM</v>
      </c>
      <c r="C193" s="2" t="str">
        <f>Streaming_Stock_Watch!C193</f>
        <v>1904.15</v>
      </c>
      <c r="D193" s="2" t="str">
        <f>Streaming_Stock_Watch!D193</f>
        <v>1684036</v>
      </c>
      <c r="E193" s="14">
        <f>Streaming_Stock_Watch!E193</f>
        <v>0</v>
      </c>
      <c r="F193" s="2" t="s">
        <v>2</v>
      </c>
    </row>
    <row r="194" spans="1:6" x14ac:dyDescent="0.25">
      <c r="A194" s="2" t="str">
        <f>Streaming_Stock_Watch!A194</f>
        <v>AUBANK</v>
      </c>
      <c r="B194" s="2" t="str">
        <f>Streaming_Stock_Watch!B194</f>
        <v>03:59:45 PM</v>
      </c>
      <c r="C194" s="2" t="str">
        <f>Streaming_Stock_Watch!C194</f>
        <v>1130.75</v>
      </c>
      <c r="D194" s="2" t="str">
        <f>Streaming_Stock_Watch!D194</f>
        <v>13040293</v>
      </c>
      <c r="E194" s="14">
        <f>Streaming_Stock_Watch!E194</f>
        <v>0</v>
      </c>
      <c r="F194" s="2" t="s">
        <v>2</v>
      </c>
    </row>
    <row r="195" spans="1:6" x14ac:dyDescent="0.25">
      <c r="A195" s="2" t="str">
        <f>Streaming_Stock_Watch!A195</f>
        <v>DIXON</v>
      </c>
      <c r="B195" s="2" t="str">
        <f>Streaming_Stock_Watch!B195</f>
        <v>03:56:51 PM</v>
      </c>
      <c r="C195" s="2" t="str">
        <f>Streaming_Stock_Watch!C195</f>
        <v>4160.40</v>
      </c>
      <c r="D195" s="2" t="str">
        <f>Streaming_Stock_Watch!D195</f>
        <v>241465</v>
      </c>
      <c r="E195" s="14">
        <f>Streaming_Stock_Watch!E195</f>
        <v>0</v>
      </c>
      <c r="F195" s="2" t="s">
        <v>2</v>
      </c>
    </row>
    <row r="196" spans="1:6" x14ac:dyDescent="0.25">
      <c r="A196" s="2" t="str">
        <f>Streaming_Stock_Watch!A196</f>
        <v>IBULHSGFIN</v>
      </c>
      <c r="B196" s="2" t="str">
        <f>Streaming_Stock_Watch!B196</f>
        <v>03:59:17 PM</v>
      </c>
      <c r="C196" s="2" t="str">
        <f>Streaming_Stock_Watch!C196</f>
        <v>224.00</v>
      </c>
      <c r="D196" s="2" t="str">
        <f>Streaming_Stock_Watch!D196</f>
        <v>11480181</v>
      </c>
      <c r="E196" s="14">
        <f>Streaming_Stock_Watch!E196</f>
        <v>0</v>
      </c>
      <c r="F196" s="2" t="s">
        <v>2</v>
      </c>
    </row>
    <row r="197" spans="1:6" x14ac:dyDescent="0.25">
      <c r="A197" s="2" t="str">
        <f>Streaming_Stock_Watch!A197</f>
        <v>OBEROIRLTY</v>
      </c>
      <c r="B197" s="2" t="str">
        <f>Streaming_Stock_Watch!B197</f>
        <v>03:55:33 PM</v>
      </c>
      <c r="C197" s="2" t="str">
        <f>Streaming_Stock_Watch!C197</f>
        <v>703.60</v>
      </c>
      <c r="D197" s="2" t="str">
        <f>Streaming_Stock_Watch!D197</f>
        <v>251207</v>
      </c>
      <c r="E197" s="14">
        <f>Streaming_Stock_Watch!E197</f>
        <v>0</v>
      </c>
      <c r="F197" s="2" t="s">
        <v>2</v>
      </c>
    </row>
    <row r="198" spans="1:6" x14ac:dyDescent="0.25">
      <c r="A198" s="2" t="str">
        <f>Streaming_Stock_Watch!A198</f>
        <v>ATGL</v>
      </c>
      <c r="B198" s="2" t="str">
        <f>Streaming_Stock_Watch!B198</f>
        <v>03:57:42 PM</v>
      </c>
      <c r="C198" s="2" t="str">
        <f>Streaming_Stock_Watch!C198</f>
        <v>1452.50</v>
      </c>
      <c r="D198" s="2" t="str">
        <f>Streaming_Stock_Watch!D198</f>
        <v>1160761</v>
      </c>
      <c r="E198" s="14">
        <f>Streaming_Stock_Watch!E198</f>
        <v>0</v>
      </c>
      <c r="F198" s="2" t="s">
        <v>2</v>
      </c>
    </row>
    <row r="199" spans="1:6" x14ac:dyDescent="0.25">
      <c r="A199" s="2" t="str">
        <f>Streaming_Stock_Watch!A199</f>
        <v>INDUSTOWER</v>
      </c>
      <c r="B199" s="2" t="str">
        <f>Streaming_Stock_Watch!B199</f>
        <v>03:59:56 PM</v>
      </c>
      <c r="C199" s="2" t="str">
        <f>Streaming_Stock_Watch!C199</f>
        <v>215.35</v>
      </c>
      <c r="D199" s="2" t="str">
        <f>Streaming_Stock_Watch!D199</f>
        <v>6454620</v>
      </c>
      <c r="E199" s="14">
        <f>Streaming_Stock_Watch!E199</f>
        <v>0</v>
      </c>
      <c r="F199" s="2" t="s">
        <v>2</v>
      </c>
    </row>
    <row r="200" spans="1:6" x14ac:dyDescent="0.25">
      <c r="A200" s="2" t="str">
        <f>Streaming_Stock_Watch!A200</f>
        <v>APLLTD</v>
      </c>
      <c r="B200" s="2" t="str">
        <f>Streaming_Stock_Watch!B200</f>
        <v>03:57:29 PM</v>
      </c>
      <c r="C200" s="2" t="str">
        <f>Streaming_Stock_Watch!C200</f>
        <v>751.35</v>
      </c>
      <c r="D200" s="2" t="str">
        <f>Streaming_Stock_Watch!D200</f>
        <v>168262</v>
      </c>
      <c r="E200" s="14">
        <f>Streaming_Stock_Watch!E200</f>
        <v>0</v>
      </c>
      <c r="F200" s="2" t="s">
        <v>2</v>
      </c>
    </row>
    <row r="201" spans="1:6" x14ac:dyDescent="0.25">
      <c r="A201" s="2" t="str">
        <f>Streaming_Stock_Watch!A201</f>
        <v>ENDURANCE</v>
      </c>
      <c r="B201" s="2" t="str">
        <f>Streaming_Stock_Watch!B201</f>
        <v>03:44:33 PM</v>
      </c>
      <c r="C201" s="2" t="str">
        <f>Streaming_Stock_Watch!C201</f>
        <v>1662.85</v>
      </c>
      <c r="D201" s="2" t="str">
        <f>Streaming_Stock_Watch!D201</f>
        <v>53829</v>
      </c>
      <c r="E201" s="14">
        <f>Streaming_Stock_Watch!E201</f>
        <v>0</v>
      </c>
      <c r="F201" s="2" t="s">
        <v>2</v>
      </c>
    </row>
    <row r="202" spans="1:6" x14ac:dyDescent="0.25">
      <c r="A202" s="2" t="str">
        <f>Streaming_Stock_Watch!A202</f>
        <v>ABCAPITAL</v>
      </c>
      <c r="B202" s="2" t="str">
        <f>Streaming_Stock_Watch!B202</f>
        <v>03:59:05 PM</v>
      </c>
      <c r="C202" s="2" t="str">
        <f>Streaming_Stock_Watch!C202</f>
        <v>107.85</v>
      </c>
      <c r="D202" s="2" t="str">
        <f>Streaming_Stock_Watch!D202</f>
        <v>1655331</v>
      </c>
      <c r="E202" s="14">
        <f>Streaming_Stock_Watch!E202</f>
        <v>0</v>
      </c>
      <c r="F202" s="2" t="s">
        <v>2</v>
      </c>
    </row>
    <row r="203" spans="1:6" x14ac:dyDescent="0.25">
      <c r="A203" s="2" t="str">
        <f>Streaming_Stock_Watch!A203</f>
        <v>ABFRL</v>
      </c>
      <c r="B203" s="2" t="str">
        <f>Streaming_Stock_Watch!B203</f>
        <v>03:57:05 PM</v>
      </c>
      <c r="C203" s="2" t="str">
        <f>Streaming_Stock_Watch!C203</f>
        <v>208.10</v>
      </c>
      <c r="D203" s="2" t="str">
        <f>Streaming_Stock_Watch!D203</f>
        <v>1472771</v>
      </c>
      <c r="E203" s="14">
        <f>Streaming_Stock_Watch!E203</f>
        <v>0</v>
      </c>
      <c r="F203" s="2" t="s">
        <v>2</v>
      </c>
    </row>
    <row r="204" spans="1:6" x14ac:dyDescent="0.25">
      <c r="A204" s="2" t="str">
        <f>Streaming_Stock_Watch!A204</f>
        <v>DMART</v>
      </c>
      <c r="B204" s="2" t="str">
        <f>Streaming_Stock_Watch!B204</f>
        <v>03:52:42 PM</v>
      </c>
      <c r="C204" s="2" t="str">
        <f>Streaming_Stock_Watch!C204</f>
        <v>3954.80</v>
      </c>
      <c r="D204" s="2" t="str">
        <f>Streaming_Stock_Watch!D204</f>
        <v>378858</v>
      </c>
      <c r="E204" s="14">
        <f>Streaming_Stock_Watch!E204</f>
        <v>0</v>
      </c>
      <c r="F204" s="2" t="s">
        <v>2</v>
      </c>
    </row>
    <row r="205" spans="1:6" x14ac:dyDescent="0.25">
      <c r="A205" s="2" t="str">
        <f>Streaming_Stock_Watch!A205</f>
        <v>L&amp;TFH</v>
      </c>
      <c r="B205" s="2" t="str">
        <f>Streaming_Stock_Watch!B205</f>
        <v>03:59:58 PM</v>
      </c>
      <c r="C205" s="2" t="str">
        <f>Streaming_Stock_Watch!C205</f>
        <v>83.30</v>
      </c>
      <c r="D205" s="2" t="str">
        <f>Streaming_Stock_Watch!D205</f>
        <v>6705841</v>
      </c>
      <c r="E205" s="14">
        <f>Streaming_Stock_Watch!E205</f>
        <v>0</v>
      </c>
      <c r="F205" s="2" t="s">
        <v>2</v>
      </c>
    </row>
    <row r="206" spans="1:6" x14ac:dyDescent="0.25">
      <c r="A206" s="2" t="str">
        <f>Streaming_Stock_Watch!A206</f>
        <v>LALPATHLAB</v>
      </c>
      <c r="B206" s="2" t="str">
        <f>Streaming_Stock_Watch!B206</f>
        <v>03:58:44 PM</v>
      </c>
      <c r="C206" s="2" t="str">
        <f>Streaming_Stock_Watch!C206</f>
        <v>4051.55</v>
      </c>
      <c r="D206" s="2" t="str">
        <f>Streaming_Stock_Watch!D206</f>
        <v>335279</v>
      </c>
      <c r="E206" s="14">
        <f>Streaming_Stock_Watch!E206</f>
        <v>0</v>
      </c>
      <c r="F206" s="2" t="s">
        <v>2</v>
      </c>
    </row>
    <row r="207" spans="1:6" x14ac:dyDescent="0.25">
      <c r="A207" s="2" t="str">
        <f>Streaming_Stock_Watch!A207</f>
        <v>GUJGASLTD</v>
      </c>
      <c r="B207" s="2" t="str">
        <f>Streaming_Stock_Watch!B207</f>
        <v>03:56:37 PM</v>
      </c>
      <c r="C207" s="2" t="str">
        <f>Streaming_Stock_Watch!C207</f>
        <v>722.80</v>
      </c>
      <c r="D207" s="2" t="str">
        <f>Streaming_Stock_Watch!D207</f>
        <v>1727498</v>
      </c>
      <c r="E207" s="14">
        <f>Streaming_Stock_Watch!E207</f>
        <v>0</v>
      </c>
      <c r="F207" s="2" t="s">
        <v>2</v>
      </c>
    </row>
    <row r="208" spans="1:6" x14ac:dyDescent="0.25">
      <c r="A208" s="2" t="str">
        <f>Streaming_Stock_Watch!A208</f>
        <v>LTTS</v>
      </c>
      <c r="B208" s="2" t="str">
        <f>Streaming_Stock_Watch!B208</f>
        <v>03:59:46 PM</v>
      </c>
      <c r="C208" s="2" t="str">
        <f>Streaming_Stock_Watch!C208</f>
        <v>3919.55</v>
      </c>
      <c r="D208" s="2" t="str">
        <f>Streaming_Stock_Watch!D208</f>
        <v>199497</v>
      </c>
      <c r="E208" s="14">
        <f>Streaming_Stock_Watch!E208</f>
        <v>0</v>
      </c>
      <c r="F208" s="2" t="s">
        <v>2</v>
      </c>
    </row>
    <row r="209" spans="1:6" x14ac:dyDescent="0.25">
      <c r="A209" s="2" t="str">
        <f>Streaming_Stock_Watch!A209</f>
        <v>LAURUSLABS</v>
      </c>
      <c r="B209" s="2" t="str">
        <f>Streaming_Stock_Watch!B209</f>
        <v>03:57:35 PM</v>
      </c>
      <c r="C209" s="2" t="str">
        <f>Streaming_Stock_Watch!C209</f>
        <v>666.60</v>
      </c>
      <c r="D209" s="2" t="str">
        <f>Streaming_Stock_Watch!D209</f>
        <v>2836964</v>
      </c>
      <c r="E209" s="14">
        <f>Streaming_Stock_Watch!E209</f>
        <v>0</v>
      </c>
      <c r="F209" s="2" t="s">
        <v>2</v>
      </c>
    </row>
    <row r="210" spans="1:6" x14ac:dyDescent="0.25">
      <c r="A210" s="2" t="str">
        <f>Streaming_Stock_Watch!A210</f>
        <v>IDFCFIRSTB</v>
      </c>
      <c r="B210" s="2" t="str">
        <f>Streaming_Stock_Watch!B210</f>
        <v>03:58:29 PM</v>
      </c>
      <c r="C210" s="2" t="str">
        <f>Streaming_Stock_Watch!C210</f>
        <v>42.95</v>
      </c>
      <c r="D210" s="2" t="str">
        <f>Streaming_Stock_Watch!D210</f>
        <v>41496912</v>
      </c>
      <c r="E210" s="14">
        <f>Streaming_Stock_Watch!E210</f>
        <v>0</v>
      </c>
      <c r="F210" s="2" t="s">
        <v>2</v>
      </c>
    </row>
    <row r="211" spans="1:6" x14ac:dyDescent="0.25">
      <c r="A211" s="2" t="str">
        <f>Streaming_Stock_Watch!A211</f>
        <v>CROMPTON</v>
      </c>
      <c r="B211" s="2" t="str">
        <f>Streaming_Stock_Watch!B211</f>
        <v>03:55:54 PM</v>
      </c>
      <c r="C211" s="2" t="str">
        <f>Streaming_Stock_Watch!C211</f>
        <v>473.45</v>
      </c>
      <c r="D211" s="2" t="str">
        <f>Streaming_Stock_Watch!D211</f>
        <v>587128</v>
      </c>
      <c r="E211" s="14">
        <f>Streaming_Stock_Watch!E211</f>
        <v>0</v>
      </c>
      <c r="F211" s="2" t="s">
        <v>2</v>
      </c>
    </row>
    <row r="212" spans="1:6" x14ac:dyDescent="0.25">
      <c r="A212" s="2" t="str">
        <f>Streaming_Stock_Watch!A212</f>
        <v>ADANITRANS</v>
      </c>
      <c r="B212" s="2" t="str">
        <f>Streaming_Stock_Watch!B212</f>
        <v>03:52:41 PM</v>
      </c>
      <c r="C212" s="2" t="str">
        <f>Streaming_Stock_Watch!C212</f>
        <v>1580.60</v>
      </c>
      <c r="D212" s="2" t="str">
        <f>Streaming_Stock_Watch!D212</f>
        <v>545234</v>
      </c>
      <c r="E212" s="14">
        <f>Streaming_Stock_Watch!E212</f>
        <v>0</v>
      </c>
      <c r="F212" s="2" t="s">
        <v>2</v>
      </c>
    </row>
    <row r="213" spans="1:6" x14ac:dyDescent="0.25">
      <c r="A213" s="2" t="str">
        <f>Streaming_Stock_Watch!A213</f>
        <v>BANDHANBNK</v>
      </c>
      <c r="B213" s="2" t="str">
        <f>Streaming_Stock_Watch!B213</f>
        <v>03:54:52 PM</v>
      </c>
      <c r="C213" s="2" t="str">
        <f>Streaming_Stock_Watch!C213</f>
        <v>285.00</v>
      </c>
      <c r="D213" s="2" t="str">
        <f>Streaming_Stock_Watch!D213</f>
        <v>6756768</v>
      </c>
      <c r="E213" s="14">
        <f>Streaming_Stock_Watch!E213</f>
        <v>0</v>
      </c>
      <c r="F213" s="2" t="s">
        <v>2</v>
      </c>
    </row>
    <row r="214" spans="1:6" x14ac:dyDescent="0.25">
      <c r="A214" s="2" t="str">
        <f>Streaming_Stock_Watch!A214</f>
        <v>INDIAMART</v>
      </c>
      <c r="B214" s="2" t="str">
        <f>Streaming_Stock_Watch!B214</f>
        <v>03:40:09 PM</v>
      </c>
      <c r="C214" s="2" t="str">
        <f>Streaming_Stock_Watch!C214</f>
        <v>7848.20</v>
      </c>
      <c r="D214" s="2" t="str">
        <f>Streaming_Stock_Watch!D214</f>
        <v>318931</v>
      </c>
      <c r="E214" s="14">
        <f>Streaming_Stock_Watch!E214</f>
        <v>0</v>
      </c>
      <c r="F214" s="2" t="s">
        <v>2</v>
      </c>
    </row>
    <row r="215" spans="1:6" x14ac:dyDescent="0.25">
      <c r="A215" s="2" t="str">
        <f>Streaming_Stock_Watch!A215</f>
        <v>ADANIGREEN</v>
      </c>
      <c r="B215" s="2" t="str">
        <f>Streaming_Stock_Watch!B215</f>
        <v>03:52:27 PM</v>
      </c>
      <c r="C215" s="2" t="str">
        <f>Streaming_Stock_Watch!C215</f>
        <v>1068.35</v>
      </c>
      <c r="D215" s="2" t="str">
        <f>Streaming_Stock_Watch!D215</f>
        <v>2737522</v>
      </c>
      <c r="E215" s="14">
        <f>Streaming_Stock_Watch!E215</f>
        <v>0</v>
      </c>
      <c r="F215" s="2" t="s">
        <v>2</v>
      </c>
    </row>
    <row r="216" spans="1:6" x14ac:dyDescent="0.25">
      <c r="A216" s="2" t="str">
        <f>Streaming_Stock_Watch!A216</f>
        <v>DALBHARAT</v>
      </c>
      <c r="B216" s="2" t="str">
        <f>Streaming_Stock_Watch!B216</f>
        <v>03:58:31 PM</v>
      </c>
      <c r="C216" s="2" t="str">
        <f>Streaming_Stock_Watch!C216</f>
        <v>2199.80</v>
      </c>
      <c r="D216" s="2" t="str">
        <f>Streaming_Stock_Watch!D216</f>
        <v>244376</v>
      </c>
      <c r="E216" s="14">
        <f>Streaming_Stock_Watch!E216</f>
        <v>0</v>
      </c>
      <c r="F216" s="2" t="s">
        <v>2</v>
      </c>
    </row>
    <row r="217" spans="1:6" x14ac:dyDescent="0.25">
      <c r="A217" s="2" t="str">
        <f>Streaming_Stock_Watch!A217</f>
        <v>NiftyNext50</v>
      </c>
      <c r="B217" s="2" t="str">
        <f>Streaming_Stock_Watch!B217</f>
        <v>03:29:59 PM</v>
      </c>
      <c r="C217" s="2" t="str">
        <f>Streaming_Stock_Watch!C217</f>
        <v>41580.45</v>
      </c>
      <c r="D217" s="2" t="str">
        <f>Streaming_Stock_Watch!D217</f>
        <v>0</v>
      </c>
      <c r="E217" s="14">
        <f>Streaming_Stock_Watch!E217</f>
        <v>0</v>
      </c>
      <c r="F217" s="2" t="s">
        <v>2</v>
      </c>
    </row>
    <row r="218" spans="1:6" x14ac:dyDescent="0.25">
      <c r="A218" s="2" t="str">
        <f>Streaming_Stock_Watch!A218</f>
        <v>NIFTYMIDCAP100</v>
      </c>
      <c r="B218" s="2" t="str">
        <f>Streaming_Stock_Watch!B218</f>
        <v>03:31:28 PM</v>
      </c>
      <c r="C218" s="2" t="str">
        <f>Streaming_Stock_Watch!C218</f>
        <v>28417.25</v>
      </c>
      <c r="D218" s="2" t="str">
        <f>Streaming_Stock_Watch!D218</f>
        <v>0</v>
      </c>
      <c r="E218" s="14">
        <f>Streaming_Stock_Watch!E218</f>
        <v>0</v>
      </c>
      <c r="F218" s="2" t="s">
        <v>2</v>
      </c>
    </row>
    <row r="219" spans="1:6" x14ac:dyDescent="0.25">
      <c r="A219" s="2" t="str">
        <f>Streaming_Stock_Watch!A219</f>
        <v>NIFTYSMLCAP100</v>
      </c>
      <c r="B219" s="2" t="str">
        <f>Streaming_Stock_Watch!B219</f>
        <v>03:29:19 PM</v>
      </c>
      <c r="C219" s="2" t="str">
        <f>Streaming_Stock_Watch!C219</f>
        <v>10260.05</v>
      </c>
      <c r="D219" s="2" t="str">
        <f>Streaming_Stock_Watch!D219</f>
        <v>0</v>
      </c>
      <c r="E219" s="14">
        <f>Streaming_Stock_Watch!E219</f>
        <v>0</v>
      </c>
      <c r="F219" s="2" t="s">
        <v>2</v>
      </c>
    </row>
    <row r="220" spans="1:6" x14ac:dyDescent="0.25">
      <c r="A220" s="2" t="str">
        <f>Streaming_Stock_Watch!A220</f>
        <v>NiftyBank</v>
      </c>
      <c r="B220" s="2" t="str">
        <f>Streaming_Stock_Watch!B220</f>
        <v>03:29:59 PM</v>
      </c>
      <c r="C220" s="2" t="str">
        <f>Streaming_Stock_Watch!C220</f>
        <v>36389.15</v>
      </c>
      <c r="D220" s="2" t="str">
        <f>Streaming_Stock_Watch!D220</f>
        <v>0</v>
      </c>
      <c r="E220" s="14">
        <f>Streaming_Stock_Watch!E220</f>
        <v>0</v>
      </c>
      <c r="F220" s="2" t="s">
        <v>2</v>
      </c>
    </row>
    <row r="221" spans="1:6" x14ac:dyDescent="0.25">
      <c r="A221" s="2" t="str">
        <f>Streaming_Stock_Watch!A221</f>
        <v>NiftyAuto</v>
      </c>
      <c r="B221" s="2" t="str">
        <f>Streaming_Stock_Watch!B221</f>
        <v>03:29:41 PM</v>
      </c>
      <c r="C221" s="2" t="str">
        <f>Streaming_Stock_Watch!C221</f>
        <v>10037.50</v>
      </c>
      <c r="D221" s="2" t="str">
        <f>Streaming_Stock_Watch!D221</f>
        <v>0</v>
      </c>
      <c r="E221" s="14">
        <f>Streaming_Stock_Watch!E221</f>
        <v>0</v>
      </c>
      <c r="F221" s="2" t="s">
        <v>2</v>
      </c>
    </row>
    <row r="222" spans="1:6" x14ac:dyDescent="0.25">
      <c r="A222" s="2" t="str">
        <f>Streaming_Stock_Watch!A222</f>
        <v>NiftyEnergy</v>
      </c>
      <c r="B222" s="2" t="str">
        <f>Streaming_Stock_Watch!B222</f>
        <v>03:30:00 PM</v>
      </c>
      <c r="C222" s="2" t="str">
        <f>Streaming_Stock_Watch!C222</f>
        <v>20286.50</v>
      </c>
      <c r="D222" s="2" t="str">
        <f>Streaming_Stock_Watch!D222</f>
        <v>0</v>
      </c>
      <c r="E222" s="14">
        <f>Streaming_Stock_Watch!E222</f>
        <v>0</v>
      </c>
      <c r="F222" s="2" t="s">
        <v>2</v>
      </c>
    </row>
    <row r="223" spans="1:6" x14ac:dyDescent="0.25">
      <c r="A223" s="2" t="str">
        <f>Streaming_Stock_Watch!A223</f>
        <v>NiftyFinService</v>
      </c>
      <c r="B223" s="2" t="str">
        <f>Streaming_Stock_Watch!B223</f>
        <v>03:29:47 PM</v>
      </c>
      <c r="C223" s="2" t="str">
        <f>Streaming_Stock_Watch!C223</f>
        <v>18052.25</v>
      </c>
      <c r="D223" s="2" t="str">
        <f>Streaming_Stock_Watch!D223</f>
        <v>0</v>
      </c>
      <c r="E223" s="14">
        <f>Streaming_Stock_Watch!E223</f>
        <v>0</v>
      </c>
      <c r="F223" s="2" t="s">
        <v>2</v>
      </c>
    </row>
    <row r="224" spans="1:6" x14ac:dyDescent="0.25">
      <c r="A224" s="2" t="str">
        <f>Streaming_Stock_Watch!A224</f>
        <v>NiftyFMCG</v>
      </c>
      <c r="B224" s="2" t="str">
        <f>Streaming_Stock_Watch!B224</f>
        <v>03:29:59 PM</v>
      </c>
      <c r="C224" s="2" t="str">
        <f>Streaming_Stock_Watch!C224</f>
        <v>39509.25</v>
      </c>
      <c r="D224" s="2" t="str">
        <f>Streaming_Stock_Watch!D224</f>
        <v>0</v>
      </c>
      <c r="E224" s="14">
        <f>Streaming_Stock_Watch!E224</f>
        <v>0</v>
      </c>
      <c r="F224" s="2" t="s">
        <v>2</v>
      </c>
    </row>
    <row r="225" spans="1:6" x14ac:dyDescent="0.25">
      <c r="A225" s="2" t="str">
        <f>Streaming_Stock_Watch!A225</f>
        <v>NiftyIT</v>
      </c>
      <c r="B225" s="2" t="str">
        <f>Streaming_Stock_Watch!B225</f>
        <v>03:40:01 PM</v>
      </c>
      <c r="C225" s="2" t="str">
        <f>Streaming_Stock_Watch!C225</f>
        <v>34570.25</v>
      </c>
      <c r="D225" s="2" t="str">
        <f>Streaming_Stock_Watch!D225</f>
        <v>0</v>
      </c>
      <c r="E225" s="14">
        <f>Streaming_Stock_Watch!E225</f>
        <v>0</v>
      </c>
      <c r="F225" s="2" t="s">
        <v>2</v>
      </c>
    </row>
    <row r="226" spans="1:6" x14ac:dyDescent="0.25">
      <c r="A226" s="2" t="str">
        <f>Streaming_Stock_Watch!A226</f>
        <v>NiftyMedia</v>
      </c>
      <c r="B226" s="2" t="str">
        <f>Streaming_Stock_Watch!B226</f>
        <v>03:29:41 PM</v>
      </c>
      <c r="C226" s="2" t="str">
        <f>Streaming_Stock_Watch!C226</f>
        <v>1601.10</v>
      </c>
      <c r="D226" s="2" t="str">
        <f>Streaming_Stock_Watch!D226</f>
        <v>0</v>
      </c>
      <c r="E226" s="14">
        <f>Streaming_Stock_Watch!E226</f>
        <v>0</v>
      </c>
      <c r="F226" s="2" t="s">
        <v>2</v>
      </c>
    </row>
    <row r="227" spans="1:6" x14ac:dyDescent="0.25">
      <c r="A227" s="2" t="str">
        <f>Streaming_Stock_Watch!A227</f>
        <v>NiftyMetal</v>
      </c>
      <c r="B227" s="2" t="str">
        <f>Streaming_Stock_Watch!B227</f>
        <v>03:29:52 PM</v>
      </c>
      <c r="C227" s="2" t="str">
        <f>Streaming_Stock_Watch!C227</f>
        <v>5713.25</v>
      </c>
      <c r="D227" s="2" t="str">
        <f>Streaming_Stock_Watch!D227</f>
        <v>0</v>
      </c>
      <c r="E227" s="14">
        <f>Streaming_Stock_Watch!E227</f>
        <v>0</v>
      </c>
      <c r="F227" s="2" t="s">
        <v>2</v>
      </c>
    </row>
    <row r="228" spans="1:6" x14ac:dyDescent="0.25">
      <c r="A228" s="2" t="str">
        <f>Streaming_Stock_Watch!A228</f>
        <v>NiftyPharma</v>
      </c>
      <c r="B228" s="2" t="str">
        <f>Streaming_Stock_Watch!B228</f>
        <v>03:29:57 PM</v>
      </c>
      <c r="C228" s="2" t="str">
        <f>Streaming_Stock_Watch!C228</f>
        <v>14336.80</v>
      </c>
      <c r="D228" s="2" t="str">
        <f>Streaming_Stock_Watch!D228</f>
        <v>0</v>
      </c>
      <c r="E228" s="14">
        <f>Streaming_Stock_Watch!E228</f>
        <v>0</v>
      </c>
      <c r="F228" s="2" t="s">
        <v>2</v>
      </c>
    </row>
    <row r="229" spans="1:6" x14ac:dyDescent="0.25">
      <c r="A229" s="2" t="str">
        <f>Streaming_Stock_Watch!A229</f>
        <v>NiftyPSUBank</v>
      </c>
      <c r="B229" s="2" t="str">
        <f>Streaming_Stock_Watch!B229</f>
        <v>03:29:57 PM</v>
      </c>
      <c r="C229" s="2" t="str">
        <f>Streaming_Stock_Watch!C229</f>
        <v>2331.50</v>
      </c>
      <c r="D229" s="2" t="str">
        <f>Streaming_Stock_Watch!D229</f>
        <v>0</v>
      </c>
      <c r="E229" s="14">
        <f>Streaming_Stock_Watch!E229</f>
        <v>0</v>
      </c>
      <c r="F229" s="2" t="s">
        <v>2</v>
      </c>
    </row>
    <row r="230" spans="1:6" x14ac:dyDescent="0.25">
      <c r="A230" s="2" t="str">
        <f>Streaming_Stock_Watch!A230</f>
        <v>NiftyRealty</v>
      </c>
      <c r="B230" s="2" t="str">
        <f>Streaming_Stock_Watch!B230</f>
        <v>03:29:57 PM</v>
      </c>
      <c r="C230" s="2" t="str">
        <f>Streaming_Stock_Watch!C230</f>
        <v>387.10</v>
      </c>
      <c r="D230" s="2" t="str">
        <f>Streaming_Stock_Watch!D230</f>
        <v>0</v>
      </c>
      <c r="E230" s="14">
        <f>Streaming_Stock_Watch!E230</f>
        <v>0</v>
      </c>
      <c r="F230" s="2" t="s">
        <v>2</v>
      </c>
    </row>
    <row r="231" spans="1:6" x14ac:dyDescent="0.25">
      <c r="A231" s="2" t="str">
        <f>Streaming_Stock_Watch!A231</f>
        <v>Nifty</v>
      </c>
      <c r="B231" s="2" t="str">
        <f>Streaming_Stock_Watch!B231</f>
        <v>03:29:52 PM</v>
      </c>
      <c r="C231" s="2" t="str">
        <f>Streaming_Stock_Watch!C231</f>
        <v>17129.25</v>
      </c>
      <c r="D231" s="2" t="str">
        <f>Streaming_Stock_Watch!D231</f>
        <v>0</v>
      </c>
      <c r="E231" s="14">
        <f>Streaming_Stock_Watch!E231</f>
        <v>0</v>
      </c>
      <c r="F231" s="2" t="s">
        <v>2</v>
      </c>
    </row>
    <row r="232" spans="1:6" x14ac:dyDescent="0.25">
      <c r="A232" s="2"/>
      <c r="B232" s="2"/>
      <c r="C232" s="2"/>
      <c r="D232" s="2"/>
      <c r="E232" s="14"/>
      <c r="F232" s="2"/>
    </row>
    <row r="233" spans="1:6" x14ac:dyDescent="0.25">
      <c r="A233" s="2"/>
      <c r="B233" s="2"/>
      <c r="C233" s="2"/>
      <c r="D233" s="2"/>
      <c r="E233" s="14"/>
      <c r="F233" s="2"/>
    </row>
    <row r="234" spans="1:6" x14ac:dyDescent="0.25">
      <c r="A234" s="2"/>
      <c r="B234" s="2"/>
      <c r="C234" s="2"/>
      <c r="D234" s="2"/>
      <c r="E234" s="14"/>
      <c r="F234" s="2"/>
    </row>
    <row r="235" spans="1:6" x14ac:dyDescent="0.25">
      <c r="A235" s="2"/>
      <c r="B235" s="2"/>
      <c r="C235" s="2"/>
      <c r="D235" s="2"/>
      <c r="E235" s="14"/>
      <c r="F235" s="2"/>
    </row>
    <row r="236" spans="1:6" x14ac:dyDescent="0.25">
      <c r="A236" s="2"/>
      <c r="B236" s="2"/>
      <c r="C236" s="2"/>
      <c r="D236" s="2"/>
      <c r="E236" s="14"/>
      <c r="F236" s="2"/>
    </row>
    <row r="237" spans="1:6" x14ac:dyDescent="0.25">
      <c r="A237" s="2"/>
      <c r="B237" s="2"/>
      <c r="C237" s="2"/>
      <c r="D237" s="2"/>
      <c r="E237" s="14"/>
      <c r="F237" s="2"/>
    </row>
    <row r="238" spans="1:6" x14ac:dyDescent="0.25">
      <c r="A238" s="2"/>
      <c r="B238" s="2"/>
      <c r="C238" s="2"/>
      <c r="D238" s="2"/>
      <c r="E238" s="14"/>
      <c r="F238" s="2"/>
    </row>
    <row r="239" spans="1:6" x14ac:dyDescent="0.25">
      <c r="A239" s="2"/>
      <c r="B239" s="2"/>
      <c r="C239" s="2"/>
      <c r="D239" s="2"/>
      <c r="E239" s="14"/>
      <c r="F239" s="2"/>
    </row>
    <row r="240" spans="1:6" x14ac:dyDescent="0.25">
      <c r="A240" s="2"/>
      <c r="B240" s="2"/>
      <c r="C240" s="2"/>
      <c r="D240" s="2"/>
      <c r="E240" s="14"/>
      <c r="F240" s="2"/>
    </row>
    <row r="241" spans="1:6" x14ac:dyDescent="0.25">
      <c r="A241" s="2"/>
      <c r="B241" s="2"/>
      <c r="C241" s="2"/>
      <c r="D241" s="2"/>
      <c r="E241" s="14"/>
      <c r="F241" s="2"/>
    </row>
    <row r="242" spans="1:6" x14ac:dyDescent="0.25">
      <c r="A242" s="2"/>
      <c r="B242" s="2"/>
      <c r="C242" s="2"/>
      <c r="D242" s="2"/>
      <c r="E242" s="14"/>
      <c r="F242" s="2"/>
    </row>
    <row r="243" spans="1:6" x14ac:dyDescent="0.25">
      <c r="A243" s="2"/>
      <c r="B243" s="2"/>
      <c r="C243" s="2"/>
      <c r="D243" s="2"/>
      <c r="E243" s="14"/>
      <c r="F243" s="2"/>
    </row>
    <row r="244" spans="1:6" x14ac:dyDescent="0.25">
      <c r="A244" s="2"/>
      <c r="B244" s="2"/>
      <c r="C244" s="2"/>
      <c r="D244" s="2"/>
      <c r="E244" s="14"/>
      <c r="F244" s="2"/>
    </row>
    <row r="245" spans="1:6" x14ac:dyDescent="0.25">
      <c r="A245" s="2"/>
      <c r="B245" s="2"/>
      <c r="C245" s="2"/>
      <c r="D245" s="2"/>
      <c r="E245" s="14"/>
      <c r="F245" s="2"/>
    </row>
    <row r="246" spans="1:6" x14ac:dyDescent="0.25">
      <c r="A246" s="2"/>
      <c r="B246" s="2"/>
      <c r="C246" s="2"/>
      <c r="D246" s="2"/>
      <c r="E246" s="14"/>
      <c r="F246" s="2"/>
    </row>
    <row r="247" spans="1:6" x14ac:dyDescent="0.25">
      <c r="A247" s="2"/>
      <c r="B247" s="2"/>
      <c r="C247" s="2"/>
      <c r="D247" s="2"/>
      <c r="E247" s="14"/>
      <c r="F247" s="2"/>
    </row>
    <row r="248" spans="1:6" x14ac:dyDescent="0.25">
      <c r="A248" s="2"/>
      <c r="B248" s="2"/>
      <c r="C248" s="2"/>
      <c r="D248" s="2"/>
      <c r="E248" s="14"/>
      <c r="F248" s="2"/>
    </row>
    <row r="249" spans="1:6" x14ac:dyDescent="0.25">
      <c r="A249" s="2"/>
      <c r="B249" s="2"/>
      <c r="C249" s="2"/>
      <c r="D249" s="2"/>
      <c r="E249" s="14"/>
      <c r="F249" s="2"/>
    </row>
    <row r="250" spans="1:6" x14ac:dyDescent="0.25">
      <c r="A250" s="2"/>
      <c r="B250" s="2"/>
      <c r="C250" s="2"/>
      <c r="D250" s="2"/>
      <c r="E250" s="14"/>
      <c r="F250" s="2"/>
    </row>
    <row r="251" spans="1:6" x14ac:dyDescent="0.25">
      <c r="A251" s="2"/>
      <c r="B251" s="2"/>
      <c r="C251" s="2"/>
      <c r="D251" s="2"/>
      <c r="E251" s="14"/>
      <c r="F251" s="2"/>
    </row>
    <row r="252" spans="1:6" x14ac:dyDescent="0.25">
      <c r="A252" s="2"/>
      <c r="B252" s="2"/>
      <c r="C252" s="2"/>
      <c r="D252" s="2"/>
      <c r="E252" s="14"/>
      <c r="F252" s="2"/>
    </row>
    <row r="253" spans="1:6" x14ac:dyDescent="0.25">
      <c r="A253" s="2"/>
      <c r="B253" s="2"/>
      <c r="C253" s="2"/>
      <c r="D253" s="2"/>
      <c r="E253" s="14"/>
      <c r="F253" s="2"/>
    </row>
    <row r="254" spans="1:6" x14ac:dyDescent="0.25">
      <c r="A254" s="2"/>
      <c r="B254" s="2"/>
      <c r="C254" s="2"/>
      <c r="D254" s="2"/>
      <c r="E254" s="14"/>
      <c r="F254" s="2"/>
    </row>
    <row r="255" spans="1:6" x14ac:dyDescent="0.25">
      <c r="A255" s="2"/>
      <c r="B255" s="2"/>
      <c r="C255" s="2"/>
      <c r="D255" s="2"/>
      <c r="E255" s="14"/>
      <c r="F255" s="2"/>
    </row>
    <row r="256" spans="1:6" x14ac:dyDescent="0.25">
      <c r="A256" s="2"/>
      <c r="B256" s="2"/>
      <c r="C256" s="2"/>
      <c r="D256" s="2"/>
      <c r="E256" s="14"/>
      <c r="F256" s="2"/>
    </row>
    <row r="257" spans="1:6" x14ac:dyDescent="0.25">
      <c r="A257" s="2"/>
      <c r="B257" s="2"/>
      <c r="C257" s="2"/>
      <c r="D257" s="2"/>
      <c r="E257" s="14"/>
      <c r="F257" s="2"/>
    </row>
    <row r="258" spans="1:6" x14ac:dyDescent="0.25">
      <c r="A258" s="2"/>
      <c r="B258" s="2"/>
      <c r="C258" s="2"/>
      <c r="D258" s="2"/>
      <c r="E258" s="14"/>
      <c r="F258" s="2"/>
    </row>
    <row r="259" spans="1:6" x14ac:dyDescent="0.25">
      <c r="A259" s="2"/>
      <c r="B259" s="2"/>
      <c r="C259" s="2"/>
      <c r="D259" s="2"/>
      <c r="E259" s="14"/>
      <c r="F259" s="2"/>
    </row>
    <row r="260" spans="1:6" x14ac:dyDescent="0.25">
      <c r="A260" s="2"/>
      <c r="B260" s="2"/>
      <c r="C260" s="2"/>
      <c r="D260" s="2"/>
      <c r="E260" s="14"/>
      <c r="F260" s="2"/>
    </row>
    <row r="261" spans="1:6" x14ac:dyDescent="0.25">
      <c r="A261" s="2"/>
      <c r="B261" s="2"/>
      <c r="C261" s="2"/>
      <c r="D261" s="2"/>
      <c r="E261" s="14"/>
      <c r="F261" s="2"/>
    </row>
    <row r="262" spans="1:6" x14ac:dyDescent="0.25">
      <c r="A262" s="2"/>
      <c r="B262" s="2"/>
      <c r="C262" s="2"/>
      <c r="D262" s="2"/>
      <c r="E262" s="14"/>
      <c r="F262" s="2"/>
    </row>
    <row r="263" spans="1:6" x14ac:dyDescent="0.25">
      <c r="A263" s="2"/>
      <c r="B263" s="2"/>
      <c r="C263" s="2"/>
      <c r="D263" s="2"/>
      <c r="E263" s="14"/>
      <c r="F263" s="2"/>
    </row>
    <row r="264" spans="1:6" x14ac:dyDescent="0.25">
      <c r="A264" s="2"/>
      <c r="B264" s="2"/>
      <c r="C264" s="2"/>
      <c r="D264" s="2"/>
      <c r="E264" s="14"/>
      <c r="F264" s="2"/>
    </row>
    <row r="265" spans="1:6" x14ac:dyDescent="0.25">
      <c r="A265" s="2"/>
      <c r="B265" s="2"/>
      <c r="C265" s="2"/>
      <c r="D265" s="2"/>
      <c r="E265" s="14"/>
      <c r="F265" s="2"/>
    </row>
    <row r="266" spans="1:6" x14ac:dyDescent="0.25">
      <c r="A266" s="2"/>
      <c r="B266" s="2"/>
      <c r="C266" s="2"/>
      <c r="D266" s="2"/>
      <c r="E266" s="14"/>
      <c r="F266" s="2"/>
    </row>
    <row r="267" spans="1:6" x14ac:dyDescent="0.25">
      <c r="A267" s="2"/>
      <c r="B267" s="2"/>
      <c r="C267" s="2"/>
      <c r="D267" s="2"/>
      <c r="E267" s="14"/>
      <c r="F267" s="2"/>
    </row>
    <row r="268" spans="1:6" x14ac:dyDescent="0.25">
      <c r="A268" s="2"/>
      <c r="B268" s="2"/>
      <c r="C268" s="2"/>
      <c r="D268" s="2"/>
      <c r="E268" s="14"/>
      <c r="F268" s="2"/>
    </row>
    <row r="269" spans="1:6" x14ac:dyDescent="0.25">
      <c r="A269" s="2"/>
      <c r="B269" s="2"/>
      <c r="C269" s="2"/>
      <c r="D269" s="2"/>
      <c r="E269" s="14"/>
      <c r="F269" s="2"/>
    </row>
    <row r="270" spans="1:6" x14ac:dyDescent="0.25">
      <c r="A270" s="2"/>
      <c r="B270" s="2"/>
      <c r="C270" s="2"/>
      <c r="D270" s="2"/>
      <c r="E270" s="14"/>
      <c r="F270" s="2"/>
    </row>
    <row r="271" spans="1:6" x14ac:dyDescent="0.25">
      <c r="A271" s="2"/>
      <c r="B271" s="2"/>
      <c r="C271" s="2"/>
      <c r="D271" s="2"/>
      <c r="E271" s="14"/>
      <c r="F271" s="2"/>
    </row>
    <row r="272" spans="1:6" x14ac:dyDescent="0.25">
      <c r="A272" s="2"/>
      <c r="B272" s="2"/>
      <c r="C272" s="2"/>
      <c r="D272" s="2"/>
      <c r="E272" s="14"/>
      <c r="F272" s="2"/>
    </row>
    <row r="273" spans="1:6" x14ac:dyDescent="0.25">
      <c r="A273" s="2"/>
      <c r="B273" s="2"/>
      <c r="C273" s="2"/>
      <c r="D273" s="2"/>
      <c r="E273" s="14"/>
      <c r="F273" s="2"/>
    </row>
    <row r="274" spans="1:6" x14ac:dyDescent="0.25">
      <c r="A274" s="2"/>
      <c r="B274" s="2"/>
      <c r="C274" s="2"/>
      <c r="D274" s="2"/>
      <c r="E274" s="14"/>
      <c r="F274" s="2"/>
    </row>
    <row r="275" spans="1:6" x14ac:dyDescent="0.25">
      <c r="A275" s="2"/>
      <c r="B275" s="2"/>
      <c r="C275" s="2"/>
      <c r="D275" s="2"/>
      <c r="E275" s="14"/>
      <c r="F275" s="2"/>
    </row>
    <row r="276" spans="1:6" x14ac:dyDescent="0.25">
      <c r="A276" s="2"/>
      <c r="B276" s="2"/>
      <c r="C276" s="2"/>
      <c r="D276" s="2"/>
      <c r="E276" s="14"/>
      <c r="F276" s="2"/>
    </row>
    <row r="277" spans="1:6" x14ac:dyDescent="0.25">
      <c r="A277" s="2"/>
      <c r="B277" s="2"/>
      <c r="C277" s="2"/>
      <c r="D277" s="2"/>
      <c r="E277" s="14"/>
      <c r="F277" s="2"/>
    </row>
    <row r="278" spans="1:6" x14ac:dyDescent="0.25">
      <c r="A278" s="2"/>
      <c r="B278" s="2"/>
      <c r="C278" s="2"/>
      <c r="D278" s="2"/>
      <c r="E278" s="14"/>
      <c r="F278" s="2"/>
    </row>
    <row r="279" spans="1:6" x14ac:dyDescent="0.25">
      <c r="A279" s="2"/>
      <c r="B279" s="2"/>
      <c r="C279" s="2"/>
      <c r="D279" s="2"/>
      <c r="E279" s="14"/>
      <c r="F279" s="2"/>
    </row>
    <row r="280" spans="1:6" x14ac:dyDescent="0.25">
      <c r="A280" s="2"/>
      <c r="B280" s="2"/>
      <c r="C280" s="2"/>
      <c r="D280" s="2"/>
      <c r="E280" s="14"/>
      <c r="F280" s="2"/>
    </row>
    <row r="281" spans="1:6" x14ac:dyDescent="0.25">
      <c r="A281" s="2"/>
      <c r="B281" s="2"/>
      <c r="C281" s="2"/>
      <c r="D281" s="2"/>
      <c r="E281" s="14"/>
      <c r="F281" s="2"/>
    </row>
    <row r="282" spans="1:6" x14ac:dyDescent="0.25">
      <c r="A282" s="2"/>
      <c r="B282" s="2"/>
      <c r="C282" s="2"/>
      <c r="D282" s="2"/>
      <c r="E282" s="14"/>
      <c r="F282" s="2"/>
    </row>
    <row r="283" spans="1:6" x14ac:dyDescent="0.25">
      <c r="A283" s="2"/>
      <c r="B283" s="2"/>
      <c r="C283" s="2"/>
      <c r="D283" s="2"/>
      <c r="E283" s="14"/>
      <c r="F283" s="2"/>
    </row>
    <row r="284" spans="1:6" x14ac:dyDescent="0.25">
      <c r="A284" s="2"/>
      <c r="B284" s="2"/>
      <c r="C284" s="2"/>
      <c r="D284" s="2"/>
      <c r="E284" s="14"/>
      <c r="F284" s="2"/>
    </row>
    <row r="285" spans="1:6" x14ac:dyDescent="0.25">
      <c r="A285" s="2"/>
      <c r="B285" s="2"/>
      <c r="C285" s="2"/>
      <c r="D285" s="2"/>
      <c r="E285" s="14"/>
      <c r="F285" s="2"/>
    </row>
    <row r="286" spans="1:6" x14ac:dyDescent="0.25">
      <c r="A286" s="2"/>
      <c r="B286" s="2"/>
      <c r="C286" s="2"/>
      <c r="D286" s="2"/>
      <c r="E286" s="14"/>
      <c r="F286" s="2"/>
    </row>
    <row r="287" spans="1:6" x14ac:dyDescent="0.25">
      <c r="A287" s="2"/>
      <c r="B287" s="2"/>
      <c r="C287" s="2"/>
      <c r="D287" s="2"/>
      <c r="E287" s="14"/>
      <c r="F287" s="2"/>
    </row>
    <row r="288" spans="1:6" x14ac:dyDescent="0.25">
      <c r="A288" s="2"/>
      <c r="B288" s="2"/>
      <c r="C288" s="2"/>
      <c r="D288" s="2"/>
      <c r="E288" s="14"/>
      <c r="F288" s="2"/>
    </row>
    <row r="289" spans="1:6" x14ac:dyDescent="0.25">
      <c r="A289" s="2"/>
      <c r="B289" s="2"/>
      <c r="C289" s="2"/>
      <c r="D289" s="2"/>
      <c r="E289" s="14"/>
      <c r="F289" s="2"/>
    </row>
    <row r="290" spans="1:6" x14ac:dyDescent="0.25">
      <c r="A290" s="2"/>
      <c r="B290" s="2"/>
      <c r="C290" s="2"/>
      <c r="D290" s="2"/>
      <c r="E290" s="14"/>
      <c r="F290" s="2"/>
    </row>
    <row r="291" spans="1:6" x14ac:dyDescent="0.25">
      <c r="A291" s="2"/>
      <c r="B291" s="2"/>
      <c r="C291" s="2"/>
      <c r="D291" s="2"/>
      <c r="E291" s="14"/>
      <c r="F291" s="2"/>
    </row>
    <row r="292" spans="1:6" x14ac:dyDescent="0.25">
      <c r="A292" s="2"/>
      <c r="B292" s="2"/>
      <c r="C292" s="2"/>
      <c r="D292" s="2"/>
      <c r="E292" s="14"/>
      <c r="F292" s="2"/>
    </row>
    <row r="293" spans="1:6" x14ac:dyDescent="0.25">
      <c r="A293" s="2"/>
      <c r="B293" s="2"/>
      <c r="C293" s="2"/>
      <c r="D293" s="2"/>
      <c r="E293" s="14"/>
      <c r="F293" s="2"/>
    </row>
    <row r="294" spans="1:6" x14ac:dyDescent="0.25">
      <c r="A294" s="2"/>
      <c r="B294" s="2"/>
      <c r="C294" s="2"/>
      <c r="D294" s="2"/>
      <c r="E294" s="14"/>
      <c r="F294" s="2"/>
    </row>
    <row r="295" spans="1:6" x14ac:dyDescent="0.25">
      <c r="A295" s="2"/>
      <c r="B295" s="2"/>
      <c r="C295" s="2"/>
      <c r="D295" s="2"/>
      <c r="E295" s="14"/>
      <c r="F295" s="2"/>
    </row>
    <row r="296" spans="1:6" x14ac:dyDescent="0.25">
      <c r="A296" s="2"/>
      <c r="B296" s="2"/>
      <c r="C296" s="2"/>
      <c r="D296" s="2"/>
      <c r="E296" s="14"/>
      <c r="F296" s="2"/>
    </row>
    <row r="297" spans="1:6" x14ac:dyDescent="0.25">
      <c r="A297" s="2"/>
      <c r="B297" s="2"/>
      <c r="C297" s="2"/>
      <c r="D297" s="2"/>
      <c r="E297" s="14"/>
      <c r="F297" s="2"/>
    </row>
    <row r="298" spans="1:6" x14ac:dyDescent="0.25">
      <c r="A298" s="2"/>
      <c r="B298" s="2"/>
      <c r="C298" s="2"/>
      <c r="D298" s="2"/>
      <c r="E298" s="14"/>
      <c r="F298" s="2"/>
    </row>
    <row r="299" spans="1:6" x14ac:dyDescent="0.25">
      <c r="A299" s="2"/>
      <c r="B299" s="2"/>
      <c r="C299" s="2"/>
      <c r="D299" s="2"/>
      <c r="E299" s="14"/>
      <c r="F299" s="2"/>
    </row>
    <row r="300" spans="1:6" x14ac:dyDescent="0.25">
      <c r="A300" s="2"/>
      <c r="B300" s="2"/>
      <c r="C300" s="2"/>
      <c r="D300" s="2"/>
      <c r="E300" s="14"/>
      <c r="F300" s="2"/>
    </row>
    <row r="301" spans="1:6" x14ac:dyDescent="0.25">
      <c r="A301" s="2"/>
      <c r="B301" s="2"/>
      <c r="C301" s="2"/>
      <c r="D301" s="2"/>
      <c r="E301" s="14"/>
      <c r="F301" s="2"/>
    </row>
    <row r="302" spans="1:6" x14ac:dyDescent="0.25">
      <c r="A302" s="2"/>
      <c r="B302" s="2"/>
      <c r="C302" s="2"/>
      <c r="D302" s="2"/>
      <c r="E302" s="14"/>
      <c r="F302" s="2"/>
    </row>
    <row r="303" spans="1:6" x14ac:dyDescent="0.25">
      <c r="A303" s="2"/>
      <c r="B303" s="2"/>
      <c r="C303" s="2"/>
      <c r="D303" s="2"/>
      <c r="E303" s="14"/>
      <c r="F303" s="2"/>
    </row>
    <row r="304" spans="1:6" x14ac:dyDescent="0.25">
      <c r="A304" s="2"/>
      <c r="B304" s="2"/>
      <c r="C304" s="2"/>
      <c r="D304" s="2"/>
      <c r="E304" s="14"/>
      <c r="F304" s="2"/>
    </row>
    <row r="305" spans="1:6" x14ac:dyDescent="0.25">
      <c r="A305" s="2"/>
      <c r="B305" s="2"/>
      <c r="C305" s="2"/>
      <c r="D305" s="2"/>
      <c r="E305" s="14"/>
      <c r="F305" s="2"/>
    </row>
    <row r="306" spans="1:6" x14ac:dyDescent="0.25">
      <c r="A306" s="2"/>
      <c r="B306" s="2"/>
      <c r="C306" s="2"/>
      <c r="D306" s="2"/>
      <c r="E306" s="14"/>
      <c r="F306" s="2"/>
    </row>
    <row r="307" spans="1:6" x14ac:dyDescent="0.25">
      <c r="A307" s="2"/>
      <c r="B307" s="2"/>
      <c r="C307" s="2"/>
      <c r="D307" s="2"/>
      <c r="E307" s="14"/>
      <c r="F307" s="2"/>
    </row>
    <row r="308" spans="1:6" x14ac:dyDescent="0.25">
      <c r="A308" s="2"/>
      <c r="B308" s="2"/>
      <c r="C308" s="2"/>
      <c r="D308" s="2"/>
      <c r="E308" s="14"/>
      <c r="F308" s="2"/>
    </row>
    <row r="309" spans="1:6" x14ac:dyDescent="0.25">
      <c r="A309" s="2"/>
      <c r="B309" s="2"/>
      <c r="C309" s="2"/>
      <c r="D309" s="2"/>
      <c r="E309" s="14"/>
      <c r="F309" s="2"/>
    </row>
    <row r="310" spans="1:6" x14ac:dyDescent="0.25">
      <c r="A310" s="2"/>
      <c r="B310" s="2"/>
      <c r="C310" s="2"/>
      <c r="D310" s="2"/>
      <c r="E310" s="14"/>
      <c r="F310" s="2"/>
    </row>
    <row r="311" spans="1:6" x14ac:dyDescent="0.25">
      <c r="A311" s="2"/>
      <c r="B311" s="2"/>
      <c r="C311" s="2"/>
      <c r="D311" s="2"/>
      <c r="E311" s="14"/>
      <c r="F311" s="2"/>
    </row>
    <row r="312" spans="1:6" x14ac:dyDescent="0.25">
      <c r="A312" s="2"/>
      <c r="B312" s="2"/>
      <c r="C312" s="2"/>
      <c r="D312" s="2"/>
      <c r="E312" s="14"/>
      <c r="F312" s="2"/>
    </row>
    <row r="313" spans="1:6" x14ac:dyDescent="0.25">
      <c r="A313" s="2"/>
      <c r="B313" s="2"/>
      <c r="C313" s="2"/>
      <c r="D313" s="2"/>
      <c r="E313" s="14"/>
      <c r="F313" s="2"/>
    </row>
    <row r="314" spans="1:6" x14ac:dyDescent="0.25">
      <c r="A314" s="2"/>
      <c r="B314" s="2"/>
      <c r="C314" s="2"/>
      <c r="D314" s="2"/>
      <c r="E314" s="14"/>
      <c r="F314" s="2"/>
    </row>
    <row r="315" spans="1:6" x14ac:dyDescent="0.25">
      <c r="A315" s="2"/>
      <c r="B315" s="2"/>
      <c r="C315" s="2"/>
      <c r="D315" s="2"/>
      <c r="E315" s="14"/>
      <c r="F315" s="2"/>
    </row>
    <row r="316" spans="1:6" x14ac:dyDescent="0.25">
      <c r="A316" s="2"/>
      <c r="B316" s="2"/>
      <c r="C316" s="2"/>
      <c r="D316" s="2"/>
      <c r="E316" s="14"/>
      <c r="F316" s="2"/>
    </row>
    <row r="317" spans="1:6" x14ac:dyDescent="0.25">
      <c r="A317" s="2"/>
      <c r="B317" s="2"/>
      <c r="C317" s="2"/>
      <c r="D317" s="2"/>
      <c r="E317" s="14"/>
      <c r="F317" s="2"/>
    </row>
    <row r="318" spans="1:6" x14ac:dyDescent="0.25">
      <c r="A318" s="2"/>
      <c r="B318" s="2"/>
      <c r="C318" s="2"/>
      <c r="D318" s="2"/>
      <c r="E318" s="14"/>
      <c r="F318" s="2"/>
    </row>
    <row r="319" spans="1:6" x14ac:dyDescent="0.25">
      <c r="A319" s="2"/>
      <c r="B319" s="2"/>
      <c r="C319" s="2"/>
      <c r="D319" s="2"/>
      <c r="E319" s="14"/>
      <c r="F319" s="2"/>
    </row>
    <row r="320" spans="1:6" x14ac:dyDescent="0.25">
      <c r="A320" s="2"/>
      <c r="B320" s="2"/>
      <c r="C320" s="2"/>
      <c r="D320" s="2"/>
      <c r="E320" s="14"/>
      <c r="F320" s="2"/>
    </row>
    <row r="321" spans="1:6" x14ac:dyDescent="0.25">
      <c r="A321" s="2"/>
      <c r="B321" s="2"/>
      <c r="C321" s="2"/>
      <c r="D321" s="2"/>
      <c r="E321" s="14"/>
      <c r="F321" s="2"/>
    </row>
    <row r="322" spans="1:6" x14ac:dyDescent="0.25">
      <c r="A322" s="2"/>
      <c r="B322" s="2"/>
      <c r="C322" s="2"/>
      <c r="D322" s="2"/>
      <c r="E322" s="14"/>
      <c r="F322" s="2"/>
    </row>
    <row r="323" spans="1:6" x14ac:dyDescent="0.25">
      <c r="A323" s="2"/>
      <c r="B323" s="2"/>
      <c r="C323" s="2"/>
      <c r="D323" s="2"/>
      <c r="E323" s="14"/>
      <c r="F323" s="2"/>
    </row>
    <row r="324" spans="1:6" x14ac:dyDescent="0.25">
      <c r="A324" s="2"/>
      <c r="B324" s="2"/>
      <c r="C324" s="2"/>
      <c r="D324" s="2"/>
      <c r="E324" s="14"/>
      <c r="F324" s="2"/>
    </row>
    <row r="325" spans="1:6" x14ac:dyDescent="0.25">
      <c r="A325" s="2"/>
      <c r="B325" s="2"/>
      <c r="C325" s="2"/>
      <c r="D325" s="2"/>
      <c r="E325" s="14"/>
      <c r="F325" s="2"/>
    </row>
    <row r="326" spans="1:6" x14ac:dyDescent="0.25">
      <c r="A326" s="2"/>
      <c r="B326" s="2"/>
      <c r="C326" s="2"/>
      <c r="D326" s="2"/>
      <c r="E326" s="14"/>
      <c r="F326" s="2"/>
    </row>
    <row r="327" spans="1:6" x14ac:dyDescent="0.25">
      <c r="A327" s="2"/>
      <c r="B327" s="2"/>
      <c r="C327" s="2"/>
      <c r="D327" s="2"/>
      <c r="E327" s="14"/>
      <c r="F327" s="2"/>
    </row>
    <row r="328" spans="1:6" x14ac:dyDescent="0.25">
      <c r="A328" s="2"/>
      <c r="B328" s="2"/>
      <c r="C328" s="2"/>
      <c r="D328" s="2"/>
      <c r="E328" s="14"/>
      <c r="F328" s="2"/>
    </row>
    <row r="329" spans="1:6" x14ac:dyDescent="0.25">
      <c r="A329" s="2"/>
      <c r="B329" s="2"/>
      <c r="C329" s="2"/>
      <c r="D329" s="2"/>
      <c r="E329" s="14"/>
      <c r="F329" s="2"/>
    </row>
    <row r="330" spans="1:6" x14ac:dyDescent="0.25">
      <c r="A330" s="2"/>
      <c r="B330" s="2"/>
      <c r="C330" s="2"/>
      <c r="D330" s="2"/>
      <c r="E330" s="14"/>
      <c r="F330" s="2"/>
    </row>
    <row r="331" spans="1:6" x14ac:dyDescent="0.25">
      <c r="A331" s="2"/>
      <c r="B331" s="2"/>
      <c r="C331" s="2"/>
      <c r="D331" s="2"/>
      <c r="E331" s="14"/>
      <c r="F331" s="2"/>
    </row>
    <row r="332" spans="1:6" x14ac:dyDescent="0.25">
      <c r="A332" s="2"/>
      <c r="B332" s="2"/>
      <c r="C332" s="2"/>
      <c r="D332" s="2"/>
      <c r="E332" s="14"/>
      <c r="F332" s="2"/>
    </row>
    <row r="333" spans="1:6" x14ac:dyDescent="0.25">
      <c r="A333" s="2"/>
      <c r="B333" s="2"/>
      <c r="C333" s="2"/>
      <c r="D333" s="2"/>
      <c r="E333" s="14"/>
      <c r="F333" s="2"/>
    </row>
    <row r="334" spans="1:6" x14ac:dyDescent="0.25">
      <c r="A334" s="2"/>
      <c r="B334" s="2"/>
      <c r="C334" s="2"/>
      <c r="D334" s="2"/>
      <c r="E334" s="14"/>
      <c r="F334" s="2"/>
    </row>
    <row r="335" spans="1:6" x14ac:dyDescent="0.25">
      <c r="A335" s="2"/>
      <c r="B335" s="2"/>
      <c r="C335" s="2"/>
      <c r="D335" s="2"/>
      <c r="E335" s="14"/>
      <c r="F335" s="2"/>
    </row>
    <row r="336" spans="1:6" x14ac:dyDescent="0.25">
      <c r="A336" s="2"/>
      <c r="B336" s="2"/>
      <c r="C336" s="2"/>
      <c r="D336" s="2"/>
      <c r="E336" s="14"/>
      <c r="F336" s="2"/>
    </row>
    <row r="337" spans="1:6" x14ac:dyDescent="0.25">
      <c r="A337" s="2"/>
      <c r="B337" s="2"/>
      <c r="C337" s="2"/>
      <c r="D337" s="2"/>
      <c r="E337" s="14"/>
      <c r="F337" s="2"/>
    </row>
    <row r="338" spans="1:6" x14ac:dyDescent="0.25">
      <c r="A338" s="2"/>
      <c r="B338" s="2"/>
      <c r="C338" s="2"/>
      <c r="D338" s="2"/>
      <c r="E338" s="14"/>
      <c r="F338" s="2"/>
    </row>
    <row r="339" spans="1:6" x14ac:dyDescent="0.25">
      <c r="A339" s="2"/>
      <c r="B339" s="2"/>
      <c r="C339" s="2"/>
      <c r="D339" s="2"/>
      <c r="E339" s="14"/>
      <c r="F339" s="2"/>
    </row>
    <row r="340" spans="1:6" x14ac:dyDescent="0.25">
      <c r="A340" s="2"/>
      <c r="B340" s="2"/>
      <c r="C340" s="2"/>
      <c r="D340" s="2"/>
      <c r="E340" s="14"/>
      <c r="F340" s="2"/>
    </row>
    <row r="341" spans="1:6" x14ac:dyDescent="0.25">
      <c r="A341" s="2"/>
      <c r="B341" s="2"/>
      <c r="C341" s="2"/>
      <c r="D341" s="2"/>
      <c r="E341" s="14"/>
      <c r="F341" s="2"/>
    </row>
    <row r="342" spans="1:6" x14ac:dyDescent="0.25">
      <c r="A342" s="2"/>
      <c r="B342" s="2"/>
      <c r="C342" s="2"/>
      <c r="D342" s="2"/>
      <c r="E342" s="14"/>
      <c r="F342" s="2"/>
    </row>
    <row r="343" spans="1:6" x14ac:dyDescent="0.25">
      <c r="A343" s="2"/>
      <c r="B343" s="2"/>
      <c r="C343" s="2"/>
      <c r="D343" s="2"/>
      <c r="E343" s="14"/>
      <c r="F343" s="2"/>
    </row>
    <row r="344" spans="1:6" x14ac:dyDescent="0.25">
      <c r="A344" s="2"/>
      <c r="B344" s="2"/>
      <c r="C344" s="2"/>
      <c r="D344" s="2"/>
      <c r="E344" s="14"/>
      <c r="F344" s="2"/>
    </row>
    <row r="345" spans="1:6" x14ac:dyDescent="0.25">
      <c r="A345" s="2"/>
      <c r="B345" s="2"/>
      <c r="C345" s="2"/>
      <c r="D345" s="2"/>
      <c r="E345" s="14"/>
      <c r="F345" s="2"/>
    </row>
    <row r="346" spans="1:6" x14ac:dyDescent="0.25">
      <c r="A346" s="2"/>
      <c r="B346" s="2"/>
      <c r="C346" s="2"/>
      <c r="D346" s="2"/>
      <c r="E346" s="14"/>
      <c r="F346" s="2"/>
    </row>
    <row r="347" spans="1:6" x14ac:dyDescent="0.25">
      <c r="A347" s="2"/>
      <c r="B347" s="2"/>
      <c r="C347" s="2"/>
      <c r="D347" s="2"/>
      <c r="E347" s="14"/>
      <c r="F347" s="2"/>
    </row>
    <row r="348" spans="1:6" x14ac:dyDescent="0.25">
      <c r="A348" s="2"/>
      <c r="B348" s="2"/>
      <c r="C348" s="2"/>
      <c r="D348" s="2"/>
      <c r="E348" s="14"/>
      <c r="F348" s="2"/>
    </row>
    <row r="349" spans="1:6" x14ac:dyDescent="0.25">
      <c r="A349" s="2"/>
      <c r="B349" s="2"/>
      <c r="C349" s="2"/>
      <c r="D349" s="2"/>
      <c r="E349" s="14"/>
      <c r="F349" s="2"/>
    </row>
    <row r="350" spans="1:6" x14ac:dyDescent="0.25">
      <c r="A350" s="2"/>
      <c r="B350" s="2"/>
      <c r="C350" s="2"/>
      <c r="D350" s="2"/>
      <c r="E350" s="14"/>
      <c r="F350" s="2"/>
    </row>
    <row r="351" spans="1:6" x14ac:dyDescent="0.25">
      <c r="A351" s="2"/>
      <c r="B351" s="2"/>
      <c r="C351" s="2"/>
      <c r="D351" s="2"/>
      <c r="E351" s="14"/>
      <c r="F351" s="2"/>
    </row>
    <row r="352" spans="1:6" x14ac:dyDescent="0.25">
      <c r="A352" s="2"/>
      <c r="B352" s="2"/>
      <c r="C352" s="2"/>
      <c r="D352" s="2"/>
      <c r="E352" s="14"/>
      <c r="F352" s="2"/>
    </row>
    <row r="353" spans="1:6" x14ac:dyDescent="0.25">
      <c r="A353" s="2"/>
      <c r="B353" s="2"/>
      <c r="C353" s="2"/>
      <c r="D353" s="2"/>
      <c r="E353" s="14"/>
      <c r="F353" s="2"/>
    </row>
    <row r="354" spans="1:6" x14ac:dyDescent="0.25">
      <c r="A354" s="2"/>
      <c r="B354" s="2"/>
      <c r="C354" s="2"/>
      <c r="D354" s="2"/>
      <c r="E354" s="14"/>
      <c r="F354" s="2"/>
    </row>
    <row r="355" spans="1:6" x14ac:dyDescent="0.25">
      <c r="A355" s="2"/>
      <c r="B355" s="2"/>
      <c r="C355" s="2"/>
      <c r="D355" s="2"/>
      <c r="E355" s="14"/>
      <c r="F355" s="2"/>
    </row>
    <row r="356" spans="1:6" x14ac:dyDescent="0.25">
      <c r="A356" s="2"/>
      <c r="B356" s="2"/>
      <c r="C356" s="2"/>
      <c r="D356" s="2"/>
      <c r="E356" s="14"/>
      <c r="F356" s="2"/>
    </row>
    <row r="357" spans="1:6" x14ac:dyDescent="0.25">
      <c r="A357" s="2"/>
      <c r="B357" s="2"/>
      <c r="C357" s="2"/>
      <c r="D357" s="2"/>
      <c r="E357" s="14"/>
      <c r="F357" s="2"/>
    </row>
    <row r="358" spans="1:6" x14ac:dyDescent="0.25">
      <c r="A358" s="2"/>
      <c r="B358" s="2"/>
      <c r="C358" s="2"/>
      <c r="D358" s="2"/>
      <c r="E358" s="14"/>
      <c r="F358" s="2"/>
    </row>
    <row r="359" spans="1:6" x14ac:dyDescent="0.25">
      <c r="A359" s="2"/>
      <c r="B359" s="2"/>
      <c r="C359" s="2"/>
      <c r="D359" s="2"/>
      <c r="E359" s="14"/>
      <c r="F359" s="2"/>
    </row>
    <row r="360" spans="1:6" x14ac:dyDescent="0.25">
      <c r="A360" s="2"/>
      <c r="B360" s="2"/>
      <c r="C360" s="2"/>
      <c r="D360" s="2"/>
      <c r="E360" s="14"/>
      <c r="F360" s="2"/>
    </row>
    <row r="361" spans="1:6" x14ac:dyDescent="0.25">
      <c r="A361" s="2"/>
      <c r="B361" s="2"/>
      <c r="C361" s="2"/>
      <c r="D361" s="2"/>
      <c r="E361" s="14"/>
      <c r="F361" s="2"/>
    </row>
    <row r="362" spans="1:6" x14ac:dyDescent="0.25">
      <c r="A362" s="2"/>
      <c r="B362" s="2"/>
      <c r="C362" s="2"/>
      <c r="D362" s="2"/>
      <c r="E362" s="14"/>
      <c r="F362" s="2"/>
    </row>
    <row r="363" spans="1:6" x14ac:dyDescent="0.25">
      <c r="A363" s="2"/>
      <c r="B363" s="2"/>
      <c r="C363" s="2"/>
      <c r="D363" s="2"/>
      <c r="E363" s="14"/>
      <c r="F363" s="2"/>
    </row>
    <row r="364" spans="1:6" x14ac:dyDescent="0.25">
      <c r="A364" s="2"/>
      <c r="B364" s="2"/>
      <c r="C364" s="2"/>
      <c r="D364" s="2"/>
      <c r="E364" s="14"/>
      <c r="F364" s="2"/>
    </row>
    <row r="365" spans="1:6" x14ac:dyDescent="0.25">
      <c r="A365" s="2"/>
      <c r="B365" s="2"/>
      <c r="C365" s="2"/>
      <c r="D365" s="2"/>
      <c r="E365" s="14"/>
      <c r="F365" s="2"/>
    </row>
    <row r="366" spans="1:6" x14ac:dyDescent="0.25">
      <c r="A366" s="2"/>
      <c r="B366" s="2"/>
      <c r="C366" s="2"/>
      <c r="D366" s="2"/>
      <c r="E366" s="14"/>
      <c r="F366" s="2"/>
    </row>
    <row r="367" spans="1:6" x14ac:dyDescent="0.25">
      <c r="A367" s="2"/>
      <c r="B367" s="2"/>
      <c r="C367" s="2"/>
      <c r="D367" s="2"/>
      <c r="E367" s="14"/>
      <c r="F367" s="2"/>
    </row>
    <row r="368" spans="1:6" x14ac:dyDescent="0.25">
      <c r="A368" s="2"/>
      <c r="B368" s="2"/>
      <c r="C368" s="2"/>
      <c r="D368" s="2"/>
      <c r="E368" s="14"/>
      <c r="F368" s="2"/>
    </row>
    <row r="369" spans="1:6" x14ac:dyDescent="0.25">
      <c r="A369" s="2"/>
      <c r="B369" s="2"/>
      <c r="C369" s="2"/>
      <c r="D369" s="2"/>
      <c r="E369" s="14"/>
      <c r="F369" s="2"/>
    </row>
    <row r="370" spans="1:6" x14ac:dyDescent="0.25">
      <c r="A370" s="2"/>
      <c r="B370" s="2"/>
      <c r="C370" s="2"/>
      <c r="D370" s="2"/>
      <c r="E370" s="14"/>
      <c r="F370" s="2"/>
    </row>
    <row r="371" spans="1:6" x14ac:dyDescent="0.25">
      <c r="A371" s="2"/>
      <c r="B371" s="2"/>
      <c r="C371" s="2"/>
      <c r="D371" s="2"/>
      <c r="E371" s="14"/>
      <c r="F371" s="2"/>
    </row>
    <row r="372" spans="1:6" x14ac:dyDescent="0.25">
      <c r="A372" s="2"/>
      <c r="B372" s="2"/>
      <c r="C372" s="2"/>
      <c r="D372" s="2"/>
      <c r="E372" s="14"/>
      <c r="F372" s="2"/>
    </row>
    <row r="373" spans="1:6" x14ac:dyDescent="0.25">
      <c r="A373" s="2"/>
      <c r="B373" s="2"/>
      <c r="C373" s="2"/>
      <c r="D373" s="2"/>
      <c r="E373" s="14"/>
      <c r="F373" s="2"/>
    </row>
    <row r="374" spans="1:6" x14ac:dyDescent="0.25">
      <c r="A374" s="2"/>
      <c r="B374" s="2"/>
      <c r="C374" s="2"/>
      <c r="D374" s="2"/>
      <c r="E374" s="14"/>
      <c r="F374" s="2"/>
    </row>
    <row r="375" spans="1:6" x14ac:dyDescent="0.25">
      <c r="A375" s="2"/>
      <c r="B375" s="2"/>
      <c r="C375" s="2"/>
      <c r="D375" s="2"/>
      <c r="E375" s="14"/>
      <c r="F375" s="2"/>
    </row>
    <row r="376" spans="1:6" x14ac:dyDescent="0.25">
      <c r="A376" s="2"/>
      <c r="B376" s="2"/>
      <c r="C376" s="2"/>
      <c r="D376" s="2"/>
      <c r="E376" s="14"/>
      <c r="F376" s="2"/>
    </row>
    <row r="377" spans="1:6" x14ac:dyDescent="0.25">
      <c r="A377" s="2"/>
      <c r="B377" s="2"/>
      <c r="C377" s="2"/>
      <c r="D377" s="2"/>
      <c r="E377" s="14"/>
      <c r="F377" s="2"/>
    </row>
    <row r="378" spans="1:6" x14ac:dyDescent="0.25">
      <c r="A378" s="2"/>
      <c r="B378" s="2"/>
      <c r="C378" s="2"/>
      <c r="D378" s="2"/>
      <c r="E378" s="14"/>
      <c r="F378" s="2"/>
    </row>
    <row r="379" spans="1:6" x14ac:dyDescent="0.25">
      <c r="A379" s="2"/>
      <c r="B379" s="2"/>
      <c r="C379" s="2"/>
      <c r="D379" s="2"/>
      <c r="E379" s="14"/>
      <c r="F379" s="2"/>
    </row>
    <row r="380" spans="1:6" x14ac:dyDescent="0.25">
      <c r="A380" s="2"/>
      <c r="B380" s="2"/>
      <c r="C380" s="2"/>
      <c r="D380" s="2"/>
      <c r="E380" s="14"/>
      <c r="F380" s="2"/>
    </row>
    <row r="381" spans="1:6" x14ac:dyDescent="0.25">
      <c r="A381" s="2"/>
      <c r="B381" s="2"/>
      <c r="C381" s="2"/>
      <c r="D381" s="2"/>
      <c r="E381" s="14"/>
      <c r="F381" s="2"/>
    </row>
    <row r="382" spans="1:6" x14ac:dyDescent="0.25">
      <c r="A382" s="2"/>
      <c r="B382" s="2"/>
      <c r="C382" s="2"/>
      <c r="D382" s="2"/>
      <c r="E382" s="14"/>
      <c r="F382" s="2"/>
    </row>
    <row r="383" spans="1:6" x14ac:dyDescent="0.25">
      <c r="A383" s="2"/>
      <c r="B383" s="2"/>
      <c r="C383" s="2"/>
      <c r="D383" s="2"/>
      <c r="E383" s="14"/>
      <c r="F383" s="2"/>
    </row>
    <row r="384" spans="1:6" x14ac:dyDescent="0.25">
      <c r="A384" s="2"/>
      <c r="B384" s="2"/>
      <c r="C384" s="2"/>
      <c r="D384" s="2"/>
      <c r="E384" s="14"/>
      <c r="F384" s="2"/>
    </row>
    <row r="385" spans="1:6" x14ac:dyDescent="0.25">
      <c r="A385" s="2"/>
      <c r="B385" s="2"/>
      <c r="C385" s="2"/>
      <c r="D385" s="2"/>
      <c r="E385" s="14"/>
      <c r="F385" s="2"/>
    </row>
    <row r="386" spans="1:6" x14ac:dyDescent="0.25">
      <c r="A386" s="2"/>
      <c r="B386" s="2"/>
      <c r="C386" s="2"/>
      <c r="D386" s="2"/>
      <c r="E386" s="14"/>
      <c r="F386" s="2"/>
    </row>
    <row r="387" spans="1:6" x14ac:dyDescent="0.25">
      <c r="A387" s="2"/>
      <c r="B387" s="2"/>
      <c r="C387" s="2"/>
      <c r="D387" s="2"/>
      <c r="E387" s="14"/>
      <c r="F387" s="2"/>
    </row>
    <row r="388" spans="1:6" x14ac:dyDescent="0.25">
      <c r="A388" s="2"/>
      <c r="B388" s="2"/>
      <c r="C388" s="2"/>
      <c r="D388" s="2"/>
      <c r="E388" s="14"/>
      <c r="F388" s="2"/>
    </row>
    <row r="389" spans="1:6" x14ac:dyDescent="0.25">
      <c r="A389" s="2"/>
      <c r="B389" s="2"/>
      <c r="C389" s="2"/>
      <c r="D389" s="2"/>
      <c r="E389" s="14"/>
      <c r="F389" s="2"/>
    </row>
    <row r="390" spans="1:6" x14ac:dyDescent="0.25">
      <c r="A390" s="2"/>
      <c r="B390" s="2"/>
      <c r="C390" s="2"/>
      <c r="D390" s="2"/>
      <c r="E390" s="14"/>
      <c r="F390" s="2"/>
    </row>
    <row r="391" spans="1:6" x14ac:dyDescent="0.25">
      <c r="A391" s="2"/>
      <c r="B391" s="2"/>
      <c r="C391" s="2"/>
      <c r="D391" s="2"/>
      <c r="E391" s="14"/>
      <c r="F391" s="2"/>
    </row>
    <row r="392" spans="1:6" x14ac:dyDescent="0.25">
      <c r="A392" s="2"/>
      <c r="B392" s="2"/>
      <c r="C392" s="2"/>
      <c r="D392" s="2"/>
      <c r="E392" s="14"/>
      <c r="F392" s="2"/>
    </row>
    <row r="393" spans="1:6" x14ac:dyDescent="0.25">
      <c r="A393" s="2"/>
      <c r="B393" s="2"/>
      <c r="C393" s="2"/>
      <c r="D393" s="2"/>
      <c r="E393" s="14"/>
      <c r="F393" s="2"/>
    </row>
    <row r="394" spans="1:6" x14ac:dyDescent="0.25">
      <c r="A394" s="2"/>
      <c r="B394" s="2"/>
      <c r="C394" s="2"/>
      <c r="D394" s="2"/>
      <c r="E394" s="14"/>
      <c r="F394" s="2"/>
    </row>
    <row r="395" spans="1:6" x14ac:dyDescent="0.25">
      <c r="A395" s="2"/>
      <c r="B395" s="2"/>
      <c r="C395" s="2"/>
      <c r="D395" s="2"/>
      <c r="E395" s="14"/>
      <c r="F395" s="2"/>
    </row>
    <row r="396" spans="1:6" x14ac:dyDescent="0.25">
      <c r="A396" s="2"/>
      <c r="B396" s="2"/>
      <c r="C396" s="2"/>
      <c r="D396" s="2"/>
      <c r="E396" s="14"/>
      <c r="F396" s="2"/>
    </row>
    <row r="397" spans="1:6" x14ac:dyDescent="0.25">
      <c r="A397" s="2"/>
      <c r="B397" s="2"/>
      <c r="C397" s="2"/>
      <c r="D397" s="2"/>
      <c r="E397" s="14"/>
      <c r="F397" s="2"/>
    </row>
    <row r="398" spans="1:6" x14ac:dyDescent="0.25">
      <c r="A398" s="2"/>
      <c r="B398" s="2"/>
      <c r="C398" s="2"/>
      <c r="D398" s="2"/>
      <c r="E398" s="14"/>
      <c r="F398" s="2"/>
    </row>
    <row r="399" spans="1:6" x14ac:dyDescent="0.25">
      <c r="A399" s="2"/>
      <c r="B399" s="2"/>
      <c r="C399" s="2"/>
      <c r="D399" s="2"/>
      <c r="E399" s="14"/>
      <c r="F399" s="2"/>
    </row>
    <row r="400" spans="1:6" x14ac:dyDescent="0.25">
      <c r="A400" s="2"/>
      <c r="B400" s="2"/>
      <c r="C400" s="2"/>
      <c r="D400" s="2"/>
      <c r="E400" s="14"/>
      <c r="F400" s="2"/>
    </row>
    <row r="401" spans="1:6" x14ac:dyDescent="0.25">
      <c r="A401" s="2"/>
      <c r="B401" s="2"/>
      <c r="C401" s="2"/>
      <c r="D401" s="2"/>
      <c r="E401" s="14"/>
      <c r="F401" s="2"/>
    </row>
    <row r="402" spans="1:6" x14ac:dyDescent="0.25">
      <c r="A402" s="2"/>
      <c r="B402" s="2"/>
      <c r="C402" s="2"/>
      <c r="D402" s="2"/>
      <c r="E402" s="14"/>
      <c r="F402" s="2"/>
    </row>
    <row r="403" spans="1:6" x14ac:dyDescent="0.25">
      <c r="A403" s="2"/>
      <c r="B403" s="2"/>
      <c r="C403" s="2"/>
      <c r="D403" s="2"/>
      <c r="E403" s="14"/>
      <c r="F403" s="2"/>
    </row>
    <row r="404" spans="1:6" x14ac:dyDescent="0.25">
      <c r="A404" s="2"/>
      <c r="B404" s="2"/>
      <c r="C404" s="2"/>
      <c r="D404" s="2"/>
      <c r="E404" s="14"/>
      <c r="F404" s="2"/>
    </row>
    <row r="405" spans="1:6" x14ac:dyDescent="0.25">
      <c r="A405" s="2"/>
      <c r="B405" s="2"/>
      <c r="C405" s="2"/>
      <c r="D405" s="2"/>
      <c r="E405" s="14"/>
      <c r="F405" s="2"/>
    </row>
    <row r="406" spans="1:6" x14ac:dyDescent="0.25">
      <c r="A406" s="2"/>
      <c r="B406" s="2"/>
      <c r="C406" s="2"/>
      <c r="D406" s="2"/>
      <c r="E406" s="14"/>
      <c r="F406" s="2"/>
    </row>
    <row r="407" spans="1:6" x14ac:dyDescent="0.25">
      <c r="A407" s="2"/>
      <c r="B407" s="2"/>
      <c r="C407" s="2"/>
      <c r="D407" s="2"/>
      <c r="E407" s="14"/>
      <c r="F407" s="2"/>
    </row>
    <row r="408" spans="1:6" x14ac:dyDescent="0.25">
      <c r="A408" s="2"/>
      <c r="B408" s="2"/>
      <c r="C408" s="2"/>
      <c r="D408" s="2"/>
      <c r="E408" s="14"/>
      <c r="F408" s="2"/>
    </row>
    <row r="409" spans="1:6" x14ac:dyDescent="0.25">
      <c r="A409" s="2"/>
      <c r="B409" s="2"/>
      <c r="C409" s="2"/>
      <c r="D409" s="2"/>
      <c r="E409" s="14"/>
      <c r="F409" s="2"/>
    </row>
    <row r="410" spans="1:6" x14ac:dyDescent="0.25">
      <c r="A410" s="2"/>
      <c r="B410" s="2"/>
      <c r="C410" s="2"/>
      <c r="D410" s="2"/>
      <c r="E410" s="14"/>
      <c r="F410" s="2"/>
    </row>
    <row r="411" spans="1:6" x14ac:dyDescent="0.25">
      <c r="A411" s="2"/>
      <c r="B411" s="2"/>
      <c r="C411" s="2"/>
      <c r="D411" s="2"/>
      <c r="E411" s="14"/>
      <c r="F411" s="2"/>
    </row>
    <row r="412" spans="1:6" x14ac:dyDescent="0.25">
      <c r="A412" s="2"/>
      <c r="B412" s="2"/>
      <c r="C412" s="2"/>
      <c r="D412" s="2"/>
      <c r="E412" s="14"/>
      <c r="F412" s="2"/>
    </row>
    <row r="413" spans="1:6" x14ac:dyDescent="0.25">
      <c r="A413" s="2"/>
      <c r="B413" s="2"/>
      <c r="C413" s="2"/>
      <c r="D413" s="2"/>
      <c r="E413" s="14"/>
      <c r="F413" s="2"/>
    </row>
    <row r="414" spans="1:6" x14ac:dyDescent="0.25">
      <c r="A414" s="2"/>
      <c r="B414" s="2"/>
      <c r="C414" s="2"/>
      <c r="D414" s="2"/>
      <c r="E414" s="14"/>
      <c r="F414" s="2"/>
    </row>
    <row r="415" spans="1:6" x14ac:dyDescent="0.25">
      <c r="A415" s="2"/>
      <c r="B415" s="2"/>
      <c r="C415" s="2"/>
      <c r="D415" s="2"/>
      <c r="E415" s="14"/>
      <c r="F415" s="2"/>
    </row>
    <row r="416" spans="1:6" x14ac:dyDescent="0.25">
      <c r="A416" s="2"/>
      <c r="B416" s="2"/>
      <c r="C416" s="2"/>
      <c r="D416" s="2"/>
      <c r="E416" s="14"/>
      <c r="F416" s="2"/>
    </row>
    <row r="417" spans="1:6" x14ac:dyDescent="0.25">
      <c r="A417" s="2"/>
      <c r="B417" s="2"/>
      <c r="C417" s="2"/>
      <c r="D417" s="2"/>
      <c r="E417" s="14"/>
      <c r="F417" s="2"/>
    </row>
    <row r="418" spans="1:6" x14ac:dyDescent="0.25">
      <c r="A418" s="2"/>
      <c r="B418" s="2"/>
      <c r="C418" s="2"/>
      <c r="D418" s="2"/>
      <c r="E418" s="14"/>
      <c r="F418" s="2"/>
    </row>
    <row r="419" spans="1:6" x14ac:dyDescent="0.25">
      <c r="A419" s="2"/>
      <c r="B419" s="2"/>
      <c r="C419" s="2"/>
      <c r="D419" s="2"/>
      <c r="E419" s="14"/>
      <c r="F419" s="2"/>
    </row>
    <row r="420" spans="1:6" x14ac:dyDescent="0.25">
      <c r="A420" s="2"/>
      <c r="B420" s="2"/>
      <c r="C420" s="2"/>
      <c r="D420" s="2"/>
      <c r="E420" s="14"/>
      <c r="F420" s="2"/>
    </row>
    <row r="421" spans="1:6" x14ac:dyDescent="0.25">
      <c r="A421" s="2"/>
      <c r="B421" s="2"/>
      <c r="C421" s="2"/>
      <c r="D421" s="2"/>
      <c r="E421" s="14"/>
      <c r="F421" s="2"/>
    </row>
    <row r="422" spans="1:6" x14ac:dyDescent="0.25">
      <c r="A422" s="2"/>
      <c r="B422" s="2"/>
      <c r="C422" s="2"/>
      <c r="D422" s="2"/>
      <c r="E422" s="14"/>
      <c r="F422" s="2"/>
    </row>
    <row r="423" spans="1:6" x14ac:dyDescent="0.25">
      <c r="A423" s="2"/>
      <c r="B423" s="2"/>
      <c r="C423" s="2"/>
      <c r="D423" s="2"/>
      <c r="E423" s="14"/>
      <c r="F423" s="2"/>
    </row>
    <row r="424" spans="1:6" x14ac:dyDescent="0.25">
      <c r="A424" s="2"/>
      <c r="B424" s="2"/>
      <c r="C424" s="2"/>
      <c r="D424" s="2"/>
      <c r="E424" s="14"/>
      <c r="F424" s="2"/>
    </row>
    <row r="425" spans="1:6" x14ac:dyDescent="0.25">
      <c r="A425" s="2"/>
      <c r="B425" s="2"/>
      <c r="C425" s="2"/>
      <c r="D425" s="2"/>
      <c r="E425" s="14"/>
      <c r="F425" s="2"/>
    </row>
    <row r="426" spans="1:6" x14ac:dyDescent="0.25">
      <c r="A426" s="2"/>
      <c r="B426" s="2"/>
      <c r="C426" s="2"/>
      <c r="D426" s="2"/>
      <c r="E426" s="14"/>
      <c r="F426" s="2"/>
    </row>
    <row r="427" spans="1:6" x14ac:dyDescent="0.25">
      <c r="A427" s="2"/>
      <c r="B427" s="2"/>
      <c r="C427" s="2"/>
      <c r="D427" s="2"/>
      <c r="E427" s="14"/>
      <c r="F427" s="2"/>
    </row>
    <row r="428" spans="1:6" x14ac:dyDescent="0.25">
      <c r="A428" s="2"/>
      <c r="B428" s="2"/>
      <c r="C428" s="2"/>
      <c r="D428" s="2"/>
      <c r="E428" s="14"/>
      <c r="F428" s="2"/>
    </row>
    <row r="429" spans="1:6" x14ac:dyDescent="0.25">
      <c r="A429" s="2"/>
      <c r="B429" s="2"/>
      <c r="C429" s="2"/>
      <c r="D429" s="2"/>
      <c r="E429" s="14"/>
      <c r="F429" s="2"/>
    </row>
    <row r="430" spans="1:6" x14ac:dyDescent="0.25">
      <c r="A430" s="2"/>
      <c r="B430" s="2"/>
      <c r="C430" s="2"/>
      <c r="D430" s="2"/>
      <c r="E430" s="14"/>
      <c r="F430" s="2"/>
    </row>
    <row r="431" spans="1:6" x14ac:dyDescent="0.25">
      <c r="A431" s="2"/>
      <c r="B431" s="2"/>
      <c r="C431" s="2"/>
      <c r="D431" s="2"/>
      <c r="E431" s="14"/>
      <c r="F431" s="2"/>
    </row>
    <row r="432" spans="1:6" x14ac:dyDescent="0.25">
      <c r="A432" s="2"/>
      <c r="B432" s="2"/>
      <c r="C432" s="2"/>
      <c r="D432" s="2"/>
      <c r="E432" s="14"/>
      <c r="F432" s="2"/>
    </row>
    <row r="433" spans="1:6" x14ac:dyDescent="0.25">
      <c r="A433" s="2"/>
      <c r="B433" s="2"/>
      <c r="C433" s="2"/>
      <c r="D433" s="2"/>
      <c r="E433" s="14"/>
      <c r="F433" s="2"/>
    </row>
    <row r="434" spans="1:6" x14ac:dyDescent="0.25">
      <c r="A434" s="2"/>
      <c r="B434" s="2"/>
      <c r="C434" s="2"/>
      <c r="D434" s="2"/>
      <c r="E434" s="14"/>
      <c r="F434" s="2"/>
    </row>
    <row r="435" spans="1:6" x14ac:dyDescent="0.25">
      <c r="A435" s="2"/>
      <c r="B435" s="2"/>
      <c r="C435" s="2"/>
      <c r="D435" s="2"/>
      <c r="E435" s="14"/>
      <c r="F435" s="2"/>
    </row>
    <row r="436" spans="1:6" x14ac:dyDescent="0.25">
      <c r="A436" s="2"/>
      <c r="B436" s="2"/>
      <c r="C436" s="2"/>
      <c r="D436" s="2"/>
      <c r="E436" s="14"/>
      <c r="F436" s="2"/>
    </row>
    <row r="437" spans="1:6" x14ac:dyDescent="0.25">
      <c r="A437" s="2"/>
      <c r="B437" s="2"/>
      <c r="C437" s="2"/>
      <c r="D437" s="2"/>
      <c r="E437" s="14"/>
      <c r="F437" s="2"/>
    </row>
    <row r="438" spans="1:6" x14ac:dyDescent="0.25">
      <c r="A438" s="2"/>
      <c r="B438" s="2"/>
      <c r="C438" s="2"/>
      <c r="D438" s="2"/>
      <c r="E438" s="14"/>
      <c r="F438" s="2"/>
    </row>
    <row r="439" spans="1:6" x14ac:dyDescent="0.25">
      <c r="A439" s="2"/>
      <c r="B439" s="2"/>
      <c r="C439" s="2"/>
      <c r="D439" s="2"/>
      <c r="E439" s="14"/>
      <c r="F439" s="2"/>
    </row>
    <row r="440" spans="1:6" x14ac:dyDescent="0.25">
      <c r="A440" s="2"/>
      <c r="B440" s="2"/>
      <c r="C440" s="2"/>
      <c r="D440" s="2"/>
      <c r="E440" s="14"/>
      <c r="F440" s="2"/>
    </row>
    <row r="441" spans="1:6" x14ac:dyDescent="0.25">
      <c r="A441" s="2"/>
      <c r="B441" s="2"/>
      <c r="C441" s="2"/>
      <c r="D441" s="2"/>
      <c r="E441" s="14"/>
      <c r="F441" s="2"/>
    </row>
    <row r="442" spans="1:6" x14ac:dyDescent="0.25">
      <c r="A442" s="2"/>
      <c r="B442" s="2"/>
      <c r="C442" s="2"/>
      <c r="D442" s="2"/>
      <c r="E442" s="14"/>
      <c r="F442" s="2"/>
    </row>
    <row r="443" spans="1:6" x14ac:dyDescent="0.25">
      <c r="A443" s="2"/>
      <c r="B443" s="2"/>
      <c r="C443" s="2"/>
      <c r="D443" s="2"/>
      <c r="E443" s="14"/>
      <c r="F443" s="2"/>
    </row>
    <row r="444" spans="1:6" x14ac:dyDescent="0.25">
      <c r="A444" s="2"/>
      <c r="B444" s="2"/>
      <c r="C444" s="2"/>
      <c r="D444" s="2"/>
      <c r="E444" s="14"/>
      <c r="F444" s="2"/>
    </row>
    <row r="445" spans="1:6" x14ac:dyDescent="0.25">
      <c r="A445" s="2"/>
      <c r="B445" s="2"/>
      <c r="C445" s="2"/>
      <c r="D445" s="2"/>
      <c r="E445" s="14"/>
      <c r="F445" s="2"/>
    </row>
    <row r="446" spans="1:6" x14ac:dyDescent="0.25">
      <c r="A446" s="2"/>
      <c r="B446" s="2"/>
      <c r="C446" s="2"/>
      <c r="D446" s="2"/>
      <c r="E446" s="14"/>
      <c r="F446" s="2"/>
    </row>
    <row r="447" spans="1:6" x14ac:dyDescent="0.25">
      <c r="A447" s="2"/>
      <c r="B447" s="2"/>
      <c r="C447" s="2"/>
      <c r="D447" s="2"/>
      <c r="E447" s="14"/>
      <c r="F447" s="2"/>
    </row>
    <row r="448" spans="1:6" x14ac:dyDescent="0.25">
      <c r="A448" s="2"/>
      <c r="B448" s="2"/>
      <c r="C448" s="2"/>
      <c r="D448" s="2"/>
      <c r="E448" s="14"/>
      <c r="F448" s="2"/>
    </row>
    <row r="449" spans="1:6" x14ac:dyDescent="0.25">
      <c r="A449" s="2"/>
      <c r="B449" s="2"/>
      <c r="C449" s="2"/>
      <c r="D449" s="2"/>
      <c r="E449" s="14"/>
      <c r="F449" s="2"/>
    </row>
    <row r="450" spans="1:6" x14ac:dyDescent="0.25">
      <c r="A450" s="2"/>
      <c r="B450" s="2"/>
      <c r="C450" s="2"/>
      <c r="D450" s="2"/>
      <c r="E450" s="14"/>
      <c r="F450" s="2"/>
    </row>
    <row r="451" spans="1:6" x14ac:dyDescent="0.25">
      <c r="A451" s="2"/>
      <c r="B451" s="2"/>
      <c r="C451" s="2"/>
      <c r="D451" s="2"/>
      <c r="E451" s="14"/>
      <c r="F451" s="2"/>
    </row>
    <row r="452" spans="1:6" x14ac:dyDescent="0.25">
      <c r="A452" s="2"/>
      <c r="B452" s="2"/>
      <c r="C452" s="2"/>
      <c r="D452" s="2"/>
      <c r="E452" s="14"/>
      <c r="F452" s="2"/>
    </row>
    <row r="453" spans="1:6" x14ac:dyDescent="0.25">
      <c r="A453" s="2"/>
      <c r="B453" s="2"/>
      <c r="C453" s="2"/>
      <c r="D453" s="2"/>
      <c r="E453" s="14"/>
      <c r="F453" s="2"/>
    </row>
    <row r="454" spans="1:6" x14ac:dyDescent="0.25">
      <c r="A454" s="2"/>
      <c r="B454" s="2"/>
      <c r="C454" s="2"/>
      <c r="D454" s="2"/>
      <c r="E454" s="14"/>
      <c r="F454" s="2"/>
    </row>
    <row r="455" spans="1:6" x14ac:dyDescent="0.25">
      <c r="A455" s="2"/>
      <c r="B455" s="2"/>
      <c r="C455" s="2"/>
      <c r="D455" s="2"/>
      <c r="E455" s="14"/>
      <c r="F455" s="2"/>
    </row>
    <row r="456" spans="1:6" x14ac:dyDescent="0.25">
      <c r="A456" s="2"/>
      <c r="B456" s="2"/>
      <c r="C456" s="2"/>
      <c r="D456" s="2"/>
      <c r="E456" s="14"/>
      <c r="F456" s="2"/>
    </row>
    <row r="457" spans="1:6" x14ac:dyDescent="0.25">
      <c r="A457" s="2"/>
      <c r="B457" s="2"/>
      <c r="C457" s="2"/>
      <c r="D457" s="2"/>
      <c r="E457" s="14"/>
      <c r="F457" s="2"/>
    </row>
    <row r="458" spans="1:6" x14ac:dyDescent="0.25">
      <c r="A458" s="2"/>
      <c r="B458" s="2"/>
      <c r="C458" s="2"/>
      <c r="D458" s="2"/>
      <c r="E458" s="14"/>
      <c r="F458" s="2"/>
    </row>
    <row r="459" spans="1:6" x14ac:dyDescent="0.25">
      <c r="A459" s="2"/>
      <c r="B459" s="2"/>
      <c r="C459" s="2"/>
      <c r="D459" s="2"/>
      <c r="E459" s="14"/>
      <c r="F459" s="2"/>
    </row>
    <row r="460" spans="1:6" x14ac:dyDescent="0.25">
      <c r="A460" s="2"/>
      <c r="B460" s="2"/>
      <c r="C460" s="2"/>
      <c r="D460" s="2"/>
      <c r="E460" s="14"/>
      <c r="F460" s="2"/>
    </row>
    <row r="461" spans="1:6" x14ac:dyDescent="0.25">
      <c r="A461" s="2"/>
      <c r="B461" s="2"/>
      <c r="C461" s="2"/>
      <c r="D461" s="2"/>
      <c r="E461" s="14"/>
      <c r="F461" s="2"/>
    </row>
    <row r="462" spans="1:6" x14ac:dyDescent="0.25">
      <c r="A462" s="2"/>
      <c r="B462" s="2"/>
      <c r="C462" s="2"/>
      <c r="D462" s="2"/>
      <c r="E462" s="14"/>
      <c r="F462" s="2"/>
    </row>
    <row r="463" spans="1:6" x14ac:dyDescent="0.25">
      <c r="A463" s="2"/>
      <c r="B463" s="2"/>
      <c r="C463" s="2"/>
      <c r="D463" s="2"/>
      <c r="E463" s="14"/>
      <c r="F463" s="2"/>
    </row>
    <row r="464" spans="1:6" x14ac:dyDescent="0.25">
      <c r="A464" s="2"/>
      <c r="B464" s="2"/>
      <c r="C464" s="2"/>
      <c r="D464" s="2"/>
      <c r="E464" s="14"/>
      <c r="F464" s="2"/>
    </row>
    <row r="465" spans="1:6" x14ac:dyDescent="0.25">
      <c r="A465" s="2"/>
      <c r="B465" s="2"/>
      <c r="C465" s="2"/>
      <c r="D465" s="2"/>
      <c r="E465" s="14"/>
      <c r="F465" s="2"/>
    </row>
    <row r="466" spans="1:6" x14ac:dyDescent="0.25">
      <c r="A466" s="2"/>
      <c r="B466" s="2"/>
      <c r="C466" s="2"/>
      <c r="D466" s="2"/>
      <c r="E466" s="14"/>
      <c r="F466" s="2"/>
    </row>
    <row r="467" spans="1:6" x14ac:dyDescent="0.25">
      <c r="A467" s="2"/>
      <c r="B467" s="2"/>
      <c r="C467" s="2"/>
      <c r="D467" s="2"/>
      <c r="E467" s="14"/>
      <c r="F467" s="2"/>
    </row>
    <row r="468" spans="1:6" x14ac:dyDescent="0.25">
      <c r="A468" s="2"/>
      <c r="B468" s="2"/>
      <c r="C468" s="2"/>
      <c r="D468" s="2"/>
      <c r="E468" s="14"/>
      <c r="F468" s="2"/>
    </row>
    <row r="469" spans="1:6" x14ac:dyDescent="0.25">
      <c r="A469" s="2"/>
      <c r="B469" s="2"/>
      <c r="C469" s="2"/>
      <c r="D469" s="2"/>
      <c r="E469" s="14"/>
      <c r="F469" s="2"/>
    </row>
    <row r="470" spans="1:6" x14ac:dyDescent="0.25">
      <c r="A470" s="2"/>
      <c r="B470" s="2"/>
      <c r="C470" s="2"/>
      <c r="D470" s="2"/>
      <c r="E470" s="14"/>
      <c r="F470" s="2"/>
    </row>
    <row r="471" spans="1:6" x14ac:dyDescent="0.25">
      <c r="A471" s="2"/>
      <c r="B471" s="2"/>
      <c r="C471" s="2"/>
      <c r="D471" s="2"/>
      <c r="E471" s="14"/>
      <c r="F471" s="2"/>
    </row>
    <row r="472" spans="1:6" x14ac:dyDescent="0.25">
      <c r="A472" s="2"/>
      <c r="B472" s="2"/>
      <c r="C472" s="2"/>
      <c r="D472" s="2"/>
      <c r="E472" s="14"/>
      <c r="F472" s="2"/>
    </row>
    <row r="473" spans="1:6" x14ac:dyDescent="0.25">
      <c r="A473" s="2"/>
      <c r="B473" s="2"/>
      <c r="C473" s="2"/>
      <c r="D473" s="2"/>
      <c r="E473" s="14"/>
      <c r="F473" s="2"/>
    </row>
    <row r="474" spans="1:6" x14ac:dyDescent="0.25">
      <c r="A474" s="2"/>
      <c r="B474" s="2"/>
      <c r="C474" s="2"/>
      <c r="D474" s="2"/>
      <c r="E474" s="14"/>
      <c r="F474" s="2"/>
    </row>
    <row r="475" spans="1:6" x14ac:dyDescent="0.25">
      <c r="A475" s="2"/>
      <c r="B475" s="2"/>
      <c r="C475" s="2"/>
      <c r="D475" s="2"/>
      <c r="E475" s="14"/>
      <c r="F475" s="2"/>
    </row>
    <row r="476" spans="1:6" x14ac:dyDescent="0.25">
      <c r="A476" s="2"/>
      <c r="B476" s="2"/>
      <c r="C476" s="2"/>
      <c r="D476" s="2"/>
      <c r="E476" s="14"/>
      <c r="F476" s="2"/>
    </row>
    <row r="477" spans="1:6" x14ac:dyDescent="0.25">
      <c r="A477" s="2"/>
      <c r="B477" s="2"/>
      <c r="C477" s="2"/>
      <c r="D477" s="2"/>
      <c r="E477" s="14"/>
      <c r="F477" s="2"/>
    </row>
    <row r="478" spans="1:6" x14ac:dyDescent="0.25">
      <c r="A478" s="2"/>
      <c r="B478" s="2"/>
      <c r="C478" s="2"/>
      <c r="D478" s="2"/>
      <c r="E478" s="14"/>
      <c r="F478" s="2"/>
    </row>
    <row r="479" spans="1:6" x14ac:dyDescent="0.25">
      <c r="A479" s="2"/>
      <c r="B479" s="2"/>
      <c r="C479" s="2"/>
      <c r="D479" s="2"/>
      <c r="E479" s="14"/>
      <c r="F479" s="2"/>
    </row>
    <row r="480" spans="1:6" x14ac:dyDescent="0.25">
      <c r="A480" s="2"/>
      <c r="B480" s="2"/>
      <c r="C480" s="2"/>
      <c r="D480" s="2"/>
      <c r="E480" s="14"/>
      <c r="F480" s="2"/>
    </row>
    <row r="481" spans="1:6" x14ac:dyDescent="0.25">
      <c r="A481" s="2"/>
      <c r="B481" s="2"/>
      <c r="C481" s="2"/>
      <c r="D481" s="2"/>
      <c r="E481" s="14"/>
      <c r="F481" s="2"/>
    </row>
    <row r="482" spans="1:6" x14ac:dyDescent="0.25">
      <c r="A482" s="2"/>
      <c r="B482" s="2"/>
      <c r="C482" s="2"/>
      <c r="D482" s="2"/>
      <c r="E482" s="14"/>
      <c r="F482" s="2"/>
    </row>
    <row r="483" spans="1:6" x14ac:dyDescent="0.25">
      <c r="A483" s="2"/>
      <c r="B483" s="2"/>
      <c r="C483" s="2"/>
      <c r="D483" s="2"/>
      <c r="E483" s="14"/>
      <c r="F483" s="2"/>
    </row>
    <row r="484" spans="1:6" x14ac:dyDescent="0.25">
      <c r="A484" s="2"/>
      <c r="B484" s="2"/>
      <c r="C484" s="2"/>
      <c r="D484" s="2"/>
      <c r="E484" s="14"/>
      <c r="F484" s="2"/>
    </row>
    <row r="485" spans="1:6" x14ac:dyDescent="0.25">
      <c r="A485" s="2"/>
      <c r="B485" s="2"/>
      <c r="C485" s="2"/>
      <c r="D485" s="2"/>
      <c r="E485" s="14"/>
      <c r="F485" s="2"/>
    </row>
    <row r="486" spans="1:6" x14ac:dyDescent="0.25">
      <c r="A486" s="2"/>
      <c r="B486" s="2"/>
      <c r="C486" s="2"/>
      <c r="D486" s="2"/>
      <c r="E486" s="14"/>
      <c r="F486" s="2"/>
    </row>
    <row r="487" spans="1:6" x14ac:dyDescent="0.25">
      <c r="A487" s="2"/>
      <c r="B487" s="2"/>
      <c r="C487" s="2"/>
      <c r="D487" s="2"/>
      <c r="E487" s="14"/>
      <c r="F487" s="2"/>
    </row>
    <row r="488" spans="1:6" x14ac:dyDescent="0.25">
      <c r="A488" s="2"/>
      <c r="B488" s="2"/>
      <c r="C488" s="2"/>
      <c r="D488" s="2"/>
      <c r="E488" s="14"/>
      <c r="F488" s="2"/>
    </row>
    <row r="489" spans="1:6" x14ac:dyDescent="0.25">
      <c r="A489" s="2"/>
      <c r="B489" s="2"/>
      <c r="C489" s="2"/>
      <c r="D489" s="2"/>
      <c r="E489" s="14"/>
      <c r="F489" s="2"/>
    </row>
    <row r="490" spans="1:6" x14ac:dyDescent="0.25">
      <c r="A490" s="2"/>
      <c r="B490" s="2"/>
      <c r="C490" s="2"/>
      <c r="D490" s="2"/>
      <c r="E490" s="14"/>
      <c r="F490" s="2"/>
    </row>
    <row r="491" spans="1:6" x14ac:dyDescent="0.25">
      <c r="A491" s="2"/>
      <c r="B491" s="2"/>
      <c r="C491" s="2"/>
      <c r="D491" s="2"/>
      <c r="E491" s="14"/>
      <c r="F491" s="2"/>
    </row>
    <row r="492" spans="1:6" x14ac:dyDescent="0.25">
      <c r="A492" s="2"/>
      <c r="B492" s="2"/>
      <c r="C492" s="2"/>
      <c r="D492" s="2"/>
      <c r="E492" s="14"/>
      <c r="F492" s="2"/>
    </row>
    <row r="493" spans="1:6" x14ac:dyDescent="0.25">
      <c r="A493" s="2"/>
      <c r="B493" s="2"/>
      <c r="C493" s="2"/>
      <c r="D493" s="2"/>
      <c r="E493" s="14"/>
      <c r="F493" s="2"/>
    </row>
    <row r="494" spans="1:6" x14ac:dyDescent="0.25">
      <c r="A494" s="2"/>
      <c r="B494" s="2"/>
      <c r="C494" s="2"/>
      <c r="D494" s="2"/>
      <c r="E494" s="14"/>
      <c r="F494" s="2"/>
    </row>
    <row r="495" spans="1:6" x14ac:dyDescent="0.25">
      <c r="A495" s="2"/>
      <c r="B495" s="2"/>
      <c r="C495" s="2"/>
      <c r="D495" s="2"/>
      <c r="E495" s="14"/>
      <c r="F495" s="2"/>
    </row>
    <row r="496" spans="1:6" x14ac:dyDescent="0.25">
      <c r="A496" s="2"/>
      <c r="B496" s="2"/>
      <c r="C496" s="2"/>
      <c r="D496" s="2"/>
      <c r="E496" s="14"/>
      <c r="F496" s="2"/>
    </row>
    <row r="497" spans="1:6" x14ac:dyDescent="0.25">
      <c r="A497" s="2"/>
      <c r="B497" s="2"/>
      <c r="C497" s="2"/>
      <c r="D497" s="2"/>
      <c r="E497" s="14"/>
      <c r="F497" s="2"/>
    </row>
    <row r="498" spans="1:6" x14ac:dyDescent="0.25">
      <c r="A498" s="2"/>
      <c r="B498" s="2"/>
      <c r="C498" s="2"/>
      <c r="D498" s="2"/>
      <c r="E498" s="14"/>
      <c r="F498" s="2"/>
    </row>
    <row r="499" spans="1:6" x14ac:dyDescent="0.25">
      <c r="A499" s="2"/>
      <c r="B499" s="2"/>
      <c r="C499" s="2"/>
      <c r="D499" s="2"/>
      <c r="E499" s="14"/>
      <c r="F499" s="2"/>
    </row>
    <row r="500" spans="1:6" x14ac:dyDescent="0.25">
      <c r="A500" s="2"/>
      <c r="B500" s="2"/>
      <c r="C500" s="2"/>
      <c r="D500" s="2"/>
      <c r="E500" s="14"/>
      <c r="F500" s="2"/>
    </row>
    <row r="501" spans="1:6" x14ac:dyDescent="0.25">
      <c r="A501" s="2"/>
      <c r="B501" s="2"/>
      <c r="C501" s="2"/>
      <c r="D501" s="2"/>
      <c r="E501" s="14"/>
      <c r="F501" s="2"/>
    </row>
    <row r="502" spans="1:6" x14ac:dyDescent="0.25">
      <c r="A502" s="2"/>
      <c r="B502" s="2"/>
      <c r="C502" s="2"/>
      <c r="D502" s="2"/>
      <c r="E502" s="14"/>
      <c r="F502" s="2"/>
    </row>
    <row r="503" spans="1:6" x14ac:dyDescent="0.25">
      <c r="A503" s="2"/>
      <c r="B503" s="2"/>
      <c r="C503" s="2"/>
      <c r="D503" s="2"/>
      <c r="E503" s="14"/>
      <c r="F503" s="2"/>
    </row>
    <row r="504" spans="1:6" x14ac:dyDescent="0.25">
      <c r="A504" s="2"/>
      <c r="B504" s="2"/>
      <c r="C504" s="2"/>
      <c r="D504" s="2"/>
      <c r="E504" s="14"/>
      <c r="F504" s="2"/>
    </row>
    <row r="505" spans="1:6" x14ac:dyDescent="0.25">
      <c r="A505" s="2"/>
      <c r="B505" s="2"/>
      <c r="C505" s="2"/>
      <c r="D505" s="2"/>
      <c r="E505" s="14"/>
      <c r="F505" s="2"/>
    </row>
    <row r="506" spans="1:6" x14ac:dyDescent="0.25">
      <c r="A506" s="2"/>
      <c r="B506" s="2"/>
      <c r="C506" s="2"/>
      <c r="D506" s="2"/>
      <c r="E506" s="14"/>
      <c r="F506" s="2"/>
    </row>
    <row r="507" spans="1:6" x14ac:dyDescent="0.25">
      <c r="A507" s="2"/>
      <c r="B507" s="2"/>
      <c r="C507" s="2"/>
      <c r="D507" s="2"/>
      <c r="E507" s="14"/>
      <c r="F507" s="2"/>
    </row>
    <row r="508" spans="1:6" x14ac:dyDescent="0.25">
      <c r="A508" s="2"/>
      <c r="B508" s="2"/>
      <c r="C508" s="2"/>
      <c r="D508" s="2"/>
      <c r="E508" s="14"/>
      <c r="F508" s="2"/>
    </row>
    <row r="509" spans="1:6" x14ac:dyDescent="0.25">
      <c r="A509" s="2"/>
      <c r="B509" s="2"/>
      <c r="C509" s="2"/>
      <c r="D509" s="2"/>
      <c r="E509" s="14"/>
      <c r="F509" s="2"/>
    </row>
    <row r="510" spans="1:6" x14ac:dyDescent="0.25">
      <c r="A510" s="2"/>
      <c r="B510" s="2"/>
      <c r="C510" s="2"/>
      <c r="D510" s="2"/>
      <c r="E510" s="14"/>
      <c r="F510" s="2"/>
    </row>
    <row r="511" spans="1:6" x14ac:dyDescent="0.25">
      <c r="A511" s="2"/>
      <c r="B511" s="2"/>
      <c r="C511" s="2"/>
      <c r="D511" s="2"/>
      <c r="E511" s="14"/>
      <c r="F511" s="2"/>
    </row>
    <row r="512" spans="1:6" x14ac:dyDescent="0.25">
      <c r="A512" s="2"/>
      <c r="B512" s="2"/>
      <c r="C512" s="2"/>
      <c r="D512" s="2"/>
      <c r="E512" s="14"/>
      <c r="F512" s="2"/>
    </row>
    <row r="513" spans="1:6" x14ac:dyDescent="0.25">
      <c r="A513" s="2"/>
      <c r="B513" s="2"/>
      <c r="C513" s="2"/>
      <c r="D513" s="2"/>
      <c r="E513" s="14"/>
      <c r="F513" s="2"/>
    </row>
    <row r="514" spans="1:6" x14ac:dyDescent="0.25">
      <c r="A514" s="2"/>
      <c r="B514" s="2"/>
      <c r="C514" s="2"/>
      <c r="D514" s="2"/>
      <c r="E514" s="14"/>
      <c r="F514" s="2"/>
    </row>
    <row r="515" spans="1:6" x14ac:dyDescent="0.25">
      <c r="A515" s="2"/>
      <c r="B515" s="2"/>
      <c r="C515" s="2"/>
      <c r="D515" s="2"/>
      <c r="E515" s="14"/>
      <c r="F515" s="2"/>
    </row>
    <row r="516" spans="1:6" x14ac:dyDescent="0.25">
      <c r="A516" s="2"/>
      <c r="B516" s="2"/>
      <c r="C516" s="2"/>
      <c r="D516" s="2"/>
      <c r="E516" s="14"/>
      <c r="F516" s="2"/>
    </row>
    <row r="517" spans="1:6" x14ac:dyDescent="0.25">
      <c r="A517" s="2"/>
      <c r="B517" s="2"/>
      <c r="C517" s="2"/>
      <c r="D517" s="2"/>
      <c r="E517" s="14"/>
      <c r="F517" s="2"/>
    </row>
    <row r="518" spans="1:6" x14ac:dyDescent="0.25">
      <c r="A518" s="2"/>
      <c r="B518" s="2"/>
      <c r="C518" s="2"/>
      <c r="D518" s="2"/>
      <c r="E518" s="14"/>
      <c r="F518" s="2"/>
    </row>
    <row r="519" spans="1:6" x14ac:dyDescent="0.25">
      <c r="A519" s="2"/>
      <c r="B519" s="2"/>
      <c r="C519" s="2"/>
      <c r="D519" s="2"/>
      <c r="E519" s="14"/>
      <c r="F519" s="2"/>
    </row>
    <row r="520" spans="1:6" x14ac:dyDescent="0.25">
      <c r="A520" s="2"/>
      <c r="B520" s="2"/>
      <c r="C520" s="2"/>
      <c r="D520" s="2"/>
      <c r="E520" s="14"/>
      <c r="F520" s="2"/>
    </row>
    <row r="521" spans="1:6" x14ac:dyDescent="0.25">
      <c r="A521" s="2"/>
      <c r="B521" s="2"/>
      <c r="C521" s="2"/>
      <c r="D521" s="2"/>
      <c r="E521" s="14"/>
      <c r="F521" s="2"/>
    </row>
    <row r="522" spans="1:6" x14ac:dyDescent="0.25">
      <c r="A522" s="2"/>
      <c r="B522" s="2"/>
      <c r="C522" s="2"/>
      <c r="D522" s="2"/>
      <c r="E522" s="14"/>
      <c r="F522" s="2"/>
    </row>
    <row r="523" spans="1:6" x14ac:dyDescent="0.25">
      <c r="A523" s="2"/>
      <c r="B523" s="2"/>
      <c r="C523" s="2"/>
      <c r="D523" s="2"/>
      <c r="E523" s="14"/>
      <c r="F523" s="2"/>
    </row>
    <row r="524" spans="1:6" x14ac:dyDescent="0.25">
      <c r="A524" s="2"/>
      <c r="B524" s="2"/>
      <c r="C524" s="2"/>
      <c r="D524" s="2"/>
      <c r="E524" s="14"/>
      <c r="F524" s="2"/>
    </row>
    <row r="525" spans="1:6" x14ac:dyDescent="0.25">
      <c r="A525" s="2"/>
      <c r="B525" s="2"/>
      <c r="C525" s="2"/>
      <c r="D525" s="2"/>
      <c r="E525" s="14"/>
      <c r="F525" s="2"/>
    </row>
    <row r="526" spans="1:6" x14ac:dyDescent="0.25">
      <c r="A526" s="2"/>
      <c r="B526" s="2"/>
      <c r="C526" s="2"/>
      <c r="D526" s="2"/>
      <c r="E526" s="14"/>
      <c r="F526" s="2"/>
    </row>
    <row r="527" spans="1:6" x14ac:dyDescent="0.25">
      <c r="A527" s="2"/>
      <c r="B527" s="2"/>
      <c r="C527" s="2"/>
      <c r="D527" s="2"/>
      <c r="E527" s="14"/>
      <c r="F527" s="2"/>
    </row>
    <row r="528" spans="1:6" x14ac:dyDescent="0.25">
      <c r="A528" s="2"/>
      <c r="B528" s="2"/>
      <c r="C528" s="2"/>
      <c r="D528" s="2"/>
      <c r="E528" s="14"/>
      <c r="F528" s="2"/>
    </row>
    <row r="529" spans="1:6" x14ac:dyDescent="0.25">
      <c r="A529" s="2"/>
      <c r="B529" s="2"/>
      <c r="C529" s="2"/>
      <c r="D529" s="2"/>
      <c r="E529" s="14"/>
      <c r="F52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D10" sqref="D10"/>
    </sheetView>
  </sheetViews>
  <sheetFormatPr defaultRowHeight="15" x14ac:dyDescent="0.25"/>
  <cols>
    <col min="2" max="2" width="16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Streaming_Stock_Watch</vt:lpstr>
      <vt:lpstr>WorkArea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AMD</dc:creator>
  <cp:lastModifiedBy>Jay</cp:lastModifiedBy>
  <dcterms:created xsi:type="dcterms:W3CDTF">2012-09-20T08:42:07Z</dcterms:created>
  <dcterms:modified xsi:type="dcterms:W3CDTF">2021-08-31T10:51:35Z</dcterms:modified>
</cp:coreProperties>
</file>